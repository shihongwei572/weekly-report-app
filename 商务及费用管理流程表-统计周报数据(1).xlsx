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55"/>
  </bookViews>
  <sheets>
    <sheet name="Sheet1" sheetId="4" r:id="rId1"/>
    <sheet name="流程" sheetId="1" r:id="rId2"/>
    <sheet name="联系单模版" sheetId="2" r:id="rId3"/>
    <sheet name="字段列表" sheetId="3" state="hidden" r:id="rId4"/>
  </sheet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A1" authorId="0">
      <text>
        <r>
          <rPr>
            <b/>
            <sz val="9"/>
            <rFont val="宋体"/>
            <charset val="134"/>
          </rPr>
          <t xml:space="preserve"> :</t>
        </r>
        <r>
          <rPr>
            <sz val="9"/>
            <rFont val="宋体"/>
            <charset val="134"/>
          </rPr>
          <t xml:space="preserve">
编号原则：区域+费用类型+日期，如5月29日的福建商务扣款（FJSWKK250529）</t>
        </r>
      </text>
    </comment>
  </commentList>
</comments>
</file>

<file path=xl/sharedStrings.xml><?xml version="1.0" encoding="utf-8"?>
<sst xmlns="http://schemas.openxmlformats.org/spreadsheetml/2006/main" count="3240" uniqueCount="1219">
  <si>
    <t>年</t>
  </si>
  <si>
    <t>月</t>
  </si>
  <si>
    <t>(多项)</t>
  </si>
  <si>
    <t>日</t>
  </si>
  <si>
    <t>费用类型</t>
  </si>
  <si>
    <t>商务扣款</t>
  </si>
  <si>
    <t>发出部门</t>
  </si>
  <si>
    <t>计数项:接收部门</t>
  </si>
  <si>
    <t>求和项:费用金额</t>
  </si>
  <si>
    <t>求和项:费用对应吨数</t>
  </si>
  <si>
    <t>珠三角经营部</t>
  </si>
  <si>
    <t>粤西经营部</t>
  </si>
  <si>
    <t>广西经营部</t>
  </si>
  <si>
    <t>福建经营部</t>
  </si>
  <si>
    <t>海南经营部</t>
  </si>
  <si>
    <t>总计</t>
  </si>
  <si>
    <t>经营部</t>
  </si>
  <si>
    <t>商扣笔数</t>
  </si>
  <si>
    <t>商扣金额</t>
  </si>
  <si>
    <t>商扣吨数</t>
  </si>
  <si>
    <t>单吨商扣
（元/吨）</t>
  </si>
  <si>
    <t>累计结算量</t>
  </si>
  <si>
    <t>商扣均摊至结算量（元/吨）</t>
  </si>
  <si>
    <t>商扣数量占结算数量比例</t>
  </si>
  <si>
    <t>珠三角</t>
  </si>
  <si>
    <t>粤西</t>
  </si>
  <si>
    <t>广西</t>
  </si>
  <si>
    <t>福建</t>
  </si>
  <si>
    <t>海南</t>
  </si>
  <si>
    <t>费用原因分类</t>
  </si>
  <si>
    <t>水分</t>
  </si>
  <si>
    <t>霉变</t>
  </si>
  <si>
    <t>毒素</t>
  </si>
  <si>
    <t>杂质</t>
  </si>
  <si>
    <t>品质不达标（容重、水分、毒素、蛋白等）</t>
  </si>
  <si>
    <t>品质不达标（杂质）</t>
  </si>
  <si>
    <t>其他问题</t>
  </si>
  <si>
    <t>其他原因</t>
  </si>
  <si>
    <t>其他原因（损耗）</t>
  </si>
  <si>
    <t>其他原因（运费）</t>
  </si>
  <si>
    <t>其他原因，已报保险处理</t>
  </si>
  <si>
    <t>水分≤15%，赤霉烯酮≤200ppb</t>
  </si>
  <si>
    <t>水分≤15%，赤霉烯酮≤200ppb，黄曲霉毒素B1（ppb）≤30</t>
  </si>
  <si>
    <t>杂质.2%杂质和破碎粒超出合同约定指标(杂质&lt;1%)</t>
  </si>
  <si>
    <t>质量问题（不完善粒）</t>
  </si>
  <si>
    <t>质量问题（赤霉）</t>
  </si>
  <si>
    <t>质量问题（赤霉、水分）</t>
  </si>
  <si>
    <t>质量问题（赤霉、杂质）</t>
  </si>
  <si>
    <t>质量问题（毒素）</t>
  </si>
  <si>
    <t>质量问题（毒素、水分）</t>
  </si>
  <si>
    <t>质量问题（毒素超标）</t>
  </si>
  <si>
    <t>质量问题（发霉结块）</t>
  </si>
  <si>
    <t>质量问题（霉变）</t>
  </si>
  <si>
    <t>质量问题（霉变、霉味）</t>
  </si>
  <si>
    <t>质量问题（霉变、霉味、生虫等）</t>
  </si>
  <si>
    <t>质量问题（霉变、热损超标）</t>
  </si>
  <si>
    <t>质量问题（霉变结块）</t>
  </si>
  <si>
    <t>质量问题（霉变粒高、水分超标）</t>
  </si>
  <si>
    <t>质量问题（呕吐/霉变）</t>
  </si>
  <si>
    <t>质量问题（呕吐毒素）</t>
  </si>
  <si>
    <t>质量问题（热损伤超标）</t>
  </si>
  <si>
    <t>质量问题（水分）</t>
  </si>
  <si>
    <t>质量问题（水分、杂质）</t>
  </si>
  <si>
    <t>质量问题（水分、杂质超标）</t>
  </si>
  <si>
    <t>质量问题（水分/赤霉）</t>
  </si>
  <si>
    <t>质量问题（水分/霉变）</t>
  </si>
  <si>
    <t>质量问题（水分/杂质）</t>
  </si>
  <si>
    <t>质量问题（水分超标）</t>
  </si>
  <si>
    <t>质量问题（水份、杂质超标）</t>
  </si>
  <si>
    <t>质量问题（杂质）</t>
  </si>
  <si>
    <t>质量问题（杂质,水分）</t>
  </si>
  <si>
    <t>质量问题（杂质，水分）</t>
  </si>
  <si>
    <t>质量问题（杂质、不完善）</t>
  </si>
  <si>
    <t>质量问题（杂质、霉变）</t>
  </si>
  <si>
    <t>质量问题（杂质、水分）</t>
  </si>
  <si>
    <t>质量问题（杂质、水分超标）</t>
  </si>
  <si>
    <t>质量问题（杂质/赤霉）</t>
  </si>
  <si>
    <t>质量问题（杂质超标）</t>
  </si>
  <si>
    <t>质量问题（杂质超标\、毒素）</t>
  </si>
  <si>
    <t>质量问题（杂质水分）</t>
  </si>
  <si>
    <t>联系单编号</t>
  </si>
  <si>
    <t>费用发生时间</t>
  </si>
  <si>
    <t>费用申请时间</t>
  </si>
  <si>
    <t>主题</t>
  </si>
  <si>
    <t>内容</t>
  </si>
  <si>
    <t>销售溢价是否覆盖扣款费用</t>
  </si>
  <si>
    <t>费用金额</t>
  </si>
  <si>
    <t>费用对应吨数</t>
  </si>
  <si>
    <t>费用对应大船名</t>
  </si>
  <si>
    <t>费用对应销售合同号</t>
  </si>
  <si>
    <t>接收部门</t>
  </si>
  <si>
    <t>发起人</t>
  </si>
  <si>
    <t>复核人1</t>
  </si>
  <si>
    <t>复核人2</t>
  </si>
  <si>
    <t>复核人3</t>
  </si>
  <si>
    <t>复核人4</t>
  </si>
  <si>
    <t>复核人5</t>
  </si>
  <si>
    <t>费用最终承担方</t>
  </si>
  <si>
    <t>承担方名称/对应合同号</t>
  </si>
  <si>
    <t>复核结果备注</t>
  </si>
  <si>
    <t>FJSWKK250529</t>
  </si>
  <si>
    <t>关于福建省邵武市华龙饲料有限公司商务扣款说明</t>
  </si>
  <si>
    <t xml:space="preserve">    兹有我司与福建省邵武华龙饲料有限公司签订《粮食销售合同》，合同号：YMFJFZ250015，合同数量3000吨，单价2240元/吨，截止2025年4月5日接货完毕。该合同提货2987.12吨，其中3月26日提货6车共计209.97吨，到货检测指标较差（杂质1.6%，霉变3.6%），经双方协商一致，退货转扣款接收，扣款10元/吨共计2099.7元，折合合同扣款0.7元/吨。
    以上扣款，对应内部发运散船航安顺/2507，是否可行，请领导批示。</t>
  </si>
  <si>
    <t>饲料原料部、风险管理部、财务部</t>
  </si>
  <si>
    <t>林玉婷</t>
  </si>
  <si>
    <t>大区品种线</t>
  </si>
  <si>
    <t>供应商</t>
  </si>
  <si>
    <t>5/13-5/15</t>
  </si>
  <si>
    <t>JZXYMGXXJ250003广西福祺保毒素箱子毒素超标扣款说明</t>
  </si>
  <si>
    <t>该批保毒素箱子21个，总计554.97吨，计划交付广西福祺饲料有限公司保毒素合同（合同号：JZXYMGXXJ250003），4月21日和4月25日从北方发出，5月3日至5月8日抵达贵港港（运单号：AUVTNTW250238777、ASNCLTL250258834），计划号YHSZ-25-032021。5月13日至5月15日全部提完。到厂检测毒素超标，7个箱子毒素指标在1100-1300ppb之间，14个箱子毒素指标在1400-1900ppb之间。我部及时与玉米品种线联系并向大区反映情况，后经大区协调，现场取样邮至北良港检测公司董乾仕复检，四个集装箱（ATHU1009372、ATHU1078877、FBIU0022667、FBIU0003991）分两个样品毒素检测结果值为1491ppb和1729ppb。下游客户要求商扣50元/吨，经我司协商最终扣20元/吨，总计11099.4元。</t>
  </si>
  <si>
    <t>JZXYMGXXJ250003</t>
  </si>
  <si>
    <t>侯霄</t>
  </si>
  <si>
    <t>2025/5/17、6/2</t>
  </si>
  <si>
    <t>关于龙岩华龙扣款说明</t>
  </si>
  <si>
    <t>我司与福建省龙岩市华龙饲料有限公司于2025年05月09日签署生效的《粮食销售合同》（合同编号：JZXYMFJZZ250004)，合同数量480吨，合同单价2420元/吨，截止至2025年06月04日，该合同累计提货471.075吨，客户于2025年5月17日接收玉米，检测呕吐毒素超标；检测容重未达标，合计产生扣款2704.76元，整批次提货471.075吨，折单吨扣款5.74元/吨</t>
  </si>
  <si>
    <t>饲料原料部</t>
  </si>
  <si>
    <t>陈静文</t>
  </si>
  <si>
    <t>2025/5/16、6/4</t>
  </si>
  <si>
    <t>关于龙岩鑫华港饲料有限公司扣款说明</t>
  </si>
  <si>
    <t>我司与龙岩鑫华港饲料有限公司于2025年05月09日签署生效的《粮食销售合同》（合同编号：JZXYMFJZZ250005)，合同数量420吨，合同单价2420元/吨，截止至2025年05月20日，该合同累计提货414.4吨，检测有呕吐毒素超标；检测容重未达标，以上情况合计产生扣款2204.80元，整批次提货414.4吨，折单吨扣款5.32元/吨</t>
  </si>
  <si>
    <t>关于武平鑫龙港饲料有限公司扣款说明</t>
  </si>
  <si>
    <t>我司与武平鑫龙港饲料有限公司于2025年05月09日签署生效的《粮食销售合同》（合同编号：JZXYMFJZZ250006)，合同数量220吨，合同单价2420元/吨，截止至2025年05月18日，该合同累计提货221.905吨，检测容重未达标，合计扣款1071.40元，整批次提货221.905吨，折单吨扣款4.83元/吨</t>
  </si>
  <si>
    <t>JZXYMFJZZ250004-lxd01</t>
  </si>
  <si>
    <t>福建省龙岩市华龙饲料有限公司</t>
  </si>
  <si>
    <t>玉米出险对应扣款</t>
  </si>
  <si>
    <t>JZXYMFJZZ250004</t>
  </si>
  <si>
    <t>YMFJZZ250152-lxd01</t>
  </si>
  <si>
    <t>双胞胎（集团）股份有限公司</t>
  </si>
  <si>
    <t>呕吐毒素超标</t>
  </si>
  <si>
    <t>YMFJZZ250152</t>
  </si>
  <si>
    <t>YMFJZZ250142-lxd01</t>
  </si>
  <si>
    <t>漳州温氏农牧有限公司</t>
  </si>
  <si>
    <t>杂质超标</t>
  </si>
  <si>
    <t>YMFJZZ250142</t>
  </si>
  <si>
    <t>YMFJZZ250173-lxd01</t>
  </si>
  <si>
    <t>正大原料供应有限公司</t>
  </si>
  <si>
    <t>杂质和破碎超标</t>
  </si>
  <si>
    <t>YMFJZZ250173</t>
  </si>
  <si>
    <t>YMFJZZ250130-lxd01</t>
  </si>
  <si>
    <t>漳州海大饲料有限公司</t>
  </si>
  <si>
    <t>YMFJZZ250130</t>
  </si>
  <si>
    <t>YHSZFJ250613XMX0001-lxd01</t>
  </si>
  <si>
    <t>四川新希望贸易有限公司</t>
  </si>
  <si>
    <t>容重不达标</t>
  </si>
  <si>
    <t>YHSZFJ250613XMX0001</t>
  </si>
  <si>
    <t>YMZSJJY250170</t>
  </si>
  <si>
    <t>丰顺县海新饲料有限公司</t>
  </si>
  <si>
    <t>丰顺县海新饲料有限公司，2025年11月12日签订《粮食销售合同(赊销)》(合同编号:YMZSJJY250170)，数量 500 吨，单价 2320 元/吨，该合同已累计交货 496吨，(其中 11月 20日3 车车号:赣 C5615D，重量 31.7吨，车号:粤 V05263,重量 33.77 吨，车号:粤 VN1708，重量 34.84吨，合计:100.31 吨)到货玉米经检验杂质 1.2%杂质和破碎粒超出合同约定指标(杂质≤1%),不符合客户接受指标。针对该批次到厂不合格玉米，经双方友好协商处理后，退货转扣款接收。经双方友好协商处理后，退货转扣款接收，合计扣款 1003.1元 折合10元/吨。</t>
  </si>
  <si>
    <t>恒通达/2529、锦航力鹏/2528</t>
  </si>
  <si>
    <t>蚁毓霖</t>
  </si>
  <si>
    <t>YMZSIIY250177</t>
  </si>
  <si>
    <t>丰顺县海新饲料有限公司,于2025年11月20日签订《粮食销售合同》(合同编号:YMZSIIY250177)，数量 500 吨，单价 2340 元/吨,该合同已累计交货 495.46吨，(其中12月2日4车车号:粤 BGT302,重量 34.97 吨，车号:赣C4M573，重量 36.5吨，车号:粤D28948，重量 38.6吨，车号:赣C7N367,重量 43.52 吨合计:153.59 吨)到货玉米经检验杂质 1.2%杂质和破碎粒超出合同约定指标(杂质≤19)，不符合客户接受指标。针对该批次到厂不合格玉米，经双方友好协商处理后，退货转扣款接收。</t>
  </si>
  <si>
    <t>鑫顺弘盛/2537</t>
  </si>
  <si>
    <t xml:space="preserve"> JZXYMZSJJM25047 玉米扣款—保险</t>
  </si>
  <si>
    <t>广东粮品农产品经验有限公司</t>
  </si>
  <si>
    <t>经双方友好协商处理后，退货转扣款接收，合计扣款 1535.9元 折合10 元/吨。</t>
  </si>
  <si>
    <t>包装破损、水湿、短重等</t>
  </si>
  <si>
    <t>箱子进水</t>
  </si>
  <si>
    <t>JZXYMZSJJM25047</t>
  </si>
  <si>
    <t>汤妮</t>
  </si>
  <si>
    <t xml:space="preserve"> JZXYMZSJJM25047 玉米扣款</t>
  </si>
  <si>
    <t>广东粮品农产品经验有限公司，于2025 年9月25 日签订的《粮食销售合同》合同编号:JZXYMZSJJM25047)合同数量 351 吨,合同单价 2460 元/吨，计划号 YHSZ-25-072128，运单号 AYWWCRX250607901A，共13 柜，截止到9月 29 日该合同下货物已提货完毕。其中 6柜玉米分别存在霉变和生虫的现象:
(1)TAHU1162503和ATHU1046083，26.73和7.78，霉变超标，扣款 50 元/吨                                        (2)ATHU1046083、ATHU1265939、ATHU1303556、ATHU1246651和ATHU1103202卸重分别为 26.86、26.85、26.9和 27.21，存在生虫现象，扣款 50 元/吨合计扣款金额为:7965.9元。</t>
  </si>
  <si>
    <t>JKDMGX250010/15</t>
  </si>
  <si>
    <t>关于“丰秀海”进口大麦合同堆存费减免事宜</t>
  </si>
  <si>
    <t>“丰秀海”因十一期间海关无法审批调运，且防城港华粮库停止作业，故申请提货延期8天：
1、广西农垦永新畜牧集团金光有限公司进口大麦合同JKDMGX250010（2100吨，9月30日申请提货）于10月10日至11日9日提货完毕，延期后产生堆存费2852.92元（帮我司清理尾货时产生1264.74元）。
2、广西华港农牧发展有限公司进口大麦合同JKDMGX250015（500吨，9月30日申请提货）于10月10至11月7日提货完毕，延期后产生堆存费2412.27元（帮我司清理尾货时产生795.34元）。
现申请减免清理尾货产生的堆存费用，堆存费变更为：广西农垦永新畜牧集团金光有限公司1588.18元，广西华港农牧发展有限公司1616.93元。请领导审批。</t>
  </si>
  <si>
    <t>流程手续问题</t>
  </si>
  <si>
    <t>FENG XIU HAI/丰秀海</t>
  </si>
  <si>
    <t>JKDMGX250010、JKDMGX250015</t>
  </si>
  <si>
    <t>刘源</t>
  </si>
  <si>
    <t>YMZSJQY250219</t>
  </si>
  <si>
    <t>广东泰德饲料有限公司扣款</t>
  </si>
  <si>
    <t>广东泰德饲料有限公司于11月12日签订国产内贸合同(合同号YMZSJQY250219，合同量1000 吨，单价 2320 元/吨)，该合同为吉林经营部与我司珠三角经营部协同发往英德站的保1000 毒素玉米，客户于 11月19 日开始提货其中，有6车玉米呕吐毒素超出合同第二条:质量标准中:呕吐毒素&lt;1000ug/kg的约定，具体明细如下:经过双方友好协商，决定对该批次不合格的玉米进行扣款处理，经沟通，毒素超示的部分扣款一共 5451.6 元由上游吉林经营部承担。</t>
  </si>
  <si>
    <t>吉林经营部发运</t>
  </si>
  <si>
    <t>董典昊</t>
  </si>
  <si>
    <t>YMZSJQY250205</t>
  </si>
  <si>
    <t>郴州大北农饲料有限公司扣款</t>
  </si>
  <si>
    <t>郴州大北农饲料科技有限公司于 11月11日签订国产内贸合同(合同号YMZSJQY250205，合同量 800 吨，单价 2250 元/吨)，客户于 11月21 日开始提货我司麻涌港:国家能源 610/2511 轮玉米，现有部分玉米到厂后，出现杂质超标情况，明细如下:除湘 LB8781 提货杂质为 1.19%扣款 10 元/吨外，其余车辆杂质综合达到2.21%，该合同第二条质量标准约定:杂质≤1.0%，经过双方友好协商，决定对该批次不合格的玉米进行扣款处理，请领导审批。经沟通，该批次货物扣款共计:6649元。</t>
  </si>
  <si>
    <t>国家能源 610/2511</t>
  </si>
  <si>
    <t>YMZSJQY250179</t>
  </si>
  <si>
    <t>英德天农饲料有限公司扣款</t>
  </si>
  <si>
    <t>英德天农饲料有限公司，2025 年11月15日签订的《粮食销售合同》(合同编号:YMZSJQY250179)合同数量 1000 吨，合同单价 2310 元/吨，根据签订的《粮食销售合同》第二条款约定的质量标准，交付的玉米标准应当符合如下约定:“容重2685g儿L，水分≤15.0%，杂质≤1.0%，霉变粒≤2.0%，呕吐毒素≤1000ug/kg，”。客户提货我司从北方发运散改基玉米，2025年11月16日至24日到厂柜号:5588171、0809541、330766、6457540、0733826，共受委托承运供方玉米 120.01 吨，合同单价 2310 元/吨，到需方英德天农工厂，经品管技术部门抽样不达合同约定标准，经供需双方友好协商，需方同意2车玉米折价收货。其中 5588171、0809541柜毒素超标:1493.99、1147.01，双方友好协商折价 30元/吨，结算即 2280 元/吨为准;330766柜毒素超标:1081.93，双方友好协商折价5元/吨，结算即 2305 元/吨为准;6457540、0733826柜毒素超标:1066.21、1024.4，双方友好协商折价5元/吨，结算即 2305 元/吨为准。合计扣款1344.8元</t>
  </si>
  <si>
    <t>JCYMZSJQY250029-1</t>
  </si>
  <si>
    <t>关于安佑集团结算扣价</t>
  </si>
  <si>
    <t>苏州穗满德国际贸易有限公司，2025年11月13日签订的《粮食销售合同》(合同编号:JCYMZSJQY250029-1)合同数量1500吨，合同单价2302元/吨，提货新沙港国远86、中瑞祥79，三车到厂检测霉变为2.5%超出合同约定的标准，合计98.38吨，申请每吨扣款20元，扣款20元*98.38吨=1967.6元。</t>
  </si>
  <si>
    <t>国远86、中瑞祥79</t>
  </si>
  <si>
    <t>YMYXMM250768</t>
  </si>
  <si>
    <t>双胞胎（集团）股份有限公司扣款</t>
  </si>
  <si>
    <t>客户在对应外采船“锦富航 69/2530”轮提货过程中，反馈 706.74 吨玉米感官有黑粒，霉变超标，存在质量不合格问题，经饲料厂人员取样检测并复查，霉变达 2.3%，合同约定质量标准：霉变粒≤2%，不符合合同规定。经我部与客
户多次协商，秉承长期友好合同原则，共申请扣款 14134.8 元，单吨扣款 20 元/吨</t>
  </si>
  <si>
    <t>锦富航 69/2530</t>
  </si>
  <si>
    <t>余诗莹</t>
  </si>
  <si>
    <t>关于JZXYMZSJJM25048玉米扣款</t>
  </si>
  <si>
    <t>鹤山市广顺饲料有限公司</t>
  </si>
  <si>
    <t>鹤山市广顺饲料有限公司，于 2025 年 09 月 28 日签订的《粮食销售合同》合同编号:JZXYMZSJJM25048)合同数量 150 吨,合同单价 2400 元/吨，计划号JZXYMSZCG250076 和YHSZ-25-072128，运单号Q085591683和AYWWCRX250607901A，共6柜，截止到 10月 3日该合同下货物已提货完毕。
1、柜号 XYLU1060398，卸厂数 26.42 吨，水湿发霉，发热结块严重，价格按 1700 元/吨结算，已报保险，保险承担8800元。
2、柜号 00CU0908616和 ATHU1168857,卸厂数分别为 26.403和 9.9(半柜)，发热发霉价格按 2330 元/吨结算，其中00CU0908616已报保险，保险承担9920元。合计扣款金额为:18494+2541.21=21035.21元，已报保险，保险承担18720元.</t>
  </si>
  <si>
    <t>JZXYMZSJJM25048</t>
  </si>
  <si>
    <t>YMYXYJ250166</t>
  </si>
  <si>
    <t>阳江双胞胎饲料有限公司</t>
  </si>
  <si>
    <t>我司于2025年9月18日与阳江双胞胎饲料有限公司签订了玉米内贸合同YMYXYJ250166，签订主体为中粮贸易（深圳）有限公司。合同总量为1000吨，单价为2440元/吨，实际执行量为949.18吨。具体提货情况如下：在锦航万盛/2522船上提货473.68吨，在鑫晟奋发/2523船上提货475.50吨。合同约定标准：呕吐毒素含量不得超过1000PPB。
在2025年9月21日至2025年10月9日期间，客户提取了一批玉米（猪料），经检测，呕吐毒素含量在1131至1452之间，不符合合同约定的标准。考虑到双方后期的长期友好合作，对该批货物进行20元/吨的折价处理，总计折价金额为18938.6元。此次扣款已从预留的20000元中扣除。</t>
  </si>
  <si>
    <t>鑫晟奋发/2523、锦航万盛/2522</t>
  </si>
  <si>
    <t>刘佳莹</t>
  </si>
  <si>
    <t>茂名海航 YMYXMM250260 质量扣款的情况说明</t>
  </si>
  <si>
    <t>茂名海航饲料有限公司</t>
  </si>
  <si>
    <t>在外采大船“天台 19/2518”轮提货过程中，160.05 吨存在有异常发热、有霉味、杂质超标的质量问题，杂
质达 3.7%，不符合同规定。经我司业务人员核实，检测结果确实存在。秉承长期友好合同原则，经我部与客
户多次友好协商后，做扣价 30 元/吨处理，申请扣款金额合计 4801.5 元，该船质量问题已报备饲料原料部。
由于该合同已经结算，申请在 YMYXMM250747 做抵扣</t>
  </si>
  <si>
    <t>天台 19/2518</t>
  </si>
  <si>
    <t>YMYXMM250260</t>
  </si>
  <si>
    <t>YMFJFZ250147</t>
  </si>
  <si>
    <t>兹有我司与双胞胎（集团）股份有限公司签订《粮食销售合同》（合同号：YMFJFZ250147）合同数量1000吨，单价2310元/吨，合同约定呕吐毒素≤1000ppb。该合同实际接货1019.74吨，在提货过程中,出现部分车次呕吐毒素超标问题,扣款金额为 5264.4元,折合5.16元/吨。该批次提货对应军航码头散船瑞生16/2528轮（挑选出货），该批次销售为双胞胎集团下属工厂屏南双胞胎饲料有限公司，为首次开发工厂，客户扣款已在后续合同中以保毒素玉米价格加价给我司（YMFJFZ250188合同，1000吨，2425元/吨，加价16元/吨）。</t>
  </si>
  <si>
    <t>YMFJZZ250287</t>
  </si>
  <si>
    <t>福建湘大骆驼饲料有限公司</t>
  </si>
  <si>
    <t>JZXYMGXXJ250067</t>
  </si>
  <si>
    <t>广西南宁央卓粮食贸易有限公司</t>
  </si>
  <si>
    <t>客户名：广西南宁央卓粮食贸易有限公司,合同号：JZXYMGXXJ250067,单价：2275元/吨，签订指标：容重
≥710g/l，水分≤14.5%，霉变≤2%，热损≤1%，杂质≤1%，不完善≤8%，呕吐毒素≤1000ppb，计划号：
YHSZ-25-092334，运单号：AWKTRTT250772047、APSFCQC250784002，11月14日开始提货，在交货时，
下反馈毒素超标，经我放人员核实并重新取样邮寄至北良华正检测（检测结果如附件），客户反馈共计16柜（444.08吨）毒素超标，每吨扣款60元/吨，经我部与客户多次友好协商后，对其中14
柜（389.55吨）做扣价 20 元/吨处理，即本合同扣款389.55吨*20元/吨=7791元，</t>
  </si>
  <si>
    <t>朱雪语</t>
  </si>
  <si>
    <t>YHYMGXXS250904003</t>
  </si>
  <si>
    <t>9月13</t>
  </si>
  <si>
    <t>广西柳州桂柳牧业有限公司</t>
  </si>
  <si>
    <t>合同号：YHYMGXXS250904003，客户名：广西柳州桂柳牧业有限公司，合同数量：700吨，单价：2390元/
吨 , 提货数量：692.22吨，该批粮源为扬翔退货货源，在发运时，船运已反馈杂质大、破碎高，到达白沙港
时，我部人员朱雪语，现场检查，情况属实，并伴有发霉发热现场。退回白沙库（提珠三角“国远705”船，驳
船名：贵港兴泰82）另行销售，在销售时按照市场行情正价销售，于9月5日-9月13日陆续提货，到厂收货时，客
户反馈其中472.15吨出现发霉，发热等现象，客户提出该部分每吨扣款60元接收，经过跟客户友好协商，每吨按
照30元进行扣款让步接收，即472.15元*30元/吨=14,164.5元</t>
  </si>
  <si>
    <t>国远705</t>
  </si>
  <si>
    <t>JKDMYXZJ250030</t>
  </si>
  <si>
    <t>堆存费减免</t>
  </si>
  <si>
    <t>徐闻县京基智农时代有限公司</t>
  </si>
  <si>
    <t>由于我方集中交货及不按船期发运，造成了客户提货压力大，客户已尽量在合同规定 20 天内完成大部分提货，但仍在第二船有部分超期，产生堆存费 979.56 元，经过与厂家多次友好协商，现申请对徐闻京基堆存费 979.56 元进行减免</t>
  </si>
  <si>
    <t>堆存费申请减免</t>
  </si>
  <si>
    <t>GREEN ITAJAI（鼎晋）/25002</t>
  </si>
  <si>
    <t>莫贤辉</t>
  </si>
  <si>
    <t>YMZSJDG250122</t>
  </si>
  <si>
    <t>广州顺泽粮食贸易有限公司</t>
  </si>
  <si>
    <t>一体化计划号:YHSZ-25-062402，YHSZ-25-062403，YHSZ-25-062404共销售广州顺泽粮食贸易有限公司115 柜，2025年7月11日签订的《粮食销售合同》(合同编号:YMZSJDG250122)合同数量 3000吨，合同单价 2440 元/吨，结算数量 3054.678 吨。该合同交货过程中 102 柜质量问题产生扣款合计扣款91846.45 元:
其中 82 柜发热有霉味扣款 30 元/吨让步降价处理;1柜发热发霉结块扣款 80 元/吨让步接收，1 柜箱内有垃圾，水湿结块，扣款 40 元/吨降价处理,1柜发热发霉,有虫扣款 60 元/吨让步接收,1柜容重 702ppb复测 696ppb,不达标扣款 10 元/吨，1柜容重 695ppb 不达标扣款 20 元/吨。</t>
  </si>
  <si>
    <t>发霉发热</t>
  </si>
  <si>
    <t>天隆河/299S、延展228/043S、昌盛集 9/047S</t>
  </si>
  <si>
    <t>林佳琦</t>
  </si>
  <si>
    <t>关于南宁海大杂质超标扣款</t>
  </si>
  <si>
    <t>在珠三角提货，因交货为筒仓货物，交货时均为筒仓底部货物，杂质偏大</t>
  </si>
  <si>
    <t>东星海泰/077</t>
  </si>
  <si>
    <t>/YMGXQZ250275/YMGXQZ250276</t>
  </si>
  <si>
    <t>宁昕</t>
  </si>
  <si>
    <t>YHYMZSJXS251113002</t>
  </si>
  <si>
    <t>该合同交货过程中1柜箱号:OOLU2987138 箱底未干0.3 吨粘底卸不下来客户折价 1732 元/吨，扣款 519.6 元让步接收</t>
  </si>
  <si>
    <t>质量问题（水湿粘底）</t>
  </si>
  <si>
    <t>TIAN XIU HE 340S</t>
  </si>
  <si>
    <t>YMYXMM250558</t>
  </si>
  <si>
    <t>关于潘钟明、余剑玲、黄东宇、林雪清、许忠炯、广东双谷、双胞胎陈粮合同折价的情况说明</t>
  </si>
  <si>
    <t>因无陈粮库存交货，经多次反复沟通协商，以下打包厂、饲料厂陈粮合同剩余未提量在”佳升56/2521“、“锦江河/2519”、“海腾炜业6/2508”、“锦江河/2521”、“利泰朝阳/2524”新船执行，申请在新船执行量折价30元/吨，以下为具体明细</t>
  </si>
  <si>
    <t>佳升56/2521</t>
  </si>
  <si>
    <t>YMYXMM250554</t>
  </si>
  <si>
    <t>YMYXMM250602</t>
  </si>
  <si>
    <t>佳升56/2521、锦江河/2519、海腾炜业6/2508、锦江河/2521、利泰朝阳/2524</t>
  </si>
  <si>
    <t>YMYXMM250553</t>
  </si>
  <si>
    <t>佳升56/2521、锦江河/2519</t>
  </si>
  <si>
    <t>YMYXMM250596</t>
  </si>
  <si>
    <t>锦江河/2519</t>
  </si>
  <si>
    <t>YMYXMM250582</t>
  </si>
  <si>
    <t>YMYXMM250569</t>
  </si>
  <si>
    <t>YMYXMM250564</t>
  </si>
  <si>
    <t>YMYXMM250576</t>
  </si>
  <si>
    <t>YMYXMM250507</t>
  </si>
  <si>
    <t>利泰朝阳/2524</t>
  </si>
  <si>
    <t>YMLDW251027018</t>
  </si>
  <si>
    <t>关于福建省南平市悠农饲料有限公司商务扣款的申请</t>
  </si>
  <si>
    <t>2025年10月27日我司与福建省南平市悠农饲料有限公司签订《粮食销售合同》(合同编号:YMLDW251027018)，数量1500吨，单价2260元/吨，该票集装箱计划号:YHSZ-25-092308-1、YHSZ-25-092308-2沈阳鑫封缘发至漳州港，合计11个柜，10月31日到港，11月13日提货反馈水分超标，箱内玉米发热，大面积结块，底下一层全部发黑发霉结块，福建经营部销售人员严代亮、沈业润第一时间到厂核实后将情况上报集装箱小组并已在质量反馈表上填报。经过友好协商，客户同意接货做扣款处理，该三组10柜数量为303.82吨，按照单吨扣款100元/吨，合计扣款30382元(附上客户商函及工厂收货现场照片)。</t>
  </si>
  <si>
    <t>集装箱</t>
  </si>
  <si>
    <t>严代亮</t>
  </si>
  <si>
    <t>集装箱滞期费用处理</t>
  </si>
  <si>
    <t>2025年7月--2025年11月</t>
  </si>
  <si>
    <t>集装箱滞箱费用</t>
  </si>
  <si>
    <t>漳州港集装箱7-11月超期费用的说明</t>
  </si>
  <si>
    <t>漳州销售部2025年7-11月累计完成集装箱玉米销售64,350吨，期间因粮源品质异常引发集装箱滞期费用。为</t>
  </si>
  <si>
    <t>滞期费用</t>
  </si>
  <si>
    <t>、</t>
  </si>
  <si>
    <t>无</t>
  </si>
  <si>
    <t>JZXYMFJZZ250045</t>
  </si>
  <si>
    <t>关于永安鑫华港饲料有限公司商务扣款的申请</t>
  </si>
  <si>
    <t>2025年10月20日我司与永安鑫华港饲料有限公司签订《粮食销售合同》(合同编号:JZXYMFJZZ250045)，数量685吨，单价2285元/吨，该票集装箱计划号:YHSZ-25-092307沈阳福满仓库发至漳州港，提单号:2G25098728090F，号:ZGXU2534719，该柜10月16日到港，10月27日提货反馈水分超标，发热有异味，经过友好协商，客户同意接货做扣款处理，该柜数量为28.37吨，按照单吨扣款50元/吨，合计扣款1418.5元(附上客户检验报告及扣款函)</t>
  </si>
  <si>
    <t>YMYXMM250594</t>
  </si>
  <si>
    <t>沈业润</t>
  </si>
  <si>
    <t>关于广东域强YMYXMM250594陈粮合同折价的情况说明</t>
  </si>
  <si>
    <t>广东域强粮油贸易有限公司YMYXMM250594，签订日期2025年10月15日，合同量2410元，单价2410元。该合同为陈粮合同，共提货1952.44吨。因无陈粮库存交货，经多次反复沟通协商，分别在”佳升56/2521“新船执行1863.78吨，在”锦江河/2521“新船执行88.66吨，现申请在新船执行量折价50元/吨，折价金额为97622元。</t>
  </si>
  <si>
    <t>YMFJFZ250174</t>
  </si>
  <si>
    <t>11-14-22</t>
  </si>
  <si>
    <t>兹有我司与双胞胎（集团）股份有限公司签订《粮食销售合同》（合同号：YMFJFZ250174）合同数量2000吨，单价2335元/吨，合同约定呕吐毒素≤1000ppb。该合同实际执行2007.92吨，在提货过程中,出现部分车次呕吐毒素超标问题,该合同扣款金额为9919.4元,折合扣款4.94元/吨。该批次提货对应军航码头散船弘泰612/2524、华源盛/2529（挑选出货），该批次销售为双胞胎集团下属工厂屏南双胞胎饲料有限公司，为首次开发工厂，客户扣款已在后续合同中以保毒素玉米价格加价给我司（YMFJFZ250188合同，1000吨，2425元/吨，加价16元/吨）</t>
  </si>
  <si>
    <t>YMHN250282</t>
  </si>
  <si>
    <t>河南牧原粮食贸易有限公司扣款说明</t>
  </si>
  <si>
    <t>我司与河南牧原粮食贸易有限公司于2025年11月3日签订的《粮食销售合同》（合同号： YMHN250282），合同数量285吨，合同单价2390元/吨（送到厂价）。截止目前到厂数量500吨，合同单价2330元/吨（送到厂价），合同约定水分≤15%。截止目前到货数量486.28吨，执行完毕。该合同货物在接卸过程中发现一车货物水分15.3%，不符合合同约定标准。此车玉米到厂数量32.32吨，经双方友好协商，此车玉米按5元/吨进行扣价接收，合计扣款¥161.6元。</t>
  </si>
  <si>
    <t>益嘉98/2528</t>
  </si>
  <si>
    <t xml:space="preserve"> YMHN250282</t>
  </si>
  <si>
    <t>范闻超</t>
  </si>
  <si>
    <t>YMFJZZ250298</t>
  </si>
  <si>
    <t>有关漳州大北农农牧科技有限公司玉米商务扣款事项</t>
  </si>
  <si>
    <t xml:space="preserve"> 我司与漳州大北农农牧科技有限公司于2025年11月19日签订《粮食销售合同（赊销）》（合同编号：YMFJZZ250298），数量1500吨，单价2350元/吨。该合同已累计提1300.32吨，客户于2025年11月月25日至11月26提货的提货玉米合计223.08吨，到货后检测出呕吐毒素超标、杂质的的情况，因我司与客户合同约定指标呕吐毒素指标≤1000ug/kg，杂质≤1.0%，经与工厂、物流等人员确认事实属实，经双方友好协商，该批次货物由退货转扣款接收。以上情况产生扣款5872.50元。</t>
  </si>
  <si>
    <t>三水809/2525</t>
  </si>
  <si>
    <t>YMFJFZ250114</t>
  </si>
  <si>
    <t>有关正大原料供应有限公司玉米商务扣款事项</t>
  </si>
  <si>
    <t>我司与正大原料供应有限公司于 2025 年8月27日签订《粮食销售合同》（合同编号：YMFJFZ250114 ），数量 500 吨，单价2400元/吨，合同约定杂质≤1%，不完善粒≤8%，呕吐毒素≤1000ug/kg。 客户于9月底前多次检测陈粮玉米利福开拓/2525轮上货物，但玉米毒素超过1500ug/kg，工厂无法使用，原计划交付正大的玉米我司改过筛对圣农集团玉米合同进行交付（交付JZXYMFJFZ250036合同，单价2600元/吨到厂，折算军航码头价格2500元/吨）。
 对于正大集团因我司无法按时交付满足质量标准的货物，9月末与10月初市场持续跌价约150元/吨，客户计划取消该合同。后经双方友好协商，我司换新产季玉米于10月底开始交付，客户延期执行上述销售合同，客户预计对该合同换新产季玉米接收预计折价60元/吨，该合同折单价2340元/吨。
 客户于2025年11月3日-11月19日提货的477.09吨玉米存在部分毒素超过1000ug/kg，杂质超标、破损较大的问题，存在品质扣款9,951.25元，折单吨20.8元/吨。所提货物匹配船：海百15/2523。
经双方多次沟通，客户对该批次货物进行折价接收，以上情况合计产生扣款38576.65元（大写：人民币叁万捌仟伍佰柒拾陆元陆角伍分）.该合同累计提货477.09吨，折单吨扣80.8元/吨。该合同我司为转新玉米对客户的合同进行交付,对于毒素扣款我司在前期销售时已加30元/吨，可覆盖品质扣款。
     以上扣款是否可行，烦请领导批示，谢谢。</t>
  </si>
  <si>
    <t>海百15/2523</t>
  </si>
  <si>
    <t>杜宜衡</t>
  </si>
  <si>
    <t>YMFJZZ250273</t>
  </si>
  <si>
    <t>我司与正大原料供应有限公司于 2025 年11月3日签订《粮食销售合同》（合同编号：YMFJZZ250273），数量 500 吨，单价2250元/吨。该合同已累计提505.74吨，客户2025年11月20日-11月26日接收的505.74吨玉米存在杂质超标、破损较大的问题。所提货物匹配船：宁兴18/2525。
     经双方友好协商，正大对该批次货物进行折价接收，以上情况合计产生扣款5240.75元（大写：人民币伍仟贰佰肆拾元柒角伍分），该批次累计提货505.74吨，合计折单吨扣款10.36元/吨。该合同销售时已加价10元/吨。
     以上扣款是否可行，烦请领导批示，谢谢。</t>
  </si>
  <si>
    <t>宁兴18/2525</t>
  </si>
  <si>
    <t>有关福建湘大骆驼饲料有限公司玉米商务扣款事项</t>
  </si>
  <si>
    <t>我司与福建湘大骆驼饲料有限公司于 2025 年9月22日签订《粮食销售合同》（合同编号：YMFJZZ250287），数量 300 吨，单价2310元/吨。
客户2025年11月22日-11月23日接收的196.3吨玉米客户检测杂质偏大（杂质检测在1.1%-1.8%），部分车辆杂质超标,与客户多次进行协商后，客户扣款2224.53元接收，所提货物匹配船：宁兴18/2525。该合同累计提货295.02吨，折合单吨扣款7.5元/吨。
     福建湘大骆驼饲料有限公司对该批次货物进行折价接收，以上情况合计产生扣款2224.53元（大写：人民币贰仟贰佰贰拾肆元伍角叁分）。该合同签订
     以上扣款是否可行，烦请领导批示，谢谢。</t>
  </si>
  <si>
    <t>JZXYMFJFZ250080</t>
  </si>
  <si>
    <t>有关三明市丰源饲料有限公司玉米商务扣款事项</t>
  </si>
  <si>
    <t>我司与三明市丰源饲料有限公司于 2025 年10月22日签订《粮食销售合同》（合同编号：JZXYMFJFZ250080），数量 500 吨，单价2260元/吨。该合同已累计提货490.35吨，客户2025年10月25日-10月30日接收的102.52吨集装箱货物，因新玉米水分不稳定，到货存在发热情况，扣款60元/吨。
经双方友好协商，三明市丰源饲料有限公司对该批次货物进行折价接收，以上情况合计产生扣款6151.2元（大写：人民币陆仟壹佰伍拾壹元贰角），该批次累计提货490.35吨，合计折单吨扣款12.55元/吨。
     以上扣款是否可行，烦请领导批示，谢谢。</t>
  </si>
  <si>
    <t>CSNU2898120
CSNU2889900
CSNU2906530
CSNU2821983
CSNU2806994</t>
  </si>
  <si>
    <t>JZXYMFJFZ250074</t>
  </si>
  <si>
    <t>有关福建省金同星汇贸易有限公司玉米商务扣款事项</t>
  </si>
  <si>
    <t>我司与福建省金同星汇贸易有限公司于 2025 年10月12日签订《粮食销售合同》（合同编号：JZXYMFJFZ250074），数量210吨，单价2345元/吨。该合同已累计提货209.155吨，客户2025年10月22日接收的集装箱CSNU2904028、CSNU2895414，因新玉米水分不稳定，到货存在发热情况，客户扣款接收。所提集装箱计划号：YHSZ-25-092310，禹泰库。该批集装箱10月18日到货。
经双方友好协商，福建省金同星汇贸易有限公司对该批次货物进行折价接收，以上情况合计产生扣款2,030.00 元（大写：人民币贰仟零叁拾），该批次累计提货209.155吨，合计折单吨扣款10元/吨。我司与客户签订该合同时间，已对比同期指导价格加价40元/吨进行销售，同时对后续批次交货进行挑选后出货，可覆盖扣款。</t>
  </si>
  <si>
    <t>CSNU2904028、CSNU2895414</t>
  </si>
  <si>
    <t>YMZSJQY250105</t>
  </si>
  <si>
    <t>关于安徽正康饲料有限责任公司扣款的说明</t>
  </si>
  <si>
    <t>我司与安徽正康饲料有限责任公司于 2025 年6月26 日签订的《粮食销售合同》合同号 YMZSJQY250105，单价 2555 元/吨，数量 2000 吨，客户提货我司库存前移驳船:粤海 36 轮货物(该船清仓我司弘泰 819 货物1069.982吨+京粮/250115合同货物 209.72吨，装货时已出现粉尘较大、霉变现象，后续出现发热情况)，共计库存前移 1279.702吨，客户于8月 26 日开始提货到厂 299.94 吨,反馈提货时出现大量粉尘。于 2025年8月31 日开始到货共计 299.86 吨，到厂后发现该船玉米有出现大量的粉尘杂质，玉米都被淹没在粉尘杂质里，碎粒、粉尘占比达5.75%，同时经过测验:呕吐毒素测试分别为1231.04，1837.26，不符合客户合同签订指标中质量验收标准，我司销售人员9月去现场查看后，确认情况属实，后经过销售与客户沟通,又于9月 16 日协助我司提货 99.82 吨共计三车货物。粤海 36 轮剩余货物 350.92吨由于质量较差无法使用，为避免货物质量进一步受损，销售给韶关市源饲料有限公司(价格:2270 元/吨)，经过销售与客户沟通，客户原计划扣款100元/吨，现经过双方友好协商，客户共计提货699.62吨，申请对8月26日开始提货到厂的299.94吨扣款 40元/吨，对8月31 日和9月 16 日提货的玉米共计 399.68 吨，进行扣款 70 元/吨，共计扣款 299.94*40+399.68*70=39975.2元。请领导批示</t>
  </si>
  <si>
    <t>弘泰819</t>
  </si>
  <si>
    <t>YMZSJDGJZX250422</t>
  </si>
  <si>
    <t>关于YMZSJDGJZX250422合同扣款说明</t>
  </si>
  <si>
    <t>我司与 中山市福大生物科技有限公司 于2025年 11月28日签署的粮食销售合同：YMZSJDGJZX250422（合同量：382吨，单价：2420元/吨）；客户提货到厂检测出现6个柜子出现容重低、毒素超标、水分超标情况（运单号：JZ21JZLX1454F7），对于该6个柜子扣款15元/吨处理，合计162.66吨*15元/吨=2439.9元；</t>
  </si>
  <si>
    <t>JZ21JZLX1454F7</t>
  </si>
  <si>
    <t>YMZSJDKHLY250180</t>
  </si>
  <si>
    <t>关于贵州漓源饲料有限公司YMZSJDKHLY250180扣款的请示</t>
  </si>
  <si>
    <t>我司于2025年11月6日与贵州漓源饲料有限公司签订内贸玉米合同，编号YMZSJDKHLY250180，数量1000吨，单价2240元/吨。
客户于南沙港东星海泰/077灌箱提货，提单号NSDXHT7725009，因工厂检测杂质偏高，综合平均杂质约2.99%。因对客户成品以及口碑造成影响，扣价15元/吨，需扣价:997.544*15=14963.16元。</t>
  </si>
  <si>
    <t>李长聪</t>
  </si>
  <si>
    <t>YMZSJDKHWS250037</t>
  </si>
  <si>
    <t>温氏集团扣款情况说明</t>
  </si>
  <si>
    <t>2025年11月24日 我司与  信丰温氏畜牧有限公司  签订内贸玉米合同，协议号：YMZSJDKHWS250037，数量1500吨，单价2360元/吨。客户提麻涌港 东星海泰/078货物，报161.76吨货物赤霉烯酮（250ppb）超标，单吨扣价10元，合计扣款1617.6元。</t>
  </si>
  <si>
    <t>东星海泰/078</t>
  </si>
  <si>
    <t>凌梓峰</t>
  </si>
  <si>
    <t>YMZSJDKHWS250025-3</t>
  </si>
  <si>
    <t>2025年11月13日我司与   富川广东温氏畜牧有限公司  签订内贸玉米转让协议，合同号：YMZSJDKHWS250025-3 ，数量1000 吨，单价2290元/吨。客户提麻涌港 东星海泰/078，报189.68吨货物赤霉烯酮( 290 ppb)超标，属于折价接收范围，单吨扣价10元，合计扣款1896.8元。</t>
  </si>
  <si>
    <t>YMZSJDKHWS250025-2</t>
  </si>
  <si>
    <t>2025年11月12日我司与  河源市温氏禽畜有限公司  签订内贸玉米转让协议，协议号：YMZSJDKHWS250025-2，数量1000吨，单价2290元/吨。客户提麻涌港 东星海泰/078货物，报29.2吨货物杂质（ 3.34 ）超标，属于折价接收范围，单吨扣价10元，合计扣款292元。</t>
  </si>
  <si>
    <t>YMZSJDKHWS250030</t>
  </si>
  <si>
    <t>2025年11月13日 我司与  道县温氏畜牧有限公司  签订内贸玉米合同，合同号：YMZSJDKHWS250030 ，数量2500吨，单价2305元/吨。客户提麻涌港 国家能源610/2511货物，报1154.2吨货物 杂质（2.07-13.07）超标，属于折价接收范围，单吨扣价10元，合计扣款11542元。</t>
  </si>
  <si>
    <t xml:space="preserve"> 国家能源610/2511</t>
  </si>
  <si>
    <t>YMZSJDKHWS250033</t>
  </si>
  <si>
    <t>2025年11月17日我司与  大余温氏畜牧有限公司  签订内贸玉米合同，协议号：YMZSJDKHWS250033，数量1000吨，单价2350元/吨。客户提麻涌港 国家能源610/2511货物，报549.32吨货物杂质（1.32%-1.67%）、呕吐毒素（2250-2440）和赤霉烯酮( 1734 ppb)超标，属于折价接收范围，单吨扣价15元，合计扣款8239.8元。</t>
  </si>
  <si>
    <t>国家能源610/2511</t>
  </si>
  <si>
    <t>YMYXMM250391</t>
  </si>
  <si>
    <t>关于茂名响亮 YMYXMM250391 质量扣款的情况说明</t>
  </si>
  <si>
    <t>茂名响亮饲料有限公司 YMYXMM250391（合同量 3000 吨，单价 2406 元），合同约定呕吐毒素≤
1000ug/kg。该合同执行 3005.77 吨，在中心不保毒大船“鑫海城 1/2516”轮提货过程中，252.01 吨存在
毒素超标的质量问题，在 1025-1574ppb 之间，不符合同规定。经我司业务人员核实，检测结果确实存在。
秉承长期友好合同原则，经我部与客户多次友好协商后，做扣价 30 元/吨处理，申请扣款金额合计 7560.3
元。该扣款情况已报备饲料原料部。已在 YMYXMM250391 合同成交时预留 30 元/吨溢价处理质量扣款，
预留价差可覆盖扣款。由于该合同已经结算完毕，申请在 JZXYMYXMM250507 合同抵扣扣款</t>
  </si>
  <si>
    <t>鑫海城 1/2516</t>
  </si>
  <si>
    <t>YMYXMM250392</t>
  </si>
  <si>
    <t>关于茂名金源 YMYXMM250392 质量扣款的情况说明</t>
  </si>
  <si>
    <t>茂名金源生物科技有限公司 YMYXMM250392（合同量 2000 吨，单价 2409 元），合同约定呕吐毒素
≤1000ug/kg。该合同执行 1972.24 吨，安排在中心大船“鑫海城 1/2516、远泰 99/2521”轮提货不保毒
素玉米，1754.02 吨存在毒素超标的质量问题，在 1012-1350ppb 之间，不符合同规定。经我司业务人员核
实，检测结果确实存在。秉承长期友好合同原则，经我部与客户多次友好协商后，做扣价 20 元/吨处理，申
请扣款金额合计 35080.4 元。该扣款情况已报备饲料原料部。已在 YMYXMM250392 合同成交时预留 20
元/吨溢价处理质量扣款，预留价差可覆盖扣款。由于该合同已经结算完毕，申请在 YMYXMM250778 合同
抵扣。</t>
  </si>
  <si>
    <t>鑫海城 1/2516、远泰 99/2521</t>
  </si>
  <si>
    <t>YMZSJJM25081</t>
  </si>
  <si>
    <t>关于YMZSJJM25081玉米杂质超标扣款费</t>
  </si>
  <si>
    <t>江门市旺海饲料实业有限公司，于2025 年 11 月24 日签订的《粮食销售合同（赊销）》合同编号:YMZSJJM25081)合同数量2000吨,合同单价2373元/吨，配送船只粤新会货 8093存在玉米杂质超标扣款费用：
船号粤新会货8093，卸船重量995.958吨，该批玉米验收过程时检测出杂质为3.34%,超出合同标准1.34%,江门市旺海饲料实业有限公司提出该船折价20元/吨让步接收处理，总计费用：995.958*20=19919.16元。</t>
  </si>
  <si>
    <t>东星海泰/076、东星海泰/078</t>
  </si>
  <si>
    <t>JZXYMFJFZ250075</t>
  </si>
  <si>
    <t>有关三明海大饲料有限公司玉米商务扣款事项</t>
  </si>
  <si>
    <t>我司与三明海大饲料有限公司于 2025 年10月20日签订《粮食销售合同》（合同编号：JZXYMFJFZ250075），数量500吨，单价2360元/吨。该合同已累计提498.07吨，客户2025年11月1日-2025年11月28日接收的167.16吨玉米存在水分超标发热、毒素超标等情况。所提货物匹配计划号：YHSZ-25-092324，宏泰源库；YHSZ-25-092311，禹泰库。
 经双方友好协商，三明海大饲料有限公司对该批次货物进行折价接收，以上情况合计产生扣款5133.43元（大写：人民币伍仟壹佰叁拾叁元肆角叁分），该批次累计提货498.07吨，折单吨扣款10.3元/吨，因合同签订保呕吐毒素，前期已加价15元/吨进行销售，可涵盖扣款损失.</t>
  </si>
  <si>
    <t>YHSZ-25-092324，宏泰源库；YHSZ-25-092311，禹泰库</t>
  </si>
  <si>
    <t>JZXYMFJFZ250072</t>
  </si>
  <si>
    <t>有关营口长源物流供应链管理有限公司玉米商务扣款事项</t>
  </si>
  <si>
    <t>我司与营口长源物流供应链管理有限公司于 2025 年10月13日签订《粮食销售合同》（合同编号：JZXYMFJFZ250072），数量 540吨，单价2300元/吨。合同约定杂质≤1%，不完善粒≤8%，呕吐毒素≤1000ug/kg。
客户于10月27日提货的集装箱经过水分检测均存在超15%的情况，部分集装箱有轻微发热的情况，根据检测结果，客户的对水分检测超15.5%的6柜集装箱，每吨扣款30元/吨接收，合计产生扣款4898.7元，折单吨扣款9元/吨。该批集装箱匹配计划号：YHSZ-25-092310，禹泰库。我司前期已对该批集装箱水分超标情况登记反馈。
因考虑到该客户为终端销售，该批次销售猪料客户，因此在销售时，已加价20元/吨进行销售，溢价可涵盖上述扣款损失。
以上扣款是否可行，烦请领导批示，谢谢。</t>
  </si>
  <si>
    <t>YHSZ-25-092310，禹泰库</t>
  </si>
  <si>
    <t>JCYMZSJDG25053-1</t>
  </si>
  <si>
    <t>关于播恩集团股份有限公司 JCYMZSJDG25053-1 扣款的请示</t>
  </si>
  <si>
    <t>客户于麻涌港东耀海泰提货，有一车（车号皖LD5749）32.40 吨玉米检测毒素不符合合同标准</t>
  </si>
  <si>
    <t>东耀海泰066</t>
  </si>
  <si>
    <r>
      <rPr>
        <sz val="14"/>
        <color rgb="FF000000"/>
        <rFont val="宋体"/>
        <charset val="134"/>
        <scheme val="minor"/>
      </rPr>
      <t>YMFJFZ250</t>
    </r>
    <r>
      <rPr>
        <sz val="14"/>
        <color rgb="FF000000"/>
        <rFont val="宋体"/>
        <charset val="134"/>
        <scheme val="minor"/>
      </rPr>
      <t>086</t>
    </r>
  </si>
  <si>
    <t>2025-8-14-9-14</t>
  </si>
  <si>
    <t>有关福建省邵武市华龙饲料有限公司玉米商务扣款事项</t>
  </si>
  <si>
    <t>我司与福建省邵武市华龙饲料有限公司于 2025 年7月14日签订《粮食销售合同》（合同编号：YMFJFZ250086），数量3000吨，单价2410元/吨。该合同累计提货3119.12吨，客户2025年8月14日-2025年9月13日接收的1084.11吨玉米，出现杂质及霉变超标情况，客户原诉求扣款51398.46元，经双方多次沟通后，客户同意扣款21584.2元（附客户扣款商函及照片），折合6.92元/吨。
     以上扣款，对应船舶昌晟隆/2523、明金2号/2523，是否可行，烦请领导批示，谢谢。</t>
  </si>
  <si>
    <t>昌晟隆/2523、明金2号/2523</t>
  </si>
  <si>
    <t>许开兴</t>
  </si>
  <si>
    <t>YMFJFZ250187</t>
  </si>
  <si>
    <t>11-24-29</t>
  </si>
  <si>
    <t>福清双胞胎饲料有限公司</t>
  </si>
  <si>
    <t>我司与福清双胞胎饲料有限公司于 2025 年11月18日签订《粮食销售合同》（合同编号：YMFJFZ250187），数量2000吨，单价2360元/吨。该合同已累计送货1918.48吨，累计接货1914.95吨，客户2025年11月24日-2025年11月29日接收的773.74吨玉米呕吐毒素超标，总计扣款20202.80元，折合10.55元/吨。对应船舶华源盛/2529。该客户原玉米，基本为北方自发到长乐，我部为推动福清双胞胎往军航码头提货，同时推动军航码头电车配送福清双胞胎业务。该单合作是近3年来内贸
玉米的首单合作，主要为双方再此合作磨合（品质、配送等），在销售时未加价销售。接货过程中，我司玉米出现了较大批次的呕吐毒素超标情况，工厂主要生产猪料，对品质要求较为严格，经双方多次友好协商，工厂进行扣款接货，该工厂后续合作，我部将充分考虑实际品质及工厂可能扣款情况，进行溢价销售，涵盖质量损失。
以上扣款是否可行，烦请领导批示，谢谢。</t>
  </si>
  <si>
    <t>华源盛/2529</t>
  </si>
  <si>
    <t>10-28-11-23</t>
  </si>
  <si>
    <t>滞期费</t>
  </si>
  <si>
    <t>关于公益港超期费用(安通)</t>
  </si>
  <si>
    <t>运单号 AWKTNST250778125，销售给广州百川谷物有限公司(JZXYMZSJM25074、170吨、2360元)，合同签订日期为11月19日，因广州百川谷物有限公司是新客户准入，在准入以及客户打款这两方面花费了较长时间，导致出现超期费，产生超期费用合计1640元，申请我司承担
运单号 AWKTNST250764030A,销售给开平市绿皇农牧发展有限公司(JZXYMZSJJM25064608吨，2260元)，客户因前面JZXYMZSJM25059 合同存在大量退货正在处理，暂未有提货计划，导致出现超期费，产生超期费用合计1840元，申请我司承担。
运单号ASNJNSN250754887，原是销售给开平市绿皇农牧发展有限公司(JZXYMZSJJM25059，560吨，2280元)，但因存在变和结块的质量问题，绿皇申请退货后再分批销售给江门市向日饲料有限公司(JZXYMZSJM25066)、广州市天伟生物科技有限公司(JZXYMZSJM25069)和鹤山市广顺饲料有限公司(JZXYMZSJM25070)，导致出现超期费产生超期费用合计 6520元，申请我司承担。
总计费用1640+1840+6520=10000元，申请我司承担</t>
  </si>
  <si>
    <t>\</t>
  </si>
  <si>
    <t>JZXYMZSJM25074、JZXYMZSJJM25064、JZXYMZSJM25059、JZXYMZSJM25066、JZXYMZSJM25069、JZXYMZSJM25070</t>
  </si>
  <si>
    <t>于2025年11月28日签订《粮食销售合同》(合同编号:YMZSJJY250186)，数量500吨，单价2410元/吨，该合同己累计交货499.49吨，(其中12月11日4车车号:C1715D，重量34.86吨车号:粤BGT302，重量35.49吨，车号:粤BFS784，重量35.87吨，车号:粤MA1287，重量39.53吨合计:145.75吨)到货玉米经检验杂质1.2%杂质和破碎粒超出合同约定指标(杂质≤1%),不符合客户接受指标针对该批次到厂不合格玉米，经双方友好协商处理后，退货转扣款接收</t>
  </si>
  <si>
    <t>杂质1.2%杂质和破碎粒超出合同约定指标</t>
  </si>
  <si>
    <t>YMZSJJY250186</t>
  </si>
  <si>
    <t>JCYMHN250088-1</t>
  </si>
  <si>
    <t>11-30-12-8</t>
  </si>
  <si>
    <t>海南省粮油产业有限公司</t>
  </si>
  <si>
    <t>我司与海南省粮油产业有限公司于2025年11月3日签订的《粮食销售合同》（合同号：JCYMHN250088-1），合同数量1500吨，合同单价2257元/吨，截止目前共计执行1487.7吨，执行完毕。该批货物在接卸过程中客户反水分及不完善粒超标等质量问题，我司现场人员范闻超和工厂品管人员共同抽样检测，检测结果事实存在，现场检测水分15.1-15.3%，不完善粒11.7-11.8%不等，合计数量1487.7吨。经双方友好协商，此批玉米按20元/吨进行扣价接收，合计扣款¥29754元。以上扣款具体执行航次为：2025年11月30日抵达马村港“益嘉9/2528”玉米轮执行430.12吨，8602.4元；2025年12月8日抵达马村港“炜业福星/2525”玉米轮执行1057.58吨，扣款21151.6元。</t>
  </si>
  <si>
    <t>益嘉9/2528、炜业福星/2525</t>
  </si>
  <si>
    <t>JZXYMFJFZ250081</t>
  </si>
  <si>
    <t>11月27日-11月30日</t>
  </si>
  <si>
    <t>三明海大饲料有限公司</t>
  </si>
  <si>
    <t>我司与三明海大饲料有限公司于 2025 年11月5日签订《粮食销售合同》（合同编号：JZXYMFJFZ250081），数量800吨，单价2330元/吨。该合同已累计提货788.73吨，客户2025年11月27日-2025年11月30日接收的100.74吨玉米存在毒素超标等情况。所提货物匹配计划号：YHSZ-25-092324，宏泰源库、新誉库。
明细如下：到厂日期 车号 重量/吨 备注
2025/11/27 TLLU3079330 10.14 1500ppb
2025/11/27 ZGXU3005031 27.28 1170ppb
2025/11/28 ZGLU3210656 27.34 1110ppb
2025/11/28 ZGXU3032042 8.45 1710ppb
2025/11/30 ZGLU3138757 27.53 1120ppb
 经双方友好协商，三明海大饲料有限公司对该批次货物进行折价接收，以上情况合计产生扣款1971.90元（大写：人民币壹仟玖佰柒拾壹元玖角），该批次累计提货788.73吨，折单吨扣款2.5元/吨，合同签订保呕吐毒素，前期已加价15元/吨进行销售，可涵盖扣款损失.
     以上扣款是否可行，烦请领导批示，谢谢。</t>
  </si>
  <si>
    <t>YHSZ-25-092324，宏泰源库、新誉库</t>
  </si>
  <si>
    <t>JCYMZSJQY250029-2</t>
  </si>
  <si>
    <t>苏州穗满德国际贸易有限公司，2025年11月19日签订的《粮食销售合同》(合同编号:JCYMZSJQY250029-2)合同数量2000吨，合同单价2297.5元/吨，提货麻涌港东星海泰/078，二车到厂检测杂质分别为1.71%、2.98%出合同约定的标准，合计64.92吨，申请分别扣款538与1472元，合计扣款2010元</t>
  </si>
  <si>
    <t>关于苏湾集装箱滞期费说明</t>
  </si>
  <si>
    <t>1.计划号：YHSZ-25-092303；2.计划号：YHSZ-25-092332； 3.计划号：YHSZ-25-102206；
以上计划号共计33柜产生滞期费（具体费用明细如下），11月19日至11月23日苏湾共计到货215柜，
同时其他贸易商也有陆续到货，由于苏湾港港拆作业能力有限，加上仓容不足需仓内货源周转后才能做拆箱作业
，导致未在期限内拆柜，产生滞期费，合计4446元，现申请以上费用由我司承担。</t>
  </si>
  <si>
    <t>发运集中到货</t>
  </si>
  <si>
    <r>
      <rPr>
        <sz val="9.95"/>
        <color rgb="FF000000"/>
        <rFont val="宋体"/>
        <charset val="134"/>
        <scheme val="minor"/>
      </rPr>
      <t>1.</t>
    </r>
    <r>
      <rPr>
        <sz val="9.95"/>
        <color rgb="FF000000"/>
        <rFont val="宋体"/>
        <charset val="134"/>
        <scheme val="minor"/>
      </rPr>
      <t>计划号：</t>
    </r>
    <r>
      <rPr>
        <sz val="9.95"/>
        <color rgb="FF000000"/>
        <rFont val="宋体"/>
        <charset val="134"/>
        <scheme val="minor"/>
      </rPr>
      <t>YHSZ-25-092303</t>
    </r>
    <r>
      <rPr>
        <sz val="9.95"/>
        <color rgb="FF000000"/>
        <rFont val="宋体"/>
        <charset val="134"/>
        <scheme val="minor"/>
      </rPr>
      <t>；</t>
    </r>
    <r>
      <rPr>
        <sz val="9.95"/>
        <color rgb="FF000000"/>
        <rFont val="宋体"/>
        <charset val="134"/>
        <scheme val="minor"/>
      </rPr>
      <t>2.</t>
    </r>
    <r>
      <rPr>
        <sz val="9.95"/>
        <color rgb="FF000000"/>
        <rFont val="宋体"/>
        <charset val="134"/>
        <scheme val="minor"/>
      </rPr>
      <t>计划号：</t>
    </r>
    <r>
      <rPr>
        <sz val="9.95"/>
        <color rgb="FF000000"/>
        <rFont val="宋体"/>
        <charset val="134"/>
        <scheme val="minor"/>
      </rPr>
      <t>YHSZ-25-092332</t>
    </r>
    <r>
      <rPr>
        <sz val="9.95"/>
        <color rgb="FF000000"/>
        <rFont val="宋体"/>
        <charset val="134"/>
        <scheme val="minor"/>
      </rPr>
      <t xml:space="preserve">； </t>
    </r>
    <r>
      <rPr>
        <sz val="9.95"/>
        <color rgb="FF000000"/>
        <rFont val="宋体"/>
        <charset val="134"/>
        <scheme val="minor"/>
      </rPr>
      <t>3.</t>
    </r>
    <r>
      <rPr>
        <sz val="9.95"/>
        <color rgb="FF000000"/>
        <rFont val="宋体"/>
        <charset val="134"/>
        <scheme val="minor"/>
      </rPr>
      <t>计划号：</t>
    </r>
    <r>
      <rPr>
        <sz val="9.95"/>
        <color rgb="FF000000"/>
        <rFont val="宋体"/>
        <charset val="134"/>
        <scheme val="minor"/>
      </rPr>
      <t>YHSZ-25-102206</t>
    </r>
    <r>
      <rPr>
        <sz val="9.95"/>
        <color rgb="FF000000"/>
        <rFont val="宋体"/>
        <charset val="134"/>
        <scheme val="minor"/>
      </rPr>
      <t>；</t>
    </r>
  </si>
  <si>
    <t>饲料原料部、物流仓储部</t>
  </si>
  <si>
    <t>JZXYMGXXJ250069</t>
  </si>
  <si>
    <t>关于申请承担集装箱滞箱费用的联系单</t>
  </si>
  <si>
    <t>11 月 14 日（周五）我司销售给贵港万千饲料有限公司，合同号为
 JZXYMGXXJ250069，七天无保证金，共计 386.48 吨。此合同为配送合同，11
月 17 日开始物流招标，1、由于销售端配合应标物流供应商不足；2、招标
系统也有 1-2 天的瘫痪问题；3、物流供应商保证金支付较慢，耽误一定时
间。导致 11 月 21 日物流合同才签订完毕。其中计划号：YHSZ-25-101107，
运单 Q087140992 有 4 个柜子共计 109.3 吨，超期 8 天，共计产生 4368 元滞
箱费。由于签订配送合同在可配送后五天内客户全部接完，产生的 4368 元
滞箱费用申请由我司承
担。</t>
  </si>
  <si>
    <t>YHSZ-25-101107</t>
  </si>
  <si>
    <t>YMZSJDKHLY250195</t>
  </si>
  <si>
    <t>关于韶关市漓源饲料有限公司 YMZSJDKHLY250195 扣款的请示</t>
  </si>
  <si>
    <t>我司于 2025 年 11 月 26 日与韶关市漓源饲料有限公司签订内贸玉米合
同，编号 YMZSJDKHLY250195，数量 1000 吨，单价 2400 元/吨。
客户于麻涌港东星海泰/079 提货，提单号 MCDXHT07925039，因工厂到
厂抽样检测发现 200.04 吨玉米杂质检测均值在 1.82%，达不到合同指标
≤1% 。 因 对 客 户 成 品 以 及 口 碑 造 成 影 响 ， 扣 价 10 元 / 吨 ， 需 扣
价:200.04*10=2000.4 元。</t>
  </si>
  <si>
    <t>东星海泰/079</t>
  </si>
  <si>
    <t>YMZSJQY250234</t>
  </si>
  <si>
    <t>退货费用</t>
  </si>
  <si>
    <t>成都德康动物健康技术服务有限公司扣款</t>
  </si>
  <si>
    <t>我司与成都德康动物健康技术服务有限公司于 2025 年11月13 日签订的《粮食销售合同》，合同号 YMZSJQY250234,单价 2320 元/吨,数量 2350 吨,于2025年11月 21日放货南沙港,船名东星海泰/077,放货编号: NSDXHT7725031 客户于2025年11月22 日提货一船，共计 999.02吨，驳船名富航8398,于11月 30 日在码头汽运，粤WG7526 提货47.02.吨、粤 WJ2200 提 45.66 吨、粤 WV6007提 45.14吨、粤 W10831 提 45.3 吨。到厂后发现玉米有出现较严重的板结、发霉情况，不符合客户原料验收标准，我司销售人员与现场物流人员去现场查看后，确认情况属实，客户无法使用，经过双方友好协商，决定对汽运到厂的四车以及船上剩余货物进行退货处理，以上四车及富航 8398提货退货产生的费用本次德康拉运费用共计 35766.22 元，其中我司承担 15000 元，其余费用客户自己承担。同时，该批货物已经转码头销售，转运的运费由成都德康替我司垫付，共计11680.56元，我司在下游销售合同单价增加每吨12元(1000 吨)，对应的销售合同为:YMZSJQY250268广东广弘力源饲料有限公司(单价 2392元/吨，合同量:1000吨)</t>
  </si>
  <si>
    <t>物流仓储部</t>
  </si>
  <si>
    <t>JZXYMZSJQY250113</t>
  </si>
  <si>
    <t>关于双胞胎JZXYMZSJQY250113结算扣款</t>
  </si>
  <si>
    <t>双胞胎（集团）股份有限公司，2025年12月2日签订的《粮食销售合同》(合同编号:JZXYMZSJQY250113)合同数量400吨,合同单价 2470 元/吨,客户提货外采合同号JZXYMSZCG250092，运单号JZ21JZLX1454A，柜号FTAU1999604，到厂检测结果水分15.38，呕吐毒素1161，超出合同约定的标准，申请扣款35元/吨，26.93吨*35=942.55元。</t>
  </si>
  <si>
    <t>JZXYMSZCG250092</t>
  </si>
  <si>
    <t>JZXYMHN250170</t>
  </si>
  <si>
    <t>海南胜飞贸易有限公司商务扣款说明</t>
  </si>
  <si>
    <t>我司与海南胜飞贸易有限公司于2025年11月21日签订的《粮食销售合同》（合同号：JZXYMHN250170），合同数量550吨，合同单价2400元/吨，质量标准：容重≥700g/L，水分≤15%，杂质≤1.0%，霉变粒≤2.0%，不完善粒≤8%，呕吐毒素≤1000ug/kg。截止目前共计执行547.55吨，执行完毕。该批货物在接卸过程中发现箱号为CSNU3002368发运重量27.11吨，呕吐毒素1480.15ug/kg，不符合合同约定质量标准。经双方友好协商，此批玉米收货重量共计27.21吨，按30元/吨进行扣价接收，合计扣款¥816.3元。
以上扣款货物为对应发运计划编号YHSZ-25-102202，对应装箱库点：营口雨荷库</t>
  </si>
  <si>
    <t>发运计划编号YHSZ-25-102202，对应装箱库点：营口雨荷库
箱号为CSNU3002368发运重量27.11吨</t>
  </si>
  <si>
    <t>JZXYMYXMM250805</t>
  </si>
  <si>
    <t>关于客户潘钟明结算数量的说明</t>
  </si>
  <si>
    <t>2025年11月17日签订的的集装箱合同，潘钟明，合同号JZXYMYXMM250805（322吨，2370元每吨）；
客户在提货中发现提单号ASMWGSU250802497A，箱号：HJLU1340302；北方磅装货一组总数56.32吨。
该箱在码头转运过程中爆箱撒漏，12月3日到货后确认柜体侧面漏洞，撒漏，保险第三方已经处理，经双方协商，本合同扣款金额为4.26吨*2370元/吨=10096.2元。</t>
  </si>
  <si>
    <t>ASMWGSU250802497A</t>
  </si>
  <si>
    <t>许满</t>
  </si>
  <si>
    <t>JKDMYXZJ250048</t>
  </si>
  <si>
    <t>堆存费</t>
  </si>
  <si>
    <t>关于进口堆存费抵扣联系单</t>
  </si>
  <si>
    <t>茂名海维饲料有限公司JKDMYXZJ250048在合同执行期间，在大麦鼎晋船总计产生堆存费17185.806元。现客户提出申请用海大集团北部湾玉林产生的扣款进行抵扣。（目前余额631726.02）</t>
  </si>
  <si>
    <t>/</t>
  </si>
  <si>
    <t>张文韬</t>
  </si>
  <si>
    <t>JCYMZSJQY250011-1</t>
  </si>
  <si>
    <t>JCYMZSJQY250011-1联系单</t>
  </si>
  <si>
    <t>司与成都德康动物健康技术服务有限公司于2025年12月10日签订的&lt;&lt;粮食销售合同&gt;&gt;(赊销),合同号JCYMZSJQY250011-1,单价2361元/吨,数量2000吨。客户于2025年12月16日开单我司麻涌港大船:国家能源/2512轮货物共计1000吨，实际装货:996.818吨，提货驳船粤鼎湖货0388于12月19日到厂后发现有杂质超标情况，经检测杂质达3.43%，合同第二条:质量标准中约定:杂质2%，考虑到杂质检测方法尚存争议，且考虑到双方长期以来的友好合作关系，经双方友好协商，申请对12月19日开始提货到厂的996.818货物扣款23556.96元(折合单吨扣款四舍五入后为23.63元)。</t>
  </si>
  <si>
    <t>国家能源/2512</t>
  </si>
  <si>
    <t>郭良伟</t>
  </si>
  <si>
    <t>关于正大原料供应有限公司内贸玉米业务商务的说明</t>
  </si>
  <si>
    <t>提货杂质大，7车做 25 元/吨扣款，数量 311.46 吨，金额为 7786.5 元。</t>
  </si>
  <si>
    <t>国家能源610/2512</t>
  </si>
  <si>
    <t>YMYMGXXJ250141</t>
  </si>
  <si>
    <t>李戈</t>
  </si>
  <si>
    <t>JZXYMLCYDG251207</t>
  </si>
  <si>
    <t>关于合同号JZXYMLCYDG251207扣款说明</t>
  </si>
  <si>
    <t>联系单号:YHSZ-25-111427、YHSZ-25-111429销售广州顺泽粮食贸易有限公司，2025年12月5日签订的《粮食销售合同》(合同编号:JZXYMLCYDG251207)合同数量2500 吨，合同单价 2482元/吨。该合同交货过程中2柜因水湿粘底,杂质破碎杂质大,扣款 20-30 元/吨让步接收,车上粘住卸不下来的 0.36吨客户拒收退回码头仓库 600元/吨让步接收，合计扣款2011.22元</t>
  </si>
  <si>
    <t>Q088864200,Q088894811</t>
  </si>
  <si>
    <t>PASUQ087172260</t>
  </si>
  <si>
    <t>关于支付集装箱押车费用的申请</t>
  </si>
  <si>
    <t>2025年11月11日，受台风天气影响，巨象运输代理（深圳）有限公司在给龙岩市养宝饲料有限公司和漳州港苏州市吴江区勤穗粮油贸易有限公司送货后因漳州港码头已经封港，导致柜子无法还箱，产生2000元的压箱费用。</t>
  </si>
  <si>
    <t>PASUQ087172260（CSLU1856720、FCIU4919747、DFSU1222897、OOLU2169785）</t>
  </si>
  <si>
    <t>JZXYMFJZZ250056、JZXYMFJZZ250048</t>
  </si>
  <si>
    <t>茂名正辉--关于“炜业68V2507“轮玉米质量扣款情况说明</t>
  </si>
  <si>
    <t>关于茂名正辉有限公司与我司签订了原料采购合同(合同编号:YMYXMM250863)，合同数量500吨，合同约定质量标准：容重≥690g/L，水分≤15%，杂质≤1%，霉变粒≤2%，不完善粒≤10%。客户共有两个合同共1000吨在该条船上提货。客户于1月2日在茂名市长晟码头世恒2仓“炜业68V2507“轮提货3车(98.85吨)发现玉米杂质达到4%，呕吐毒素达到2150ug/kg,客户为生产猪料工厂，杂质及呕吐毒素超标只能降级使用，经友好商务沟通，客户同意折价接收，现申请如下：
3车申请扣款20元/吨，共98.85吨，共计扣款1979元</t>
  </si>
  <si>
    <t>炜业68V2507</t>
  </si>
  <si>
    <t>YMYXMM250863</t>
  </si>
  <si>
    <t>JZXYMZSJJM25040</t>
  </si>
  <si>
    <t>广 州 顺 泽 粮 食 贸 易 有 限 公 司 ， 2025 年 9 月 8 日 签 订 的 《 粮 食 销 售 合 同 》 ( 合 同 编
号:JZXYMZSJJM25040)合同数量 540 吨，合同单价 2460 元/吨，该合同签订为按照乙方工厂磅单
结算，工厂磅重 537.78 吨，但结算时，按照集装箱北方发运数 538.805 吨进行了结算，差额为
1.025 吨，折合 2460*1.025 吨=2521.5 元，因 JZXYMZSJJM25040 已结算完毕关闭合同，申请
在后续合同 YHYMZSJXS251113002 中扣除该笔货款。</t>
  </si>
  <si>
    <t>JZXYMFJFZ250084</t>
  </si>
  <si>
    <t>2025年12月4日-2025年12月12日</t>
  </si>
  <si>
    <t>有关成都东方希望农业有限公司玉米商务扣款事项</t>
  </si>
  <si>
    <t>我司与成都东方希望农业有限公司于 2025 年11月18日签订《粮食销售合同》（合同编号：JZXYMFJFZ250084），数量400吨，单价2440元/吨。该合同已累计提385.33吨，客户2025年12月4日-2025年12月12日接收有3柜出现呕吐毒素超标情况。所提货物匹配计划号：YHSZ-25-092324，新誉库。
经双方友好协商，成都东方希望农业有限公司对该批次货物进行折价接收，以上情况合计产生扣款2345.24元（大写：人民币贰仟叁佰肆拾伍元贰角肆分），该批次累计提货385.33吨，折单吨扣款6.08元/吨，因合同签订保呕吐毒素，前期已加价15元/吨进行销售，可涵盖扣款损失。</t>
  </si>
  <si>
    <t>YHSZ-25-092324，新誉库</t>
  </si>
  <si>
    <t>YMZSJDKHWS250040-2</t>
  </si>
  <si>
    <t>2025年12月5日我司与大余温氏畜牧有限公司订内贸玉米转让协议，合同号:YMZSJDKHWS250040-2，数量2000吨，单价2380元/吨，客户提涌港东星海泰078，报 488.7 吨货物杂质( 1.32-1.43)超标，属于折价接收范围，单吨扣价 10元，合计扣款4887 元.</t>
  </si>
  <si>
    <t>YMZSIDKHWS250038-5</t>
  </si>
  <si>
    <t>2025年12月2日我司与大余温氏畜牧有限公司签订内贸玉米转让协议，协议号:YMZSIDKHWS250038-5，数量1000吨，单价2330元/吨。客户提新港东亿603货物报360.04吨货物杂质(1.36-2.2)超标，属于折价接收范围，单吨扣价10元，合计扣款3600.4元。</t>
  </si>
  <si>
    <t>东亿603</t>
  </si>
  <si>
    <t>YMZSJDKHWS250041-2</t>
  </si>
  <si>
    <t>2025年12月8日我司与广西温氏畜牧有限公司签订内贸玉米合同，协议号YMZSJDKHWS250041-2,数量1650吨，单价2400 元/吨。客户提麻涌港 国家能源 610/2512货物，报375.14吨货物赤霉烯酮(317-1137ppb)超标和水分(15.38-15.41)，属于折价接收范围，单吨扣价 30元，合计扣款 11254.2元</t>
  </si>
  <si>
    <t>国家能源 610/2512</t>
  </si>
  <si>
    <t>YMGXXJ250144</t>
  </si>
  <si>
    <t>关于宾阳通威饲料有限公司内贸玉米商务的说明</t>
  </si>
  <si>
    <t xml:space="preserve">前期在 2025 年 12 月 8 日与宾阳通威饲料有限公司签署的内贸玉米合同，对应合同号YMGXXJ250144，单价 2465 元/吨，数量 800 吨。于 2025 年 12 月 27 日至 2026 年 1 月 4 日在白沙港“鸿丰 9678”上完成交付（珠三角大船名：国家能源 610/2512），交货数量 779.27 吨。  在实际交货中存在杂质超标情况，其中较为严重的有 5 车，抽检结果为：3-3.3%，通威集团原规定杂质超 2%需供方退货处理，经过友好协商后对这五车做 20 元/吨扣款，数量 199.63 吨，金额为3992.6 元。折算整合同为 5.12 元/吨。 </t>
  </si>
  <si>
    <t>YMGXXJ250134</t>
  </si>
  <si>
    <t>关于南宁通威生物科技有限公司内贸玉米商务的说明</t>
  </si>
  <si>
    <t>前期在2025年11月17日与南宁通威生物科技有限公司签署的内贸玉米合同，对应合同号
YMGXXJ250134，单价2360元/吨，数量1500吨。于2025年12月23日至2025年12月27日发散船"谢圩6878"配送到厂完成交付(珠三角大船名：国家能源610/2512)，交货数量1492.08吨。
在实际交货中存在水分超标的情况，我司与客户场抽样并邮寄第三方检测机构，实际检测水分为15.69%。经过友好协商后对实际交货数量做17元/吨扣款，数量1492.08吨，金额为25365.36元。</t>
  </si>
  <si>
    <t>YMFJFZ250159</t>
  </si>
  <si>
    <t>我司与三明海大饲料有限公司于 2025 年11月6日签订《粮食销售合同》（合同编号：YMFJFZ250159），数量500吨，单价2245元/吨。该合同已累计提货494.5吨，客户2025年11月20日-2025年11月22日接收的120.61吨玉米存在毒素超标等情况。所提货物匹配船号：弘泰612/2524。
明细如下：
到厂日期 车号 重量/吨 备注
2025/11/20 闽HB3996 39.16 1906ppb
2025/11/22 闽GA2988 41.30 1350ppb
2025/11/20 闽GA2988 40.15 2406.2ppb
     经双方友好协商，三明海大饲料有限公司对该批次货物进行折价接收，以上情况合计产生扣款6195.04元（大写：人民币陆仟壹佰玖拾伍元零角肆分），该批次累计提货120.61吨，折单吨扣款51元/吨。折整批单吨扣款为12.5元/吨，合同签订保呕吐毒素，加价15元/吨。可覆盖扣款。（该订单11月16日申请，当期先款价格2230元/吨，申请2245元/吨签订保毒素交付）
以上扣款是否可行，烦请领导批示，谢谢。</t>
  </si>
  <si>
    <t>弘泰612/2524</t>
  </si>
  <si>
    <t>YMFJFZ250134</t>
  </si>
  <si>
    <t>有关深圳市凌念网络科技有限公司玉米商务扣款事项</t>
  </si>
  <si>
    <t>我司与深圳市凌念网络科技有限公司于 2025 年10月23日签订《粮食销售合同》（合同编号：YMFJFZ250134），数量1000吨，单价2260元/吨，约定指标杂质≤1%，呕吐毒素≤1mg/Kg，福州军航码头自提；客户已累计提货985.31 吨。
客户于12月17日-12月19日提货的散粮，存在呕吐超标、杂质超标的情况，合计产生扣款7516.1元（大写：人民币柒仟伍佰壹拾陆元陆角），产生商务扣款货物共计248.53吨，折单吨扣款30.42元/吨。所提货物匹配船名：正海3/2506。（10月23日申请该订单时指导价格为先款2245元/吨，11月马尾港自提）。我司已加价15元/吨进行保毒素销售，溢价可覆盖扣款。
以上扣款是否可行，烦请领导批示，谢谢。</t>
  </si>
  <si>
    <t>正海3/2506</t>
  </si>
  <si>
    <t>YMGXQZ250316</t>
  </si>
  <si>
    <t>关于广西园丰牧业集团股份有限公司玉米水分商务扣款</t>
  </si>
  <si>
    <t>与广西园丰牧业集团股份有限公司签订的《粮食销售合同》，合同号：YMGXQZ250316，数量1000吨，单价2415元/吨，提“长峰98/2526”轮散装玉米，其中有6车共200.6吨水分指标远超出合同约定标准15%（合同提前预留有5元/吨商务），客户原则上拒收。经双方协商同意，工厂做商务扣款让步接收，合计扣款金额2679.00元，折合单吨扣款2.68元，溢余2.32元/吨对我司有利。（附商函）</t>
  </si>
  <si>
    <t>“长峰98/2526”</t>
  </si>
  <si>
    <t>杨伟文</t>
  </si>
  <si>
    <t>JZXYMLCYDG251212</t>
  </si>
  <si>
    <t>关于合同号 JZXYMLCYDG251212扣款说明</t>
  </si>
  <si>
    <t>联系单号 YHSZ-25-111428 销售蚌埠丰盛饲料贸易有限公司，2025年12月29 日签订的《粮食销售合同》(合同编号:JZXYMLCYDG251212)合同数量440 吨，合同单价 2450 元/吨。该合同送货过程中-柜运单号ZG25129672602箱号ZGLU3255732杂质偏多，客户需要增加过筛一遍才能处理，经友好协商该柜扣款 20 元/吨让步接收处理</t>
  </si>
  <si>
    <t>YMGXQZ250315</t>
  </si>
  <si>
    <t>关于钦州播恩生物YMGXQZ250315合同商务扣款</t>
  </si>
  <si>
    <t>合同号：YMGXQZ250315，数量600吨，单价2420元/吨，提“长峰98/V2526”轮散装玉米，其中有3车共99.68吨呕吐毒素超出双方约定标准1500（合同多预留有5元/吨商务），客户原则上拒收。经双方协商同意，工厂做商务扣款让步接收，合计扣款金额1324.20元，折合单吨扣款2.20元，溢余2.80元/吨对我司有利。（客户出有商函及检测报告）</t>
  </si>
  <si>
    <t>“长峰98/V2526”</t>
  </si>
  <si>
    <t>YMZSJJY250195</t>
  </si>
  <si>
    <t>关于 揭阳国雄饲料有限公司YMZSJJY250195合同商务 扣款</t>
  </si>
  <si>
    <t>，2025 年 12 月 11 日签订的《粮食销售合同（赊销）》(合同编号:YMZSJJY250195)
合同数量 1000 吨，合同单价 2415 元/吨，客户提货国翔 3/2540，提货重量 270.82 吨，经检测三车共计 126
吨杂质超出合同约定不符合合同约定标准（杂质≤1.0%），我司承担该批次下超标杂质 126 吨折合货款 1260 元。
经双方友好协商处理后，退货转扣款接收，合计扣款 1260 元 折合 10 元/吨。</t>
  </si>
  <si>
    <t>国翔 3/2540</t>
  </si>
  <si>
    <t>YMZSJJY250195 扣</t>
  </si>
  <si>
    <t>YMZSJDKHWS250045</t>
  </si>
  <si>
    <r>
      <rPr>
        <sz val="13"/>
        <color rgb="FF000000"/>
        <rFont val="宋体"/>
        <charset val="134"/>
        <scheme val="minor"/>
      </rPr>
      <t>2025年12月5日我司与   富川广东温氏畜牧有限公司  签订内贸玉米转让协议，合同号YMZSJDKHWS250045 ，数量1000 吨，单价2460元/吨。客户提麻涌港 国家能源610/2512货物，报374.62吨货物赤霉烯酮( 280-483ppb)超标，属于折价接收范围，单吨扣价30元，合计扣款</t>
    </r>
    <r>
      <rPr>
        <b/>
        <sz val="13"/>
        <color rgb="FF000000"/>
        <rFont val="宋体"/>
        <charset val="134"/>
      </rPr>
      <t>11238.6</t>
    </r>
    <r>
      <rPr>
        <sz val="13"/>
        <color rgb="FF000000"/>
        <rFont val="宋体"/>
        <charset val="134"/>
      </rPr>
      <t>元。</t>
    </r>
  </si>
  <si>
    <t>YMZSJDKHWS250046</t>
  </si>
  <si>
    <r>
      <rPr>
        <sz val="13"/>
        <color rgb="FF000000"/>
        <rFont val="宋体"/>
        <charset val="134"/>
        <scheme val="minor"/>
      </rPr>
      <t>2025年12月5日 我司与  连州温氏畜牧有限公司 签订内贸玉米合同，协议号：YMZSJDKHWS250046，数量1000吨，单价2460元/吨。客户提麻涌港 国家能源610/2512货物，报192.64吨货物杂质( 1.62)超标，属于折价接收范围，单吨扣价10元，合计扣款</t>
    </r>
    <r>
      <rPr>
        <b/>
        <sz val="13"/>
        <color rgb="FF000000"/>
        <rFont val="宋体"/>
        <charset val="134"/>
        <scheme val="minor"/>
      </rPr>
      <t>1926.4</t>
    </r>
    <r>
      <rPr>
        <sz val="13"/>
        <color rgb="FF000000"/>
        <rFont val="宋体"/>
        <charset val="134"/>
        <scheme val="minor"/>
      </rPr>
      <t>元。</t>
    </r>
  </si>
  <si>
    <t>YMZSJXXW260001</t>
  </si>
  <si>
    <t>关于广东嘉好农产品有限公司 YMZSJXXW260001 扣款的请示</t>
  </si>
  <si>
    <t>我司于 2026 年 1 月 5 日与广东嘉好农产品有限公司签订内贸玉米合同，编号 YMZSJXXW260001，数量 1000 吨，单价 2400 元/吨。
客户于南沙港东星海泰/80 提货，提单号 NSDXHT8026021，因工厂检测水分偏高，综合平均水分 15.71%。因对客户成品以及口碑造成影响，扣价
10 元/吨，需扣价:999.38*10=9993.8 元。</t>
  </si>
  <si>
    <t xml:space="preserve">东星海泰/080 </t>
  </si>
  <si>
    <t>YMZSJHD250050</t>
  </si>
  <si>
    <t>退货</t>
  </si>
  <si>
    <t>关于赣州联多利饲料科技有限公司YMZSJHD250050退货64.56吨情况说明</t>
  </si>
  <si>
    <t>我司与 赣州联多利饲料科技有限公司  于 2025年12月12日 签订内贸合同，合同号：YMZSJHD250050，合同数量：600吨，单价：2370元/吨。客户于2026年1月18日 提新沙港 国家能源610/2513 货物，反馈该批货物黄曲毒素达100以上，达拒收标准，该批64.56吨货物由赣州联多利饲料科技有限公司退至新沙港，退货期间所产生费用均由客户承担。</t>
  </si>
  <si>
    <t>国家能源610/2513</t>
  </si>
  <si>
    <t>YMYXYJ250250-1</t>
  </si>
  <si>
    <t>关于阳春温氏、阳东温氏扣款的说明</t>
  </si>
  <si>
    <t>我司于2025年12月31日与阳江市阳东温氏畜牧有限公司签订了玉米内贸合同YMYXYJ250250-1，签订主体为中粮贸易（深圳）有限公司。合同总量为1000吨，单价为2430元/吨，实际执行量为1013.12吨。大船名：益嘉88/2528。合同约定标准：水分≤15%，赤霉烯酮≤200ppb。1.6-1.9日客户提取了一批玉米（猪料），经检测，其中有330.02吨水分在15.65-15.66之间，赤霉烯酮达到240ppb,不符合合同约定的标准。考虑到双方后期的长期友好合作，对该批货物进行15元/吨的折价处理，折价金额为4950.3元,在货款中扣除。</t>
  </si>
  <si>
    <t>益嘉88/2528</t>
  </si>
  <si>
    <t>YMYXYJ250250-3</t>
  </si>
  <si>
    <t>我司于2025年12月31日与阳江市阳东温氏畜牧有限公司签订了玉米内贸合同YMYXYJ250250-3，签订主体为中粮贸易（深圳）有限公司。合同总量为1000吨，单价为2430元/吨，实际执行量为1002.32吨。大船名：益嘉88/2528。合同约定标准：水分≤15%，赤霉烯酮≤200ppb，黄曲霉毒素B1（ppb）≤30。1.7-1.8日客户提取了一批玉米（猪料），经检测，其中有317.6吨水分在15.39-15.66之间，赤霉烯酮在318-597之间，黄曲霉毒素达到51，不符合合同约定的标准。考虑到双方后期的长期友好合作，对该批货物进行20元/吨的折价处理，折价金额为6352元，在货款中扣除。</t>
  </si>
  <si>
    <t>YMZSJJY250201</t>
  </si>
  <si>
    <t>关于丰顺海新商务扣款</t>
  </si>
  <si>
    <t>丰顺县海新饲料有限公司，2025年 12月 18 日签订《粮食销售合同》(合同编号:YMZSJY250201)，数量500 吨,单价 2390 元/吨,该合同已累计交货497.09 吨,提货锦航佰福/2532(其中1月2日6车车号:粤 BGT302重量 32.02 吨,车号: CC8777,重量 32.23 吨,车号:豫 PU7705,重量 32.26 吨,车号: C4M573,重量 33.14吨，车号:粤 MR7785，重量 33.230 吨，车号:赣 COP948，重量 34.91 吨合计:197.79 吨)到货玉米经检验杂质.2%杂质和破碎粒超出合同约定指标(杂质&lt;1%)，不符合客户接受指标针对该批次到厂不合格玉米。经双方友好协商处理后，退货转扣款接收。合计产生扣款 1977.9元。折合10元/吨</t>
  </si>
  <si>
    <t>锦航佰福/2532</t>
  </si>
  <si>
    <t>YMZSJJY250201)</t>
  </si>
  <si>
    <t>YMZSJDGJZX250427</t>
  </si>
  <si>
    <t>关于合同号YMZSJDGJZX250427扣款的请示</t>
  </si>
  <si>
    <t>YHSZ-25-111425，台山市向星饲料有限公司，2025年12月11日签订的《粮
食销售合同》(合同编号：YMZSJDGJZX250427)合同数量1080吨，合同单价2472元/吨，
结算数量 1082.09 吨 ，其中10柜，总共267.9吨，因工厂检测抽检发现水份15.19%至
15.62%偏高。不符合合同约定的标准。经过双方友好协商，该10柜按减价4元/吨结算处
理使用，即总共扣款267.9吨*4元/吨=1071.6元</t>
  </si>
  <si>
    <t>YMGXQZ250317</t>
  </si>
  <si>
    <t>关于钦州播恩生物YMGXQZ250317合同商务扣款</t>
  </si>
  <si>
    <t>与钦州播恩生物技术有限公司签订的《粮食销售合同》，合同号：YMGXQZ250317，数量800吨，单价2425元/吨，提“长峰98/V2526”轮散装玉米，其中有9车共283.06吨呕吐毒素超出双方约定1500（客户多预留5元/吨商务），工厂原则上拒收。经双方协商同意，决定做商务扣款让步接收，合计扣款金额3108.20元，折合单吨扣款3.88元，溢余1.12元/吨对我司有利。（客户出有商函及检测报告）</t>
  </si>
  <si>
    <t>JZXYMZSJJM26001</t>
  </si>
  <si>
    <t>关于开平市绿皇JZXYMZSJJM26001合同商务扣款</t>
  </si>
  <si>
    <t>YHSZ-25-121919、开平市绿皇农牧发展有限公司，2026年1月6日签订的《粮食销售合同》（合同编号：JZXYMZSJJM26001）合同数量1030吨，合同单价2450元/吨，结算数量1018.14，其中3柜，总共76.53吨，因工厂仓库收货开柜后发现玉米有霉味的现象，经过协商沟通，进行扣款处理。（1）车号:湘U6955,柜号:XYLU1191171，来货实收重量:21.55吨。（2）车号:湘MJ9132,柜号:XYLU1178631，来货实收重量:27.98吨。（3）车号:湘LD6811,柜号:XYLU1313449，来货实收重量:27吨。合计:76.53*20=1530.6元</t>
  </si>
  <si>
    <t>关于“中恒顺丰/2533“轮玉米质量扣款情况说明</t>
  </si>
  <si>
    <t>关于广东凤凰饲料有限公司与我司签订了原料采购合同(合同编号:YMYXMM250904)，合同数量900吨，合同签订指标:容重&gt;690g,呕吐毒素&lt;1000ugkg,水分&lt;15%,杂质&lt;1%,霉变粒&lt;2%,不完善粒&lt;10%未约定的其它质量标准按实际交货品质标准执行。于1月14日及1月19日在茂名市远海码头“中恒顺丰/2533“轮提货配送2车均发现玉米霉变及呕吐毒素超标，实测霉变4.1%、4.8%、呕吐毒素1270、1301。经友好商务沟通，客户同意折价接收，现申请如下：
其中桂KB3339、粤K87698 车辆申请扣款20元/吨，共61.15吨，共计扣款1223元；合同签订有做溢价10元销售，可覆盖扣款金额。</t>
  </si>
  <si>
    <t>中恒顺丰/2533</t>
  </si>
  <si>
    <t>YMYXMM250904</t>
  </si>
  <si>
    <t>JCYMZSJDG250022-2</t>
  </si>
  <si>
    <t>YMGXNN260007-01</t>
  </si>
  <si>
    <t>关于南宁金陵力源饲料有限公司YMGXNN260007玉米散粮合同部分退货事宜</t>
  </si>
  <si>
    <t>南宁金陵力源饲料有限公司 YMGXNN260007 玉米散粮合同（2000 吨，赊销 2460 元/吨,钦州港自提)
于 1 月 25 钦州港自提“三水 809/2601”三车，其中两车出现较严重水分，杂质超标现象（NE1717/34.12
吨，NB9809/32.78 吨），客户拒收。经与客户友好协商，以上两车退回钦州港诚峰库，运费由客户承
担</t>
  </si>
  <si>
    <t>三水809/2601</t>
  </si>
  <si>
    <t>YMGXNN260007</t>
  </si>
  <si>
    <t>YMHN250338</t>
  </si>
  <si>
    <t>2026/1/6-1/13</t>
  </si>
  <si>
    <t>我司与河南牧原粮食贸易有限公司于2025年12月3日签订的《粮食销售合同》（合同号： YMHN250338），合同数量1000吨，合同单价2470元/吨（送到厂价）。该合同已执行完毕，到厂数量979.4吨，但该合同货物在接卸过程中客户发现部分货不符合合同约定标准。扣重2车的执行数量为65.14吨，杂质每超0.01%减重0.01%，合计减重2.65%（0.867吨），此合同实际结算重量变更为978.533吨；扣款具体执行航次为：2026年1月3日抵达马村港“炜业福星/2527”玉米轮执行193.02吨，扣款2256.8元；2026年1月11日抵达马村港“锦富航69/2601”玉米轮执行97.08吨，扣款970.8元。综上，该合同合计扣重0.867吨，扣款3227.6元。</t>
  </si>
  <si>
    <t>锦富航69/2601、炜业福星/2527</t>
  </si>
  <si>
    <t>YMZSJQY250182、YMZSJQY250189</t>
  </si>
  <si>
    <t>关于成都德康动物健康技术服务有限公司扣款的说明</t>
  </si>
  <si>
    <t>我司与成都德康动物健康技术服务有限公司于2025年10月31日签订的《粮食销售合同》(赊销)，合同号YMZSJQY250182，单价2220元/吨，数量5000吨。于2025年10月31日签订的《粮食销售合同》(赊销)，合同号YMZSJQY250189单价2220元/吨，数量5000吨。现有如下情况:YMZSJQY250189合同于2025年12月24日开单我司南沙港大船:国远707/2526轮，于1月3日开始到货。提货驳船名:贵港东旺6178，提货1470.62吨，汽运到厂后取样综合样有1467.65吨出现杂质超标情况，经工厂检测，取样后杂质平均达2.98%，YMZSJQY250182合同于2026年1月7日开始提货我司南沙港大船:东星海泰/080轮，桂远航838轮提货2098.902吨，汽运到厂后取样综合样有1916.81吨出现杂质超标情况，取样后杂质平均达2.47%，大福8658轮提货1397.264吨，汽运到厂后取样综合样有1395.56吨出现杂质超标情况，取样后杂质平均达2.16%，共计有4958.95吨货物杂质超过合同约定的杂质≤2%的指标，我司与客户沟通要求汽运到厂后进行二次采样检测，经过双方友好协商，对杂质在1%-2%之间的不合格货物扣款5元/吨，对杂质在2%-2.5%之间的货物扣款10元/吨，对杂质在2.5%-3%之间的货物扣款20元/吨，对杂质超过3%的货物扣款30元/吨。</t>
  </si>
  <si>
    <t>国远707/2526、东星海泰/80</t>
  </si>
  <si>
    <t>谭鑫</t>
  </si>
  <si>
    <t>YMZSJQY250280</t>
  </si>
  <si>
    <t>关于郴州大北农饲料科技有限公司扣款的说明</t>
  </si>
  <si>
    <t>我司与郴州大北农饲料科技有限公司于2025年12月12日签订的《粮食销售合同》，合同号YMZSJQY250280，单价2420元/吨，数量1000吨。客户于1月8日开始提货我司外采大船:南方地采-谷润/25200，共计提货387.2吨，到厂后检测该批玉米存在不同程度的水分超标(合同约定水分≤15%)，共计13台车共计387.2吨货物出现水分超标情况，经与品种线沟通，客户提货外采大船不合格的部分扣款由上游京粮承担，共计扣款8873.9元</t>
  </si>
  <si>
    <t>南方地采-谷润/25200</t>
  </si>
  <si>
    <t>YMZSJQY250293</t>
  </si>
  <si>
    <t>关于南宁大北农饲料科技有限责任公司扣款的说明</t>
  </si>
  <si>
    <t>2026我司与南宁大北农饲料科技有限责任公司于2025年12月26日签订的《粮食销售合同》，合同号YMZSJQY250293，单价2385元/吨，数量1000吨。客户于1月7日开始提货我司南沙港大船:东星海泰/80，共计提货998.98吨，到厂后检测该批玉米存在水分、杂质超标(合同约定水分≤15%，杂质≤1%)，检测结果取平均值:水分15.6、杂质1.37，经过双方友好协商，决定对该批货物按照15元/吨的方案进行扣款，共计扣款998.98吨*15元/吨=14984.7元</t>
  </si>
  <si>
    <t>东星海泰/80</t>
  </si>
  <si>
    <t>YMZSJQY250294</t>
  </si>
  <si>
    <t>关于贵港湘大骆驼饲料有限公司扣款说明</t>
  </si>
  <si>
    <t>现有贵港湘大骆驼饲料有限公司与我司于2025年12月17日签订的内贸玉米合同YMZSJQY250284，数量1000吨，单价2380元/吨，客户于1月9日提货我司南沙港大船:东星海泰/80，(驳船名:贵港兴泰5288，提货998.69吨)到厂后检测有水分超标情况，超出合同质量签订标准:水分≤15%的约定，申请对水分超标的驳船扣款5元/吨。</t>
  </si>
  <si>
    <t>YMZSJQY250284</t>
  </si>
  <si>
    <t>YMFJFZ250183</t>
  </si>
  <si>
    <t>关于成都东方希望农业有限公司商务处理说明</t>
  </si>
  <si>
    <t>兹有我司与成都东方希望农业有限公司司签订《粮食销售合同》(合同号:YMFJFZ250183)，合同数量1500吨，单价2410元/吨，配送到厂，合同约定容重(g/L)≥710，水分≤15%，呕吐毒素≤1000ppb。该合同于2025年11月17日-2026年1月9日提货玉米，其中137.97吨，结果检验指标不符合合同标准(毒素超标，毒素在1400ppb-1500ppb)，扣款5244元。该合同累计收货1499.43吨，折扣款3.5元/吨。所提货物匹配计划号:YHSZ-25-092324、YHSZ-25-102222。
该合同在销售时已按保毒素价格加价15元/吨销售，以上扣款是否可行，请领导批示。</t>
  </si>
  <si>
    <t>YHSZ-25-092324、YHSZ-25-102222</t>
  </si>
  <si>
    <t>YMFJFZ250188</t>
  </si>
  <si>
    <t>关于双胞胎（集团）股份有限公司玉米商务扣款说明</t>
  </si>
  <si>
    <t>兹有我司与双胞胎（集团）股份有限公司签订《粮食销售合同》（合同号：YMFJFZ250188）合同数量1000吨，单价2425元/吨，合同约定呕吐毒素≤1000ppb。该合同于2025年12月30日前执行完毕，共计执行989.1吨，在提货过程中,出现部分车次呕吐毒素超标问题,扣款20元/吨，扣款金额为1506.6元,</t>
  </si>
  <si>
    <t>华源盛/2531</t>
  </si>
  <si>
    <t>YHYMZSJXS251118002</t>
  </si>
  <si>
    <t>关于广东九联禽业养殖有限公司玉米商务扣款说明</t>
  </si>
  <si>
    <t>兹有我司与贵司于2025年11月18号签定《粮食销售合同》（合同编号：YHYMZSJXS251118002），数量1000吨，单价2365元/吨，该合同已累计到货991.72吨，我司检测杂质超出合同约定的0.5%，检测杂质为0.73347%，不符合我司接收标准，贵司承担该批次筛下杂质2.308吨折合货款5458.42元，另有：水分超出合同约定2.619吨折合扣货款6193.93元，霉变不合格扣款2687.28元。目前情况合计产生扣款14339.63元（大写：壹万肆仟叁佰叁拾玖元陆角叁分）</t>
  </si>
  <si>
    <t>YMZSJDKHWS250048-1</t>
  </si>
  <si>
    <t>2026年1月7日我司与温氏集团下属子公司签订内贸玉米合同，合同号:YMZSJDKHWS250048-1，客户提新沙港国家能源610/2513货物，报1197.12吨货物杂质（1.49-2.04）超标，属于折价接收范围.</t>
  </si>
  <si>
    <t>YMZSJDKHWS250049-3</t>
  </si>
  <si>
    <t>2026年1月7日我司与温氏集团下属子公司签订内贸玉米合同，合同号:YMZSJDKHWS250049-3，客户提新沙港国家能源610/2513货物，报1197.12吨货物杂质（1.11-2.69）和赤霉烯酮（264-1884）超标，属于折价接收范围.</t>
  </si>
  <si>
    <t>YMZSJJM26007</t>
  </si>
  <si>
    <t>关于贵港瑞康YMZSJJMYX25052、YMZSJJMYX25057和YMZSJJMYX25050的物流费用扣款</t>
  </si>
  <si>
    <t>饲料原料部、物流仓储部:
贵港瑞康饲料有限公司，2025年9月9日签订的《粮食销售合同》(合同编号:YMZSJMYX25052)合同数量4000 吨,合同单价2420元/吨;2025 年9月15 日签订的《粮食销售合同》(合同编号:YMZSJMYX25057)合同数量5000吨，合同单价2475元/吨;2025年9月5日签订的《粮食销售合同》(合同编号:YMZSJMYX25050)合同数量3000吨，合同单价2380元/吨。
上述合同原计划2025年9月18日计划派船提货，因货源紧张，需等大船国家能源610抵港才有货物交付，期间耽误约4 天。后因台风桦加沙登陆影响未能按期发运且台风过后又发生跑船换船，直至9月28日装出1500吨。又有国庆假期面临放假，同时台风影响西江上游发生洪涝，预期国庆期间西江航道面临停航风险，为保障供应安全，经双方协商同意贵港瑞康委派物流进行在新沙港、湛江港、桂平启用汽运提货，发生的物流费用合计247396.05元。
具体费用对比明细如下：
一、YMZSJJMYX25052，单价2420元/吨，合同数1000吨，收货数966.56吨
1、原计划：新沙港—白沙港—瑞康，船+汽运，我司配送，配送费40元/吨。
2、变更后：新沙港—瑞康，改为汽运，运费124.3元/吨。
3、费用增加情况：每吨运费客户承担84.3元，共计增加81481.01元。
二、YMZSJJMYX25057，单价2475元/吨，合同数1000吨，收货数954.32吨
1、原计划：新沙港—白沙港—瑞康，船+汽运，我司配送，配送费40元/吨。
2、变更后：湛江—瑞康，改为汽运，运费120元/吨。
3、费用增加情况：每吨运费客户承担80元，共计增加76345.60元。
三、YMZSJJMYX25052，单价2420元/吨，合同数500吨，收货数500.21吨
1、原计划：新沙港—白沙港—瑞康，船+汽运，我司配送，配送费40元/吨。
2、变更后：新沙港—桂平港—瑞康，改为汽运，运费80元/吨。
3、费用增加情况：每吨运费客户承担40元，共计增加20008.40元。
四、YMZSJJMYX25057，单价2475元/吨，合同数1000吨，收货数997.21吨
1、原计划：新沙港—白沙港—瑞康，船+汽运，我司配送，配送费40元/吨。
2、变更后：新沙港—桂平港—瑞康，改为汽运，运费80元/吨。
3、费用增加情况：每吨运费客户承担40元，共计增加39888.40元。
五、YMZSJJMYX25050，单价2380元/吨，合同数3000吨，卸船数3002.525，运输收货数3002.225
1、原计划：新沙港—白沙港—瑞康，船+汽运，我司配送，配送费40元/吨。
2、变更后：新沙港—苏湾港—瑞康，台风因素在桂平港卸货，费用49元/吨。
3、费用增加情况：每吨费用客户承担9元，共计增加27020.925元，详情如下：
码头费：3元/吨，新增费用3002.525x3=9007.575元
汽运费：6元/吨，新增费用3002.225x6=18013.35元
六、YMZSJJMYX25052，单价2420元/吨，合同300吨，卸船数294.635，运输收货数294.635
1、原计划：新沙港—白沙港—瑞康，船+汽运，我司配送，配送费40元/吨。
2、变更后：新沙港—苏湾港—瑞康，台风因素在桂平港卸货，费用49元/吨。
3、费用增加情况：每吨费用客户承担9元，共计增加2651.715元，详情如下：
码头费：3元/吨，新增费用294.635x3=883.905元
汽运费：6元/吨，新增费用294.635x6=1767.81元
以上变更产生的费用共计：81481.01+76345.60+20008.40+39888.40+27020.925+2651.715=247396.05
此次费用分到YMZSJM26007合同开票结算时扣除，具体金额247396.05元(附扣款商函)
请领导批示。</t>
  </si>
  <si>
    <t>国家能源610</t>
  </si>
  <si>
    <t>YMZSJJMYX25050、YMZSJJMYX25052、YMZSJJMYX25057</t>
  </si>
  <si>
    <t>YMZSJJM25103-2</t>
  </si>
  <si>
    <t>关于贵港瑞康YMZSJM25103合同玉米杂质超标扣款</t>
  </si>
  <si>
    <t>贵港瑞康饲料有限公司，2025年12月27日签订的《粮食销售合同》（合同编号：YMZSJJM25103）合同数量2000吨，合同单价2400元/吨。
2026年01月21-26日送货至工厂的贵港兴泰55船玉米，经质检部门检测，该船杂质超标，该船玉米共入库1996.19吨，其中杂质49.62吨，杂质占比例2.49%。按原合同质量标准杂质≤1%;则杂质超标扣款合计:1996.19吨*(2.49%-1%)*2,400元/吨=71383.75元，在开票结算时扣除。</t>
  </si>
  <si>
    <t>YMZSJJM25103</t>
  </si>
  <si>
    <t>YMFJFZ260006</t>
  </si>
  <si>
    <t>YMFJZZ250304</t>
  </si>
  <si>
    <t>我司与双胞胎（集团）股份有限公司于2025年11月21日签署生效的《粮食销售合同（赊销）》（合同编号：YMFJZZ250304)，合同数量5000吨，合同单价2350元/吨，该合同累计提货5009.52吨，客户于2025年12月30日至2026年1月8日提货批次玉米存在水分、杂质均超标等问题（水分检测为15.17%至15.54%，杂质超1%），对应船名：浙洋97/2537</t>
  </si>
  <si>
    <r>
      <rPr>
        <sz val="10"/>
        <color rgb="FF000000"/>
        <rFont val="微软雅黑"/>
        <charset val="134"/>
      </rPr>
      <t>质量问题（水分、</t>
    </r>
    <r>
      <rPr>
        <sz val="10"/>
        <color rgb="FF000000"/>
        <rFont val="华文细黑"/>
        <charset val="134"/>
      </rPr>
      <t>杂质</t>
    </r>
    <r>
      <rPr>
        <sz val="10"/>
        <color rgb="FF000000"/>
        <rFont val="微软雅黑"/>
        <charset val="134"/>
      </rPr>
      <t>超标）</t>
    </r>
  </si>
  <si>
    <t>浙洋97/2537</t>
  </si>
  <si>
    <t>YMFJZZ250315</t>
  </si>
  <si>
    <t>关于正大贸易（中国）有限公司玉米商务扣款说明</t>
  </si>
  <si>
    <t>我司与正大贸易（中国）有限公司于2025年12月22日签署生效的《粮食销售合同（赊销）》（合同编号：YMFJZZ250315)，合同数量3000吨，合同单价2425元/吨，该合同累计提货2985.66吨，客户于2026年1月6日至1月12日提货2985.66吨玉米存在杂质超标、破损较大问题，对应船名：浙洋97/2537 ；</t>
  </si>
  <si>
    <t>YMFJFZ260011</t>
  </si>
  <si>
    <t>有关南平华农恒青农牧有限公司玉米商务事项</t>
  </si>
  <si>
    <t>我司与南平华农恒青农牧有限公司于 2026 年1月7日签订《粮食销售合同》（合同编号：YMFJFZ260006），数量400吨，赊销，单价2410元/吨，合同约定水分≤15%，杂质≤1%，呕吐毒素≤1000ppb。该合同已累计提货399.66吨，客户2026年1月13日-2026年1月19日接收209.04吨玉米，存在提货杂质超标、呕吐超标的情况。所提货物匹配船名：轩祥3/2535。 经与客户多次协商沟通，客户对该批玉米扣款接收，其中209.04吨玉米产生商务扣款6371.22元（人民币陆仟叁佰柒拾壹元贰角贰分），折单吨扣款30.48元/吨（整笔合同折单吨扣款15.9元/吨）。我司在1月7日销售时，当日赊销指导价格2388元/吨，我司已加价20元/吨，可覆盖扣款。
     以是否可行，烦请领导批示，谢谢。</t>
  </si>
  <si>
    <t>轩祥3/2535</t>
  </si>
  <si>
    <t>YMFJFZ260002</t>
  </si>
  <si>
    <t>有关福州海龙生物科技有限公司玉米商务事项</t>
  </si>
  <si>
    <t>我司与福州海龙生物科技有限公司于 2026 年1月6日签订《粮食销售合同》（合同编号：YMFJFZ260002），数量500吨，赊销，单价2400元/吨，合同约定水分≤15%，杂质≤1%。该合同已累计提480.79吨，客户2026年1月13日接收的110.08吨玉米，存在提货杂质超标情况。所提货物匹配船名：轩祥3/2535。 经与客户多次协商沟通，其中110.08吨玉米客户扣款接收，产生商务扣款2201.6元(人民币贰仟贰佰零壹元陆角），折单吨扣款20元/吨（整笔合同折单吨扣款4.5元/吨）。我司在1月7日销售时，当日赊销指导价格2375元/吨自提，我司已加价5元/吨，可覆盖扣款。
     以是否可行，烦请领导批示，谢谢。</t>
  </si>
  <si>
    <t>JZXYMDG26003</t>
  </si>
  <si>
    <t>关于合同号JZXYMDG26003扣款的请示</t>
  </si>
  <si>
    <t>联系单号：YHSZ-25-111427，广州顺泽粮食贸易有限公司，2026年1月6日签订的《粮
食销售合同》(合同编号：JZXYMDG26003)合同数量1000吨，合同单价2432元/吨，结算
数量 1080.34 吨
该合同在1月22日交货过程中1柜产生质量问题，经过双方友好协商，1柜霉变超标按照
40元/吨扣款结算，即总共扣款27.57吨*40元/吨=1102.8元</t>
  </si>
  <si>
    <t>YMZSJDG250415</t>
  </si>
  <si>
    <t>关于 YMZSJDG250415 扣款的请示</t>
  </si>
  <si>
    <t>播恩集团股份有限公司，2026 年 1 月 16 号 于 南 沙 港 东 星 海 泰 /80 提 货 ， 提 单 号
NSDXHT8026008，因工厂检测抽检，其中 224.78 吨玉米呕吐毒素为
1550ppb-1660ppb，不符合合同约定的标准。经过双方友好协商，按 10 元/
吨扣款接收，其中一车呕吐毒素检测为 1660ppb，按 20 元/吨扣款接收，
即总共扣款 193.36 吨*10 元/吨+31.42 吨*20 元/吨=2562 元</t>
  </si>
  <si>
    <t xml:space="preserve"> 东 星 海 泰 /80</t>
  </si>
  <si>
    <t>YMZSJDG250414</t>
  </si>
  <si>
    <t>关于 YMZSJDG250414 扣款的请示</t>
  </si>
  <si>
    <t>播恩集团股份有限公司，2025 年 12 月 18 号于麻涌港国家能源 610/2512 提货，提单号
GJNY6101225011，因工厂检测抽检，其中 31.76 吨玉米毒素为 1550ppb，
不符合合同约定的标准。经过双方友好协商，按 10 元/吨扣款接收，即总
共扣款 31.76 吨*10 元/吨=317.60 元</t>
  </si>
  <si>
    <t xml:space="preserve">国家能源 610/2512 </t>
  </si>
  <si>
    <t>YMZSJDG250446</t>
  </si>
  <si>
    <t>关于 YMZSJDG250446 扣款的请示</t>
  </si>
  <si>
    <t>广东泰德饲料有限公司 于 南 沙 港 东 星 海 泰 /80 提 货 ， 提 单 号
NSDXHT8026002，因工厂检测抽检，平均水份为 15.22%，不符合合同约定
标准，经过双方友好协商，超出水分 0.22%*2370 元/吨=5.2 元/吨，即总
共扣款 1498.032 吨*5.2 元/吨=7789.77 元</t>
  </si>
  <si>
    <t>东 星 海 泰 /80</t>
  </si>
  <si>
    <t>JZXYMDG26007</t>
  </si>
  <si>
    <t>关于JZXYMDG26007合同结算说明</t>
  </si>
  <si>
    <t>我司于2026年1月16日和深圳市中佳粮食有限公司签订粮食销售合同JZXYMDG26007(合同量:800吨、单价:2430元/吨),对应运单号:Q089668881:由于运单号:Q089668881，柜号:00LU0108760，出现漏玉米预计少1.325吨，已报保险处理，现申请该组柜子按照工磅单结算，即25.19吨(北方重量26.515吨)</t>
  </si>
  <si>
    <t>JZXYMLCYDG251208</t>
  </si>
  <si>
    <t>关于合同号JZXYMLCYDG251208扣款的请示</t>
  </si>
  <si>
    <t>联系单号：YHSZ-25-121503，广州顺泽粮食贸易有限公司，2025年12月8日签订的《
粮食销售合同》(合同编号：JZXYMLCYDG251208)合同数量2500吨，合同单价2482元/吨
，结算数量2366.84吨
该合同在1月14号交货过程中，5柜水分检测超标，经过双方友好协商，5柜工厂检测平
均水份为15.41%，不符合合同约定标准，按约定比例扣重 0.35338吨，即总共扣款
0.35338吨*2482元/吨=877.09元</t>
  </si>
  <si>
    <t>JZXYMLCYDG251209</t>
  </si>
  <si>
    <t>2026/1/143</t>
  </si>
  <si>
    <t>关于合同号JZXYMLCYDG251209扣款的请示</t>
  </si>
  <si>
    <t>联系单号：YHSZ-25-121503，广州顺泽粮食贸易有限公司，2025年12月8日签订的《
粮食销售合同》(合同编号：JZXYMLCYDG251209)合同数量2500吨，合同单价2482元/吨
，结算数量2366.42吨
该合同在1月13号交货过程中，其中2柜存在发热、霉味问题，另有14柜水分检测超标，
经过双方友好协商，2柜发热有霉味按照40元/吨扣款处理，14柜工厂检测平均水份为
15.23%，不符合合同约定标准，按约定比例扣重 1.06166吨，即总共扣款26.82吨*40元
/吨+1.06166吨*2482元/吨=3707.84元</t>
  </si>
  <si>
    <t>YMGXNN250144-01</t>
  </si>
  <si>
    <t>关于河南牧原粮食贸易有限公司 YMGXNN250144 玉米散粮合同扣款事宜</t>
  </si>
  <si>
    <t>河南牧原粮食贸易有限公司YMGXNN250144玉米散粮合同（5000吨，现金2400元/吨,珠三角自提)于1月9日至11日期间，珠三角自提“东星海泰/80”4996.054吨，出现水分超出合同标准情况。客户原则上拒收，经过沟通，要求整体扣款30元/吨，后再次沟通，客户要求扣款20元/吨并发出商函，最终经反复多次沟通，本着长远战略友好合作出发，客户让步同意对该合同整体进行15元/吨扣款接收，合计扣款：74940.81元。</t>
  </si>
  <si>
    <t>YMGXNN250144</t>
  </si>
  <si>
    <t xml:space="preserve"> 关于南宁海大生物科技有限公司商务处理的说明</t>
  </si>
  <si>
    <t>前期与南宁海大生物科技有限公司签约的内贸玉米合同，合同号YMGXQZ250329，数量600吨，合同单价2370元/吨，签约时间2025年12月19日。
该合同执行于2026年1月23日-1月26日完成了该批次的提货，提货大船为长峰98/2526，提货地点钦州，执行数量为583.86吨。在接货过程中出现杂质超标情况，经我部到现场抽样检测后，其检测结果最低为2.04%，最高2.94%。
经过多次沟通后最终决定将项下的377.26吨做单吨5元扣款处理，扣款金额为1886.3元。</t>
  </si>
  <si>
    <t>长峰98/2526</t>
  </si>
  <si>
    <t>YMGXQZ250329</t>
  </si>
  <si>
    <t>JCYMZSJM25006-4</t>
  </si>
  <si>
    <t>关于JCYMZSJJM25006-4玉米杂质超标扣款费用</t>
  </si>
  <si>
    <t>隆安县扬翔饲料有限公司，于2025年12月12日签订的《粮食销售合同(赊销)》合同编号:JCYMZSJJM25006-4)。合同数量1500吨,合同单价2352元/吨，提货大船为麻涌港的国家能源610/2512。
隆安县扬翔饲料有限公司于2025年12月15日派桂平鸿达1689船舶提该合同玉米，提货数量1498.166吨。到货检测该批玉米检测综合样杂质1.7%，超出合同标准(合同标准杂质≤1%).隆安县扬翔饲料有限公司现提出对该船玉米进行扣重处理，即扣重为1498.166吨*(1.7%-1%)=10.487吨,按合同单价换算扣款金额为10.487吨*2352元/吨=24665.42元(人民币大写:贰万肆仟陆佰陆拾伍元肆角贰分)。
因JCYMZSJJM25006-4合同已经开发票，该笔扣款将在玉米合同YMZSJM25101中扣减。</t>
  </si>
  <si>
    <t>YMZSJJM25084</t>
  </si>
  <si>
    <t>关于YMZSJJM25084玉米杂质超标扣款费用</t>
  </si>
  <si>
    <t>南宁扬翔农牧有限公司，于2025年11月26日签订的《粮食销售合同》合同编号:YMZSJJM25084)，合同数量5000吨，合同单价2340元/吨。提货大船为麻涌港的国家能源
610/2512.南宁扬翔农牧有限公司于2025年12月15日贵港兴泰828船舶提该合同玉米，提货数量2395.88吨。到货检测该批玉米检测综合样杂质1.9%，超出合同标准(合同标准杂质≤1%)。南宁扬翔农牧有限公司现提出对该船玉米进行扣重处理，即扣重为2395.88吨*(1.9%-1%)=21.563吨,按合同单价换算扣款金额为21.563吨*2340元/吨=50457.42元(人民币大写:伍万零肆佰伍拾柒元肆角贰分)。
因YMZSJJM25084合同已经开发票，该笔扣款将在玉米合同YMZSJJM25100中扣减。</t>
  </si>
  <si>
    <t>YMFJFZ250210</t>
  </si>
  <si>
    <t>我司与正大原料供应有限公司于 2025 年12月11日签订《粮食销售合同》（合同编号：YMFJFZ250210），数量 1500 吨，单价2425元/吨，合同约定杂质≤1%，不完善粒≤8%，呕吐毒素≤1000ug/kg。 客户于2026年1月4日-1月16日提货的1453.96吨玉米存在杂质、水分超标情况，合计产生扣款24282.25元（大写：人民币贰万肆仟贰佰捌拾贰元贰角伍分），折单吨扣16.71元/吨。所提货物匹配船名：轩祥3/2535提货986.86吨，福兴9/2538提货467.1吨。合同约定交付期2026年1月，2025年12月11日对1月交付的指导价格2385元/吨（扣除补偿阿根廷高粱问题10元/吨，实际溢价30元/吨），溢价可覆盖扣款。
      以上扣款请领导批示，谢谢。</t>
  </si>
  <si>
    <t>轩祥3/2535提货986.86吨，福兴9/2538提货467.1吨</t>
  </si>
  <si>
    <t>YMFJZZ250316</t>
  </si>
  <si>
    <t xml:space="preserve">    兹有我司与正大原料供应有限公司2025年12月29日签署生效的《粮食销售合同》（合同编号：YMFJZZ250316)，合同数量1500吨，合同单价2425元/吨，截止至2026年01月21日，该合同累计提货1491.92吨，客户于2026年1月14日至1月20日提货玉米经检测杂质超标，破碎大，对应船名：同庆18/2539 </t>
  </si>
  <si>
    <t>同庆18/2539</t>
  </si>
  <si>
    <t>YMFJZZ250313</t>
  </si>
  <si>
    <t>关于“炜业19”轮玉米品质问题及商务扣款的申请</t>
  </si>
  <si>
    <t>福建经营部通过延伸粮源池采购的散船玉米“炜业19”轮（航次号：2511），发运至漳州港，发运数量19541.03吨，实际卸货数量19499.46吨。该船于2025年12月23日靠泊漳州港并启动卸货，12月25日卸货工作全部完成。
卸货期间，经营部物流工作人员现场监卸发现该批玉米存在水分、杂质超标问题。经华正检测，玉米水分含量在15.2%-15.5%区间，超出标准0.2%-0.5%，部分杂质指标亦未达到规定要求。针对上述品质问题，福建经营部第一时间报告饲料原料部及上游供应商进行反馈，客户在接货过程中，亦反馈该批玉米存在相同品质问题。
为妥善处置该问题，福建经营部与饲料原料部、客户充分沟通协商，确定按正常商务流程给予扣款，并同步推进货物提货工作。截至2026年1月21日，该批玉米已全部出库，累计出库数量19440.36吨</t>
  </si>
  <si>
    <t>炜业19/2511</t>
  </si>
  <si>
    <t>YMFJZZ250313等30笔合同</t>
  </si>
  <si>
    <t>JZXYMZSJM26002</t>
  </si>
  <si>
    <t>关于粮品JZXYMZSJM26002合同玉米杂质超标扣款</t>
  </si>
  <si>
    <t>广东粮品农产品经营有限公司，2025年1月7日签订的《粮食销售合同》(合同编号:JZXYMZSJJM26002)合同数量400吨，合同单价2430元/吨，提货港为新会新港。
计划号：YHSZ-25-111430-1，运单号：Q089492200，箱号00LU0694125，卸货净重27.44，杂质超标1.7%，扣款金额478.27元。
计划号：YHSZ-25-111430-1，运单号：Q089492200，箱号FCIU3159167，卸货净重27.4，杂质超标1.7%，扣款金额477.58元。
合计扣款金额为:955.85元。</t>
  </si>
  <si>
    <t>JZXYMZSJJM26009</t>
  </si>
  <si>
    <t>关于粮品JZXYMZSJJM26009合同玉米杂质超标扣款</t>
  </si>
  <si>
    <t>广东粮品农产品经营有限公司，2025年1月23日签订的《粮食销售合同》(合同编号:JZXYMZSJJM26009)合同数量380吨，合同单价2430元/吨，提货港为新会新港。
计划号：YHSZ-25-121923，运单号：Q089671463，箱号CSNU3235781，卸货净重27.32，杂质超标1.5%，扣款金额341.5元。
计划号：YHSZ-25-121923，运单号：Q0896714630，箱号CSNU3031290，卸货净重9.86
，杂质超标3.1%，扣款金额517.65元。
    计划号：YHSZ-25-121923，运单号：Q0896714630，箱号CSNU3077942，卸货净重27.6，
杂质超标1.7%，扣款金额483元。
合计扣款金额为:1342.15元。</t>
  </si>
  <si>
    <t>YMGXQZ250335</t>
  </si>
  <si>
    <t>关于金钱农牧（广西）有限公司玉米水分商务扣款</t>
  </si>
  <si>
    <t>与金钱农牧（广西）有限公司签订的《粮食销售合同》，合同号：YMGXQZ250335，数量300吨，单价2390元/吨，提“三水809/2601”轮散装玉米，其中有6车共199.16吨水分指标远超出合同约定标准15%，客户原则上拒收。经双方协商同意，做商务扣款让步接收，合计扣款金额1991.60元，合同折合单吨扣款6.63元。</t>
  </si>
  <si>
    <t>“三水809/2601”</t>
  </si>
  <si>
    <t>YMGXQZ250314</t>
  </si>
  <si>
    <t>关于广西柯特农业发展YMGXQZ250314合同商务扣款</t>
  </si>
  <si>
    <t>与广西柯特农业发展有限公司签订的《粮食销售合同》，合同号：YMGXQZ250314，数量1000吨，单价2410元/吨，提“长峰98/V2526”轮散装玉米，其中有21车共704.54吨水分指标远超出合同约定标准15%，客户原则上拒收。经双方协商同意，做商务扣款让步接收，合计扣款金额7045.40元，整合同折合单吨扣款7.04元。</t>
  </si>
  <si>
    <t>YMZSJDKHLY250202</t>
  </si>
  <si>
    <t>关于贵港市漓源饲料有限公司YMZSJDKHLY250202扣款的请示</t>
  </si>
  <si>
    <t>我司于2025年12月16日与贵港市源饲料有限公司签订内贸玉米合同，编号YMZSJDKHLY250202，数量1500吨，单价2350元/吨。
客户于2026年1月13日在新沙港国家能源610/2513提货，提单号GJNY61025130031。因工厂检测水分偏高，综合平均水分15.5%。因对客户成品以及口碑造成影响，扣价15元/吨，需扣价:1499.88*15=22498.2元</t>
  </si>
  <si>
    <t>YMZSJDKHLY250206</t>
  </si>
  <si>
    <t>关于北流市响亮饲料有限公司YMZSJDKHLY250206 扣款的请示</t>
  </si>
  <si>
    <t>我司于2024年12月16日与北流市响亮饲料有限公司签订内贸玉米合同，编号YMZSJDKHLY250206，数量1500吨，单价2350元/吨。
客户于南沙港东星海泰/80提货，提单号NSDXHT8026031，因工厂检测杂质超标，平均值达3.03%(合同签订指标:杂质≤1.0%)。因对客户成品以及口碑造成影响，扣价25元/吨，需扣价:1496.97*25=37424.25元</t>
  </si>
  <si>
    <t>YMZSJJY250204</t>
  </si>
  <si>
    <t>关于正大原料供应有限公司YMZSJJY250204 扣款的请示</t>
  </si>
  <si>
    <t>贵我双方于 2025 年 12 月 30 日签订 2000 吨玉米《粮食销售合同》
（合同编号：YMZSJJY250204），单价 2380 元/吨，合同约定以港口外
磅结算。2026 年 1 月 8 日—2026 年 1 月 17 日收到贵司港口外磅共计
1951.44 吨玉米。经我司品管检测，此批玉米杂质 1.5%，超出约定标准
1%，影响使用，我司系统扣款 23319.7 元。经双方协商，另按 10 元/吨
扣款，即按 1951.44 吨*10 元/吨=19514.4 元做扣款接收处理。综上合计
扣款 19514.4+23319.7=42834.1 元。</t>
  </si>
  <si>
    <t>YMFJZZ260004</t>
  </si>
  <si>
    <t>有关正大贸易（中国）有限公司玉米商务扣款事项</t>
  </si>
  <si>
    <t>兹有我司与正大贸易（中国）有限公司于2026年01月16日签署生效的《粮食销售合同（赊销）》（合同编号：YMFJZZ260004)，合同数量3000吨，合同单价2435元/吨，截止至2026年02月05日，该合同累计提货2999.56吨，客户于2026年1月23日至2月6日提货批次玉米经检测杂质超标，对应船名：中安89/2601</t>
  </si>
  <si>
    <t>中安89/2601</t>
  </si>
  <si>
    <t>YMFJZZ260019</t>
  </si>
  <si>
    <t>兹有我司与正大原料供应有限公司于2026年01月19日签署生效的《粮食销售合同（赊销）》（合同编号：YMFJZZ260019)，合同数量2000吨，合同单价2430元/吨，截止至2026年02月04日，该合同累计提货2000.08吨，客户于2026年1月22日至2月4日批次提货批次玉米检测杂质超标，对应船名：弘泰625/2601；</t>
  </si>
  <si>
    <t>弘泰625/2601</t>
  </si>
  <si>
    <t>JZXYMFJFZ250086</t>
  </si>
  <si>
    <t>有关将乐温氏家禽有限公司玉米商务事项</t>
  </si>
  <si>
    <t>我司与将乐温氏家禽有限公司于 2025 年11月26日签订《粮食销售合同》（合同编号：JZXYMFJFZ250086），数量1000吨，赊销，单价2450元/吨到厂，合同约定水分≤15%，杂质≤1%。该合同已累计提货970.5吨，其中客户2025年12月3日-2026年1月3日接收的528.75吨玉米，存在破碎粒、杂质粉尘较多、水分超标的情况。所提货物匹配船名：福兴9/2538（水分超标）、华源盛/2531（提货到仓底，粉尘与破碎超标）。    
     客户原需对于该批有质量问题的货物扣款50元/吨接收，经与客户多次协商沟通，对破碎粒、杂质粉尘超标的586.2吨玉米客户按扣款25元/吨接收，产生商务扣款13218.75元（人民币壹万叁仟贰佰壹拾捌元柒角伍分），整笔合同折单吨扣款13.62元/吨。</t>
  </si>
  <si>
    <t>福兴9/2538（水分超标）、华源盛/2531（提货到仓底，粉尘与破碎超标）</t>
  </si>
  <si>
    <t>YMZSJDG26010</t>
  </si>
  <si>
    <t>关于 YMZSJDG26010 扣款的请示</t>
  </si>
  <si>
    <t>我司于 2026 年 1 月 30 日与金钱饲料（东莞）有限公司签订内贸玉米合同，编号 YMZSJDG26010 ，合同数量 2000 吨，结算数量 1991.3 吨，单价
2346 元/吨。客户 2026 年 1 月 30 号于新沙港长鑫 86 提货，提单号 XSCX8625003，因工厂检测抽检，其中 1292.42 吨平均水分为 15.49%，平均杂质为 4.19%，不符合合同约定标准，经过双方友好协商，按 10 元/吨扣款接收，即总共扣款 1292.42 吨*10 元/吨=12924.20 元</t>
  </si>
  <si>
    <t>JZXYMDG26016</t>
  </si>
  <si>
    <t>关于合同号JZXYMDG26016扣款的请示</t>
  </si>
  <si>
    <t>联系单号：YHSZ-25-121920，中山市福大生物科技有限公司，2026年1月28日签订的
《粮食销售合同(赊销）》(合同编号：JZXYMDG26016)合同数量225吨，合同单价2445
元/吨，结算数量222.214吨
该合同在2月1号交货过程中，7柜产生质量问题，经过双方友好协商，其中222.24吨工
厂检测平均水份为15.47%，不符合合同约定标准，经过双方友好协商，按10元/吨扣款
接收，即总共扣款222.24吨*10元/=2222.4元</t>
  </si>
  <si>
    <t>YMZSJDG26001</t>
  </si>
  <si>
    <t>关于广州市禾润兴饲料有限公司退货的申请</t>
  </si>
  <si>
    <t>我司与广州市禾润兴饲料有限公司与 2026 年 1 月 8 日签订的《粮食销售合同》，合同号 YMZSJDG26001， 单价 2370，数量 2000 吨，自提合同，于 2026 年 2 月 6 日提货 2 车散粮玉米，(提货车号:赣CQ9426、粤 SF3536)共 51 吨因粉尘杂质过大，无法正常使用。经双方协商一致，51 吨货物申请退货处理</t>
  </si>
  <si>
    <t>YMFJFZ260003</t>
  </si>
  <si>
    <t>我司与将乐温氏家禽有限公司于 2026年1月6日签订《粮食销售合同》（合同编号：YMFJFZ260003），数量1500吨，赊销，单价2465元/吨，合同约定水分≤15%，杂质≤1%。该合同已累计提货1499.88吨，客户2026年1月13日接收的159.87吨玉米，存在杂质粉尘超标。所提货物匹配船名：轩祥3/2535。    
     经与客户多次协商沟通，对杂质破碎超标的159.87吨玉米客户扣款5元/吨接收，产生商务扣款799.35元（人民币柒佰玖拾玖元叁角伍分），整笔合同折单吨扣款0.5元/吨。该批次提货出现提货到杂质集中部位，后续将加强对码头存粮与出货作业的管理。</t>
  </si>
  <si>
    <t>YMFJZZ260010</t>
  </si>
  <si>
    <t>我司与将乐温氏家禽有限公司于 2025 年12月24日签订《粮食销售合同》（合同编号：YMFJZZ260010），数量1000吨，赊销，单价2360元/吨，合同约定水分≤15%，杂质≤1%。该合同已累计提货973.28吨，客户2026年1月1日-2026年1月9日接收的586.2吨玉米，存在破碎粒、杂质粉尘较多情况。所提货物匹配船名：浙洋97/2537。    
     原定对于存在商务的货物按扣款30元/吨接收，经与客户多次协商沟通，对杂质破碎超标的586.2吨玉米，客户扣款减半按15元/吨接收，产生商务扣款8793元（人民币壹万柒仟伍佰捌拾陆），整笔合同折单吨扣款9元/吨。</t>
  </si>
  <si>
    <t>关于清远大北农生物科技有限公司扣款说明</t>
  </si>
  <si>
    <t>现有清远大北农生物科技有限公司与我司于2025年12月26日签订的内贸玉米合同YMZSJQY250294，数量1500吨，单价2385元/吨，客户于1月23日提货我司新沙港大船:国家能源610/2513，到厂后有两台车呕吐毒素检测超出合同质量签订标准:呕吐毒素≤1200的约定，申请对以下提货毒素超标的两车扣款5元/吨。</t>
  </si>
  <si>
    <t>JZXYMZSJQY260002</t>
  </si>
  <si>
    <t>关于关于广州顺泽粮食贸易有限公司扣款说明</t>
  </si>
  <si>
    <t>广州顺泽粮食贸易有限公司于2025年9月10日签订国产内贸合同(合同号JZXYMZSJQY250069,合同量270吨，单价2450元/吨)，该合同已结算完毕。由于上次扣款时，由保险方承担的CSLU1499746柜子扣款的5218元未在之前的合同扣除，申请在我司与广州顺泽粮食贸易有限公司签订的JZXYMZSJQY260002合同中扣除(签订时间2026年1月21日，数量1070吨，单价2432元/吨)，请领导批示</t>
  </si>
  <si>
    <t>JZXYMLCYDG251210</t>
  </si>
  <si>
    <t>关于合同号JZXYMLCYDG251210扣款的请示</t>
  </si>
  <si>
    <t>联系单号:YHSZ-25-121921，广州顺泽粮食贸易有限公司，2025年12月8日签订的《粮食销售合同》(合同编号:JZXYMLCYDG251210合同数量2500吨，合同单价2482元/吨，结算数量2389.511吨)
该合同在1月27号交货过程中，1柜存在杂质破碎严重超标，工厂退货，经过双方友好协商，27.3吨因质量问题导致的直接损失由工厂承担，该批货物往返所产生的运输费用由我司承担，申请在JZXYMLCYDG251210销售合同中扣除，即总共扣款1550元(附扣款商函)</t>
  </si>
  <si>
    <t>YMZSJDKHSBT250017</t>
  </si>
  <si>
    <t>2026年1月7日和2025年11月12日我司与双胞胎集团签订内贸玉米合同合同号:YMZSJDKHSBT260001、YMZSJDKHSBT250017，单价分别为2390、2290元/吨。客户提新沙港 国家能源 610/2513和国远 86货物，报 490.96 和 358.93 吨货物呕吐毒素和赤霉希酮超标，属于折价接收范围，扣款明细如下:</t>
  </si>
  <si>
    <t>国远86</t>
  </si>
  <si>
    <t>YMZSJDKHSBT260001</t>
  </si>
  <si>
    <t>2026年1月7日和2025年11月12日我司与双胞胎集团签订内贸玉米合同合同号:YMZSJDKHSBT260001、YMZSJDKHSBT250017，单价分别为2390、2290元/吨。客-提新沙港 国家能源 610/2513和国远 86货物，报 490.96 和 358.93 吨货物呕吐毒素和赤霉希酮超标，属于折价接收范围，扣款明细如下:</t>
  </si>
  <si>
    <t>YMYXYJ250218</t>
  </si>
  <si>
    <t>正大康地阳江饲料有限公司</t>
  </si>
  <si>
    <t>我司于2025年11月25日与正大康地阳江饲料有限公司签订了玉米内贸合同YMYXYJ250218，签订主体为中粮贸易（深圳）有限公司，大船:益嘉88/2528。签订主体:中粮贸易(深圳)有限公司，合同量2000吨，合同单价2402元/吨，执行量1983.62吨，其中该批货物999.86吨水分检测在15.3-15.8之间，赤霉260-500。不符合合同约定标准。考虑到双方后期的长期友好合作，对该批货物做折价10元/吨处理，总计9998.60元，在货款中扣除。</t>
  </si>
  <si>
    <t>YMYXYJ250225</t>
  </si>
  <si>
    <t>我司于2025年12月3日与正大康地阳江饲料有限公司签订了玉米内贸合同YMYXY250225，签订主体:中粮贸易(深圳)有限公司，大船:益嘉88/2528，合同量2000吨，合同单价2442元/吨，执行量1980.12吨，其中该批货物980.56吨水分检测在15.3-15.5之间，赤霉238-624。不符合合同约定标准。考虑到双方后期的长期友好合作，对该批货物做折价10元/吨处理，总计9805.60元，在货款中扣除。</t>
  </si>
  <si>
    <t>YMZSJDKHWS250049-2</t>
  </si>
  <si>
    <t>2026年1月7日 我司与  温氏集团下属子公司 签订内贸玉米合同，合同号：YMZSJDKHWS250049-2，单价分别为2350元/吨。客户提新沙港 国家能源610/2513货物，报194.4吨货物赤霉烯酮超标，属于折价接收范围</t>
  </si>
  <si>
    <t>YMYXMM260062</t>
  </si>
  <si>
    <t>广东凤凰饲料有限公司</t>
  </si>
  <si>
    <t>“中恒顺丰/2602“轮提货配送1车，到厂客户检测发现玉米霉变及呕吐毒素超标，实测霉变3.7%、3.8%、呕吐毒素1370、1501。</t>
  </si>
  <si>
    <t>中恒顺丰/2602</t>
  </si>
  <si>
    <t>钟志深</t>
  </si>
  <si>
    <t>YMYXMM250901</t>
  </si>
  <si>
    <t>茂名湘大骆驼饲料有限公司</t>
  </si>
  <si>
    <r>
      <rPr>
        <sz val="10"/>
        <color rgb="FF000000"/>
        <rFont val="微软雅黑"/>
        <charset val="134"/>
      </rPr>
      <t>“中伟顺/2603“轮提货1车，到厂客户检测发现玉米赤霉毒素超标，实测赤霉毒素</t>
    </r>
    <r>
      <rPr>
        <sz val="14"/>
        <color theme="1"/>
        <rFont val="宋体"/>
        <charset val="134"/>
        <scheme val="minor"/>
      </rPr>
      <t>514</t>
    </r>
    <r>
      <rPr>
        <sz val="14"/>
        <color theme="1"/>
        <rFont val="宋体"/>
        <charset val="134"/>
        <scheme val="minor"/>
      </rPr>
      <t>、</t>
    </r>
    <r>
      <rPr>
        <sz val="14"/>
        <color theme="1"/>
        <rFont val="宋体"/>
        <charset val="134"/>
        <scheme val="minor"/>
      </rPr>
      <t>608</t>
    </r>
    <r>
      <rPr>
        <sz val="14"/>
        <color theme="1"/>
        <rFont val="宋体"/>
        <charset val="134"/>
        <scheme val="minor"/>
      </rPr>
      <t>。经沟通，客户不同意接收</t>
    </r>
  </si>
  <si>
    <t>中伟顺/2603</t>
  </si>
  <si>
    <t>JZXYMDG26014</t>
  </si>
  <si>
    <t>关于合同号JZXYMDG26014扣款的请示</t>
  </si>
  <si>
    <t>联系单号:YHSZ-25-121922，深圳市中佳粮食有限公司，2026年1月21日签订的《粮食销售合同》(合同编号:JZXYMDG26014合同数量1080吨，合同单价2420元/吨，结算数量1074.753吨)
该合同在2月6号交货过程中，AYLZAXV260013424B运单2柜产生质量问题，其中53.35吨工厂检测杂质超标，TELU2283128(26.58吨)杂质为2.86%，GCXU2171181(26.77吨)杂质为3.05%，不符合合同约定标准，经过双方友好协商，TELU2283128按55元/吨扣款接收，GCXU2171181按61元/吨扣款接收，即总共扣款26.58吨*55元/吨+26.77吨*61元吨=3094.87元</t>
  </si>
  <si>
    <t>JCYMHN260002-1</t>
  </si>
  <si>
    <t>关于海南省粮油产业有限公司商务扣款说明</t>
  </si>
  <si>
    <t>我司与海南省粮油产业有限公司于2026年1月30日签订的《粮食销售合同》（合同号：JCYMHN260002-1），合同数量1500吨，合同单价2441元/吨，截止目前共计执行1499.4吨，执行完毕。该批货物在接卸过程中客户反馈不完善粒及杂质超标等质量问题，我司现场人员范闻超和工厂品管人员共同抽样检测，检测结果事实存在，现场检测不完善粒11.75%，杂质1.2%，合计数量1499.4吨。经双方友好协商，此批玉米按20元/吨进行扣价接收，合计扣款¥29988元。</t>
  </si>
  <si>
    <t>鑫跨翔/2601</t>
  </si>
  <si>
    <t>YMGXNN250131-01</t>
  </si>
  <si>
    <t>关于广西辽大农业科技股份有限公司YMGXNN250131玉米散粮合同扣款请示</t>
  </si>
  <si>
    <t>广西辽大农业科技股份有限公司YMGXNN250131玉米散粮合同（2000吨，现金2405元/吨,钦州港自提)于1月8日至31日期间，钦州港提“长峰98/V2526”1986.82吨，出现水分超出合同标准情况。客户原则上拒收，经过沟通，要求整体扣款15元/吨，后经反复多次沟通，客户要求扣款5元/吨并发出商函，最终沟通后，本着长期友好合作理念，客户让步同意对该合同整体进行4元/吨扣款接收，合计扣款：7,947.28元</t>
  </si>
  <si>
    <t>长峰98/V2526</t>
  </si>
  <si>
    <t>YMGXNN250131</t>
  </si>
  <si>
    <t>YMZSJQY260016</t>
  </si>
  <si>
    <t>关于赣州湘大骆驼饲料有限公司扣款说明</t>
  </si>
  <si>
    <t>现有赣州湘大骆驼饲料有限公司与我司于2026年1月26日签订的内贸玉米合同YMZSJQY260016，数量1500吨，单价2320元/吨，客户于2月5日开始提货我司新沙港大船：长鑫86，共计提货980.4吨，到厂后有部分车辆水分检测超出合同质量签订标准：水分≤ 15%的约定，经过双方友好协商，申请对以下提货水分超标的车辆共计扣款8059.68元（单吨扣款约8.22元/吨）</t>
  </si>
  <si>
    <t>长鑫86</t>
  </si>
  <si>
    <t>YMZSJDKHWS250048-2</t>
  </si>
  <si>
    <t>2026年1月7日我司与温氏集团下属子公司签订内贸玉米合同，合同号YMZSJDKHWS250048-2、YMZSJDKHWS250048-3.单价为2360 元/吨。客户提新沙港国家能源 610/2513 货物，报 2259.88吨货物破碎粒、杂质、水分、赤霉烯酮等超标，属于折价接收范围</t>
  </si>
  <si>
    <t>YMZSJDKHWS250048-3</t>
  </si>
  <si>
    <t>YMZSJJY250224</t>
  </si>
  <si>
    <t>关于梅州大北农 YMZSJJY250224 扣款</t>
  </si>
  <si>
    <t>梅州大北农生物科技有限公司，2026 年 1 月 29 日签订的《粮食销售合同（赊销）》(合同编号:YMZSJJY250224)
合同数量 1000 吨，合同单价 2425 元/吨，客户提货航安顺/2603，共计提货重量 994.92 吨，经检测三车 199.38
吨水分分别为 15.22%、15.43%、15.43%超出合同约定不符合合同约定标准（水分≤15%），我司承担该批次下
超标水分 199.38 吨折合货款 1740.59 元。</t>
  </si>
  <si>
    <t>航安顺/2603</t>
  </si>
  <si>
    <t>JCYMZSJDG25051-1</t>
  </si>
  <si>
    <t>关于 JCYMZSJDG25051-1 扣款的请示</t>
  </si>
  <si>
    <t>我司于 2025 年 12 月 12 日与佛山播恩生物科技有限公司签订内贸玉米
合同，编号 JCYMZSJDG25051-1 ，合同数量 500 吨，单价 2378 元/吨。
客 户 2026 年 2 月 1 号 于 南 沙 港 东 星 海 泰 /80 提 货 ， 提 单 号
NSDXHT8026064，因工厂检测抽检，其中 32.72 吨毒素为 1654ppb，不符合
合同约定标准，经过双方友好协商，按 10 元/吨扣款接收，即总共扣款 32.72
吨*10 元/吨=327.2 元</t>
  </si>
  <si>
    <t>YMFJFZ250158</t>
  </si>
  <si>
    <t>2025年11月14日-2026年1月20日</t>
  </si>
  <si>
    <t>关于福州海龙生物科技有限公司商务处理说明</t>
  </si>
  <si>
    <t>兹有我司与福州海龙生物科技有限公司司签订《粮食销售合同》（合同号：YMFJFZ250158），合同数量1200吨，单价2265元/吨，配送到厂，合同约定容重（g/L)≥685，霉变≤2%，水分≤15%，热损≤2%，呕吐毒素≤1000ppb。该合同于2025年11月14日-2026年1月20日提货玉米，共计提货1185.85吨，接货1183.97吨，其中部分到货检测结果不符合合同标准（呕吐毒素超标，在1200ppb-1800ppb，杂质超标，霉变超标等情况），扣款15213.7元（明细详见商函），折合12.8元/吨。该合同考虑为不保毒素玉米中挑选出货，在销售时已考虑扣款因素加价15元/吨销售，加价可涵盖扣款。
以上扣款是否可行，请领导批示</t>
  </si>
  <si>
    <t>弘泰612/2524、正海3/2506、华源盛/2531、福兴9/2538</t>
  </si>
  <si>
    <t>YMZSJDG250412</t>
  </si>
  <si>
    <t>关于 YMZSJDG250412 扣款的请示</t>
  </si>
  <si>
    <t>我司于 2025 年 10 月 30 日与佛山播恩生物科技有限公司签订内贸玉米
合同，编号 YMZSJDG250412 ，合同数量 1500 吨，单价 2220 元/吨。
客户 2025 年 12 月 14 号于麻涌港国家能源 610/2512 提货，提单号
GJNY6101225003，因工厂检测抽检，其中 31.38 吨毒素为 1820ppb，不符
合合同约定标准，经过双方友好协商，按 30 元/吨扣款接收，即总共扣款
31.38 吨*30 元/吨=941.4 元</t>
  </si>
  <si>
    <t>YMGXXJ250149
YMGXXJ260002
YMGXXJ260003</t>
  </si>
  <si>
    <t>2026/1/15-2026/1/23
2026/1/23
2026/1/24</t>
  </si>
  <si>
    <t>关于正大集团执行内贸玉米商务情况的说明</t>
  </si>
  <si>
    <t>通过实地抽样及多轮复测后，整体杂质多超过合同约定的≤1%的指标，
平均杂质在2.5-2.8%之间，经过多次沟通后计划扣款25018.07元，折合单吨
6.26元/吨。由于年前涉及到部分合同货款到期，为避免逾期货款产生故在春
节前做了部分结算，对于该扣款金额折到YMGXXJ250149合同上结算。</t>
  </si>
  <si>
    <t>国家能源610/2513
东星海泰/81</t>
  </si>
  <si>
    <t>YMZSJDG250500</t>
  </si>
  <si>
    <t>关于YMZSJDG250500扣款的请示</t>
  </si>
  <si>
    <t>我司于2025年12月26日与正大康地(广州番禺)有限公司签订内贸玉米合同，编号YMZSJDG250500 ，合同数量3000吨，单价2370元/吨。
客户2026年2月7号于南沙港东星海泰/82提货，提单号NSDXHT8226003，因工厂检测抽检，其中278.14吨平均水分为15.2%，不符合合同约定标准，经过双方友好协商，按6元/吨扣款接收，即总共扣款278.14吨*6元/吨=1668.84 元</t>
  </si>
  <si>
    <t>东星海泰/82</t>
  </si>
  <si>
    <t>JZXYMDG26018</t>
  </si>
  <si>
    <t>关于合同号JZXYMDG26018扣款的请示</t>
  </si>
  <si>
    <t>联系单号：YHSZ-25-121922，广州顺泽粮食贸易有限公司，2026年2月3日签订的《粮
食销售合同》(合同编号：JZXYMDG26018)合同数量377吨，合同单价2430元/吨，结
算数量376.585吨
该合同在2月7号交货过程中，2柜工厂检测杂质超标，不符合合同约定标准，经过双方
友好协商，按照20元/吨扣款接收，即总共扣款52.52吨*20元/吨=1050.4元</t>
  </si>
  <si>
    <t>YMFJFZ260012</t>
  </si>
  <si>
    <t>我司与南平华农恒青农牧有限公司于 2026 年1月20日签订《粮食销售合同》（合同编号：YMFJFZ260012），数量400吨，赊销，单价2450元/吨，合同约定水分≤15%，杂质≤1%，呕吐毒素≤1000ppb。该合同已累计提货405.12吨，客户2026年2月9日接收100.17吨玉米，存在提货杂质超标的情况。所提货物匹配船名：铭宏发展/2603。    经与客户多次协商沟通，客户对该批玉米扣款接收，其中100.17吨玉米产生商务扣款2161.58元（人民币贰仟壹佰陆拾壹元伍角捌分），折单吨扣款21.6元/吨（整笔合同折单吨扣款5.3元/吨）。我司在1月20日销售时，当日赊销指导价格2435元/吨，我司已加价15元/吨，可覆盖扣款。
     以是否可行，烦请领导批示，谢谢。</t>
  </si>
  <si>
    <t>铭宏发展/2603</t>
  </si>
  <si>
    <t>JZXYMZSJJM26005</t>
  </si>
  <si>
    <t>关于英海JZXYMZSJJM26005的水分超标扣款</t>
  </si>
  <si>
    <t>江门市英海饲料有限公司，2026年1月19日签订的《粮食销售合同》(合同编号:JZXYMZSJJM26005)合同数量610 吨,合同单价2430元/吨，提货港为新会新港。
江门市英海饲料有限公司于1月29日收到3个柜子，经检验发现水分整体超标约0.4%-0.5%，超过合同约定的水分≤15.0%，经双方协商同意，做商务扣款让步接收。总卸货数为44.78吨，扣款为10元/吨，具体明细如下：
计划号YHSZ-25-121923，运单号Q089671468，箱号CSNU1470499，卸货数8.58吨，水分15.4%，扣款为10元/吨，扣款金额8.58x10=85.8元。
计划号YHSZ-25-121923，运单号Q089613601，箱号CSNU1612612，卸货数9.07吨，水分15.5%，扣款为10元/吨，扣款金额9.07x10=90.7元。
计划号YHSZ-25-121923，运单号Q089810130，箱号CSLU2246130，卸货数27.13吨，水分15.4%，扣款为10元/吨，扣款金额27.13x10=271.3元。
总扣款金额为85.8+90.7+271.3=447.8元</t>
  </si>
  <si>
    <t>JKDMFJFZ250006</t>
  </si>
  <si>
    <t>有关漳州温氏农牧有限公司进口大麦堆存费用减免说明</t>
  </si>
  <si>
    <t>我司进口大麦船“丰收女神”轮，经检疫发现存在小麦线条花叶病毒，于2025年11月10日放行。该船与漳州温氏农牧有限公司于2025年6月6日签订的进口大麦合同，对应合同编号为JKDMFJFZ250006，合同数量为4000吨，单价为2120元/吨。另，与莆田温氏家禽有限公司2025年6月6日签订的进口大麦合同，合同编号为JKDMFJFZ250007，合同数量为1000吨，单价为2120元/吨，免堆存期为25天(免堆期截止日期:2025年12月4日)。
因病毒原因，流向至莆田温氏家禽有限公司被关区外海关禁止调入，因此转由漳州温氏农牧有限公司接收，对应合同号JKDMFJFZ250007-2。故漳州温氏农牧有限公司执行该船5000吨合同。
1.合同JKDMFJFZ250006中，货物于2025年11月10日放行，免堆存期为30天(免堆期截止日期:2025年12月9日)。但客户于2026年1月1日提货完毕，超期23天。期间，因大麦存储筒仓与进口大豆同时出库，导致出库时间错峰，从而产生了8311.07元的超期堆存费。
2.合同JKDMFJFZ250007-2，因转流向于2025年12月10日放行，免堆存期为25天(免堆期截止日期:2026年1月3日)。客户提货时间于2026年1月28日提货完毕，超期25天。这1000吨大麦属于额外生产需求，导致工厂加工承压，延长了出库时间，产生了7758.02元的超期堆存费。
鉴于我司我司进口大麦病毒以及工厂生产压力等因素，现恳请对漳州温氏农牧有限公司的进口大麦提货期限进行延长5天。原应收超期堆存费总计16069.09元，若提货期延长5天，则实际应收费用将为11263.42元，减免4805.67元。
综上情况，现申请上述份合同提货期延长申请，是否可行，请领导批示。</t>
  </si>
  <si>
    <t>丰收女神</t>
  </si>
  <si>
    <t>吴珉仰</t>
  </si>
  <si>
    <t>JKDMFJFZ250007-2</t>
  </si>
  <si>
    <t>YMZSJDKHLY260001</t>
  </si>
  <si>
    <t>关于永州市漓源饲料有限公司YMZSJDKHLY260001扣款的请示</t>
  </si>
  <si>
    <t>我司于2026年1月6日与永州市漓源饲料有限公司签订内贸玉米合同，编号YMZSJDKHLY260001，数量1100吨，单价2330元/吨。
客户于南沙港东星海泰/81与东方祥通/2518提货，提单号NSDXHT8126028与NSDFXT2518030，因工厂检测杂质偏高，综合平均杂质4.29%。因对客户成品以及口碑造成影响，扣价30元/吨，需扣价:1099.48*30=32984.4元。
请领导批示。</t>
  </si>
  <si>
    <t>东星海泰/81与东方祥通/2518</t>
  </si>
  <si>
    <t>YMZSJDKHLY250204</t>
  </si>
  <si>
    <t>关于梧州柳新农牧科技有限公司YMZSJDKHLY250204扣款的请示</t>
  </si>
  <si>
    <t>我司于2025年12月16日与梧州柳新农牧科技有限公司签订内贸玉米合同，编号YMZSJDKHLY250204，数量2000吨，单价2350元/吨。
客户于2026年1月10日在南沙港东星海泰/80提货，提单号NSDXHT8026026，驳船名:广通0819。因工厂检测赤烯酮与杂质偏高综合平均赤霉烯酮326.75ppb，杂质平均值4.56%。因对客户成品以及口碑造成影响，扣价40元/吨，需扣价:1999.706*40=79988.24元。
请领导批示。</t>
  </si>
  <si>
    <t>YMFJFZ250164</t>
  </si>
  <si>
    <t>2025-12-1-2026-2-10</t>
  </si>
  <si>
    <t>关于福建圣农发展（浦城）有限公司商务扣款说明</t>
  </si>
  <si>
    <t>兹有我司与福建圣农发展（浦城）有限公司签订YMFJFZ250164号《粮食销售合同》，合同数量2000吨，单价2390元/吨，截止2月28日，该合同实际送货1949.73吨，接货1949.64吨，质量扣款23183元，折合扣款11.85元/吨，该扣款为圣农杂质及不完善粒固定扣款，在销售合同时已进行加价15元/吨进行销售，实际无损失。
以上扣款，是否可行，请领导批示。</t>
  </si>
  <si>
    <t>弘泰612/2524、华源盛/2529、正海3/2506、华源盛/2531</t>
  </si>
  <si>
    <t>YMFJFZ250165</t>
  </si>
  <si>
    <t>2026-1-14-2-28</t>
  </si>
  <si>
    <t>关于圣农发展（政和）有限公司商务扣款说明</t>
  </si>
  <si>
    <t xml:space="preserve">兹有我司与圣农发展（政和）有限公司签订YMFJFZ250165号《粮食销售合同》，合同数量1000吨，单价2390元/吨，截止2月28日，该合同实际送货954.42吨，接货953.99吨，质量扣款12839.3元，折合扣款13.46元/吨，该扣款为圣农杂质及不完善粒固定扣款，在销售合同时已进行加价15元/吨进行销售，实际无损失。
以上扣款，是否可行，请领导批示。
</t>
  </si>
  <si>
    <t>轩祥3/2535、正海3/2601</t>
  </si>
  <si>
    <t>JZXYMDG26017</t>
  </si>
  <si>
    <t>关于JZXYMDG26017合同结算说明</t>
  </si>
  <si>
    <t>我司于2026年2月2日和深圳市中佳粮食有限公司签订粮食销售合同JZXYMDG26017(合同量:587吨、单价:2420元/吨),对应运单号:Q090050033;由于运单号:Q090050033、柜号:CSNU1256790在中转码头撒漏玉米，出现少重情况报保险处理，现申请该组柜子按照工厂磅单结算，即14.53吨(北方重量26.7875吨)</t>
  </si>
  <si>
    <t>JZXYMDG26015</t>
  </si>
  <si>
    <t>关于JZXYMDG26015合同结算说明</t>
  </si>
  <si>
    <t>我司于2026年1月23日和深圳市中佳粮食有限公司签订粮食销售合同JZXYMDG26015(合同量:1650吨、单价:2430元/吨),对应运单号:ZG26019808062-B，Q090050032由于运单号:ZG26019808062-B、柜号:ZGXU2827614出现少重情况，报保险处理，现申请该组柜子按照工厂磅单结算，即23.92吨(北方重量27.06吨)运单号Q090050032，柜号CSLU2018167出现少重情况，报保险处理，现申请该组子按照工厂磅单结算，即25.12吨(北方重量27.8375吨)</t>
  </si>
  <si>
    <t>YMFJFZ250189</t>
  </si>
  <si>
    <t>2025-12-1-2026-1-10</t>
  </si>
  <si>
    <t>关于南平海大生物科技有限公司商务处理说明</t>
  </si>
  <si>
    <t>兹有我司与南平海大生物科技有限公司司签订《粮食销售合同》（合同号：YMFJFZ250189）及《补充协议》（协议号：YMFJFZ250189-1），合同数量500吨，单价2370元/吨，配送到厂，合同约定容重（g/L)≥685，霉变≤2%，水分≤15%，热损≤2%。该合同原为军航码头散粮出货，与客户沟通交付南平港集装箱玉米，对应福满仓及禹泰库。该合同总计提货495.14吨，因提货过程中有玉米发霉、水分超标、发热情况，经双方友好沟通扣款15134.5元，折30.56元/吨。
以上扣款是否可行，请领导批示。</t>
  </si>
  <si>
    <t>YMFJFZ250189-1</t>
  </si>
  <si>
    <t>YMYXYJ260001-2</t>
  </si>
  <si>
    <t>关于温氏扣款情况说明</t>
  </si>
  <si>
    <t>YMYXYJ260001-2，阳春市温氏畜牧有限公司，签订主体:中粮贸易(深圳)有限公司，合同量1500吨，单价2430元/吨，执行量1491.94吨，合同签订标准：玉米赤霉烯酮&lt;200μg/kg，水分≤15%，经检验，该批货物有702.2吨赤霉在368-407之间，水分在15.2-15.51之间，不符合合同约定标准，考虑到双方后期的长期友好合作，对该批货物做15元/吨折价处理，扣款10533元，在货款中扣除。</t>
  </si>
  <si>
    <t>YMYXYJ260004-2</t>
  </si>
  <si>
    <t>关于温氏在锦鑫 6 轮 2601 航次下的扣款情况说明</t>
  </si>
  <si>
    <t xml:space="preserve"> YMYXYJ260004-2，阳江市阳东温氏畜牧有限公司，签订主体:中粮贸易(深圳)有限公司，大船：锦鑫6/2601，合同量1000吨，单价2415元/吨，执行量1002吨，同签订标准：玉米赤霉烯酮&lt;200μg/kg，杂质≤1%，经检验，该批货物有529.76吨赤霉在349-597之间，杂质在1.15-1.93之间，不符合合同约定标准，考虑到双方后期的长期友好合作，对该批货物做15元/吨折价处理，扣款7946.4元，在货款中扣除。</t>
  </si>
  <si>
    <t>锦鑫6/2601</t>
  </si>
  <si>
    <t>YMYXYJ260013-2</t>
  </si>
  <si>
    <t>YMYXYJ260013-2，阳江市阳东温氏畜牧有限公司，签订主体:中粮贸易(深圳)有限公司，大船：锦鑫6/2601，合同量1000吨，单价2350元/吨，执行量983.44吨，合同签订标准：玉米赤霉烯酮&lt;200μg/kg，杂质≤1%，经检验，该批货物有114.02吨赤霉烯酮在273-311之间，杂质在1.17-2.68之间，不符合合同约定标准，考虑到双方后期的长期友好合作，对该批货物做15元/吨折价处理，扣款1710.3元，在货款中扣除。</t>
  </si>
  <si>
    <t>JCYMGXQZ260002-1</t>
  </si>
  <si>
    <t>关于广东嘉好执行内贸玉米商务情况的说明</t>
  </si>
  <si>
    <t>现有于与广东嘉豪签署的内贸玉米合同JCYMGXQZ260002-1，数量2000吨，在2026年2月6日-13日期间在执行过程中因水分不符产生了相应的商务问题，执行大船为钦州港“三水809/2601”，执行数量1990.86吨，在抽检过程中水分高点在15.45%，中间值平均在15.2%左右，与客户多次沟通协商后按照扣款3564.89元进行接收，折算到单吨为1.79元/吨。</t>
  </si>
  <si>
    <t>YMYXYJ260013-3</t>
  </si>
  <si>
    <t>YMYXYJ260013-3，阳西温氏禽畜有限公司，签订主体:中粮贸易(深圳)有限公司，大船：锦鑫6/2601，合同量1000吨，单价2350元/吨，执行量981.08吨，合同签订标准：不完善粒≤10%，经检验，该批货物有216.3吨不完善粒在11.3-16.1，不符合合同约定标准，考虑到双方后期的长期友好合作，对该批货物做5元/吨折价处理，扣款1081.5元，在货款中扣除。</t>
  </si>
  <si>
    <t>YMYXYJ260013-1</t>
  </si>
  <si>
    <t>YMYXYJ260013-1，阳春市温氏畜牧有限公司，签订主体:中粮贸易(深圳)有限公司，大船：锦鑫6/2601，合同量1000吨，单价2350元/吨，执行量1005.48吨，合同签订标准：杂质≤1%，经检验，该批货物有397.22吨杂质为2.28，不符合合同约定标准，考虑到双方后期的长期友好合作，对该批货物做15元/吨折价处理，扣款5958.3元，在货款中扣除。</t>
  </si>
  <si>
    <t>JCYMYXMM260005-1</t>
  </si>
  <si>
    <t>关于茂名通威JCYMYXMM260005-1质量扣款的情况说明</t>
  </si>
  <si>
    <t>茂名通威生物科技有限公司JCYMYXMM260005-1(合同量1000吨，单价2440元)，签订日期2026年2月3日。该合同共执行999.67吨。2026年2月8日客户在中心船“中伟顺/2603"轮提货过程中，反馈到货的3车共84.58吨玉米存在水分超标的质量问题，经饲料厂人员取样检测并复查，玉米水分达15.3%，超合同规定标准。经我部与客户多次协商，秉承长期友好合同原则，共申请扣款592.06元，单吨扣款7元/吨。</t>
  </si>
  <si>
    <t>YMZSJQY250282</t>
  </si>
  <si>
    <t>关于清远加乐饲料有限公司扣款说明</t>
  </si>
  <si>
    <t>现有清远加乐饲料有限公司与我司于2025年12月17日签订的内贸玉米合同YMZSJQY250282，数量1000吨，单价2380元/吨，客户于2月4日于深粮码头开始提货我司外采粮源:南方地采-谷润/25197合同货物，到厂后有4车杂质检测超出合同质量签订标准:杂质≤2%的约定，经过双方友好协商，决定对杂质超标的货物进行扣款，申请对以下提货杂质超标的4车扣款30元/吨。扣款由上游京粮承担</t>
  </si>
  <si>
    <t>南方地采-谷润/25197</t>
  </si>
  <si>
    <t>JKDMFJZZ250056</t>
  </si>
  <si>
    <t>关于终止福建省金同星汇贸易有限公司进口大麦合同的申请</t>
  </si>
  <si>
    <t>我司与福建省金同星汇贸易有限公司（福建傲农集团重整投资方）于 2025年12月22日分别签订《进口粮食销售合同》合计数量 2000吨，单价2060元/吨按照公司有关规定，进口品种不允许与贸易商合作，福建经营部现将该两笔合同做终止审批处理，按照风控部要求，合同终止需请示品种线同意，妥否，请批示。</t>
  </si>
  <si>
    <t>风控部</t>
  </si>
  <si>
    <t>YMYXMM260016</t>
  </si>
  <si>
    <t>关于苏州穗满德YMYXMM260016质量扣款的情况说明</t>
  </si>
  <si>
    <t>苏州穗满德国际贸易有限公司YMYXMM260016(合同量600吨，单价2400元)，签订日期2026年1月7日。该合同共执行590.84吨。2026年1月23日客户在中心船"益嘉98/2534”轮提货过程中，反馈到货的2车共62.94吨玉米杂质超标的质量问题，经饲料厂人员取样检测并复查，玉米杂质达1.91%，超合同规定标准。经我部与客户多次协商，秉承长期友好合同原则，共申请扣款1258.8元，单吨扣款20元/吨。</t>
  </si>
  <si>
    <t>益嘉98/2534</t>
  </si>
  <si>
    <t>YMGXQZ260018</t>
  </si>
  <si>
    <t>关于钦州海大桂柳生物内贸玉米商务情况的说明</t>
  </si>
  <si>
    <t>现有于与钦州海大桂柳生物科技有限公司的内贸玉米合同YMGXQZ260018，
数量650吨，在2026年2月10日-13日期间在执行过程中因水分不符产生了相应的
商务问题，执行大船为钦州港“三水809/2601”，执行数量638.7吨。在抽检过程中水分高点在15.46%，中间值平均在15.3%左右，与客户多次
沟通协商后按照单吨5元/吨进行扣款接收。</t>
  </si>
  <si>
    <t>JKGLZSJJM25005</t>
  </si>
  <si>
    <t>关于堆存费申请减免说明</t>
  </si>
  <si>
    <t>我司与广西参皇养殖集团有限公司于 2025 年 6 月 19 日签订《进口粮食销售合同》(合同编
号:JKGLZSJJM25005)，数量 9500 吨，单价 2380 元/吨，提货港为麻涌港，大船为“浙海 2”，合同
约定免堆期为 20 天，对应产生堆存费合计 190674.07 元。
因在合同签订时，双方约定由广西参皇按 9500 吨合同数量，协助我司凑齐整船销售数量；其后
又因我司清理“浙海 2”剩余库存需求，委托客户额外提货 125 吨，且该部分清仓高粱存在发热、霉
味、感官偏暗、杂质偏大等质量问题。
鉴于客户积极配合我司凑船和清仓工作，且分担部分质量欠佳货物，为维护长期稳定合作关系、
体现合作诚意，现申请对该客户的免堆期延长至 40 天，共计减免堆存费 133471.07 元，实际收取客
户堆存费 57203 元。</t>
  </si>
  <si>
    <t>浙海 2</t>
  </si>
  <si>
    <t>JKGLZSJJM25005)</t>
  </si>
  <si>
    <t>YMFJZZ250325</t>
  </si>
  <si>
    <t>有关漳浦县海新饲料科技有限公司玉米商务扣款事项</t>
  </si>
  <si>
    <t>兹有我司与漳浦县海新饲料科技有限公司于2025年12月30日签署生效的《粮食销售合
同》（合同编号：YMFJZZ250325)，合同数量1000吨，合同单价2420元/吨，截止至2026
年01月15日，该合同累计提货1031.03吨，客户于2026年1月4日至1月6日提货158.85吨，
经检测杂质、水份超标，对应船名：浙洋97/2537，该船在卸船时已向品种线报备杂质超
、部分水分异常的情况。</t>
  </si>
  <si>
    <t>JCYMZSJJM25007-4</t>
  </si>
  <si>
    <t>关于广西兴安扬翔JCYMZSJJM25007-4的货物质量扣款</t>
  </si>
  <si>
    <t>广西兴安县扬翔饲料有限公司，2026年1月27日签订的《粮食销售合同》(合同编号:JCYMZSJJM25007-4)合同数量2500 吨,合同单价2394.7元/吨，提货大船名：东星海泰082。
广西兴安县扬翔于2月12日派桂平安运138船舶到南沙港的东星海泰082提货，提货数量 1497.048 吨。客户检测该批玉米检测综合样杂质1.53%，超出合同标准（合同标准杂质≤1%）。现 
双方友好协商该船玉米扣款10元/吨，扣款金额1497.048吨*10元/吨=14970.48元。</t>
  </si>
  <si>
    <t>东星海泰082</t>
  </si>
  <si>
    <t>YMGXQZ260004</t>
  </si>
  <si>
    <t>关于钦州播恩生物技术YMGXQZ260004合同商务扣款</t>
  </si>
  <si>
    <t>与钦州播恩生物技术有限公司签订的《粮食销售合同》，合同号：YMGXQZ260004，数量1500吨，单价2425元/吨，提“长峰98/V2526”轮散装玉米，其中有9车共295.26吨水分指标远超出合同约定标准15%，客户原则上拒收。经双方协商同意，做商务扣款让步接收，合计扣款金额1538.22元，合同折合单吨扣款1.025元，该合同预留有5元/吨商务，溢余3.975元/吨，于我司有利。</t>
  </si>
  <si>
    <t>JCYMGXXJ260003-1</t>
  </si>
  <si>
    <t>关于南宁通威执行内贸玉米商务情况的说明</t>
  </si>
  <si>
    <t>现有于南宁通威生物科技有限公司签署的内贸玉米合同在执行过程中因
杂质不符产生了相应的商务问题，具体如下：JCYMGXXJ260003-1合同在执行钦州港最后一公里配送的三水809/2601中
因水分超标产生了其商务纠纷，经多次协商抽取水分较高的13车428.84吨做
扣款2144.2元接收处理（详细见附件一），对应扣款吨数折合单吨5元/吨。</t>
  </si>
  <si>
    <t>YMGXXJ250157</t>
  </si>
  <si>
    <t>YMGXXJ250157合同在执行珠三角最后一公里配送的东方详通/18中因水分
超标产生了其商务纠纷，经多次协商抽取水分较高的3车139.07吨做扣款
695.35元接收处理（详细见附件二），对应扣款吨数折合单吨5元/吨。</t>
  </si>
  <si>
    <t>695.35元</t>
  </si>
  <si>
    <t>东方详通/18</t>
  </si>
  <si>
    <t>JZXYMZSJQY260019</t>
  </si>
  <si>
    <t>关于韶关海大生物科技有限公司合同扣款说明</t>
  </si>
  <si>
    <t>现有韶关海大生物科技有限公司我司于2026年2月11日签订的内贸集装箱玉米合同JZXYMZSJQY260019,数量500吨，单价2465元/吨,客户于2月14日开始接货我司集装箱玉米(计划号:YHSZ-25-121915,运单号:Q090134490、Q090134491)，到厂后，有4车水分检测超出合同质量签订标准:水分≤15%的约定，经过双方友好协商，决定对水分超标的货物进行扣款。</t>
  </si>
  <si>
    <t>关于广州顺泽JZXYMZSJQY260022合同扣款说明</t>
  </si>
  <si>
    <t>现有广州顺泽粮食贸易有限公司我司于2026年3月2日签订的内贸集装箱玉米合同JZXYMZSJQY260022，数量220吨，单价2472元/吨，客户于3月4日接货我司集装箱玉米，计划号:YHSZ-26-011509,运单号:WBYNA262X0055。客户于3月4日接货的TEMU0253426柜存在柜子破洞，漏水情况，该柜底部货物水湿结块严重，有5.36吨货物受损，已经向保险公司报险理赔，保险公司同意对结块粘底货物扣款1000元/吨，共计扣款5360元，已经沟通保险，由保险公司承担该部分费用</t>
  </si>
  <si>
    <t>JZXYMZSJQY260022</t>
  </si>
  <si>
    <t>关于YMZSJDG26001扣款的请示</t>
  </si>
  <si>
    <t>我司于2026年1月8日与广州市禾润兴饲料有限公司签订内贸玉米合编号 YMZSJDG26001，合同数量 2000 吨，单价 2370 元/吨。同，
客户 2026年3月2号于新沙港长鑫86 提货，提单号 XSCX8625039因工厂检测抽检，其中 62.74 吨杂质为 2.5%，不符合合同约定标准，经过双方友好协商,按 30 元/吨扣款接收,即总共扣款62.74吨*30 元/吨=1882.2元</t>
  </si>
  <si>
    <t>YMZSJDG26002</t>
  </si>
  <si>
    <t>关于 YMZSJDG26002 扣款的请示</t>
  </si>
  <si>
    <t>我司于2026年1月8日与金钱饲料(东莞)有限公司签订内贸玉米合同，编号 YMZS.JDG26002，合同数量 2500 吨，单价 2406 元/吨。客户2026年2月27号于新沙港安丰 09/2604 提货，提单号XSAF0926006,因工厂检测抽检,其中2498.42吨杂质为 3.45%,水分 15.65%,不符合合同约定标准，经过双方友好协商，按10元/吨扣款接收，即总共扣款 2498.42 吨*10 元/吨=24984.2元</t>
  </si>
  <si>
    <t>YMYXMM250880</t>
  </si>
  <si>
    <r>
      <rPr>
        <sz val="12"/>
        <color rgb="FF000000"/>
        <rFont val="微软雅黑"/>
        <charset val="134"/>
      </rPr>
      <t>关于双胞胎 YMYXMM250880 在“</t>
    </r>
    <r>
      <rPr>
        <sz val="11.05"/>
        <color rgb="FF000000"/>
        <rFont val="微软雅黑"/>
        <charset val="134"/>
      </rPr>
      <t>中恒顺丰/2602”</t>
    </r>
    <r>
      <rPr>
        <sz val="12"/>
        <color rgb="FF000000"/>
        <rFont val="微软雅黑"/>
        <charset val="134"/>
      </rPr>
      <t>质量扣款的情况说明</t>
    </r>
  </si>
  <si>
    <t>双胞胎（集团）股份有限公司 YMYXMM250880（合同量 6000 吨，单价 2360 元），签订日期为 202
5 年 12 月 23 日，合同约定杂质≤1%。该合同执行 5965.74 吨，2026 年 2 月 2 日-2026 年 2 月 5 日在中心
大船“中恒顺丰/2602”轮提货，862.65 吨杂质 1.43-1.67%超标，不符合同规定。经我司业务人员核实，检
测结果确实存在。秉承长期友好合同原则，经我部与客户多次友好协商后，862.65 吨申请扣款 10 元/吨，申
请扣款金额合计 8626.5 元。</t>
  </si>
  <si>
    <t>关于双胞胎 YMYXMM250880 在“锦江河/2523”质量扣款的情况说明</t>
  </si>
  <si>
    <t>双胞胎（集团）股份有限公司 YMYXMM250880（合同量 6000 吨，单价 2360 元），签订日期为 202
5 年 12 月 23 日，合同约定水分≤15%、杂质≤1%。该合同执行 5965.74 吨，2026 年 1 月 7 日-2026 年 1
月 9 日在外采大船“锦江河/2523”轮提货，67.33 吨水分 15.18-15.6%超标；461.44 吨水分 15.18-15.6%
且杂质 1.2-1.4%超标，不符合同规定。经我司业务人员核实，检测结果确实存在。秉承长期友好合同原则，
经我部与客户多次友好协商后，67.33 吨申请扣款 10 元/吨，461.44 吨申请扣款 20 元/吨，申请扣款金额合
计 9902.1 元。该扣款情况已报备饲料原料部，由饲料原料部向供应方扣款弥补我司损失。</t>
  </si>
  <si>
    <t>YMZSJJY250221</t>
  </si>
  <si>
    <t>关于 YMZSJJY250221 扣款</t>
  </si>
  <si>
    <t>丰顺县海新饲料有限公司，2026 年 1 月 22 日签订的《粮食销售合同（赊销）》(合同编号:YMZSJJY250221)
合同数量 2000 吨，合同单价 2425 元/吨，数量 1000 吨，单价 2430 元/吨，客户提货鑫泰 128/2604，该合同
已累计交货 976.79 吨，(其中 2 月 14 日 1 车车号:粤 VT7065，重量 33.1 吨，2 月 25 日 3 车车号:粤 V34913，
重量 32.54 吨，车号:粤 D03333，重量 32.62 吨，车号:粤 MA1287，重量 33.86 吨，合计:132.12 吨)到货玉米
经检验杂质 1.2%杂质和破碎粒超出合同约定指标(杂质≤1%)，不符合客户接受指标。针对该批次到厂不合格玉
米，经双方友好协商处理后，退货转扣款接收。</t>
  </si>
  <si>
    <t>鑫泰 128/2604</t>
  </si>
  <si>
    <t xml:space="preserve"> YMZSJJY250221</t>
  </si>
  <si>
    <t>YMZSJJY250228</t>
  </si>
  <si>
    <t>关于 YMZSJJY250228 扣款</t>
  </si>
  <si>
    <t>梅州双胞胎饲料有限公司，2026 年 2 月 3 日签订的《粮食销售合同（赊销）》(合同编号:YMZSJJY250228)
合同数量 1500 吨，合同单价 2420 元/吨，客户提货航安顺/2603，提货重量 1494.03 吨，经检测十四车共计 520.87
吨水分超出合同约定不符合合同约定标准（水分≤15%），一车 43.11 吨赤霉毒素超过合同约定标准（赤霉≤
200ppb）我司承担该批次下超标水分、赤霉 563.98 吨折合货款 8926.81元。</t>
  </si>
  <si>
    <t>JZXYMHN260011</t>
  </si>
  <si>
    <t>2026/2/4-5</t>
  </si>
  <si>
    <t>海口金长城饲料有限公司扣款说明</t>
  </si>
  <si>
    <t>我司与海口金长城饲料有限公司于2026年1月26日签订的《粮食销售合同》（合同号：JZXYMHN260011），合同数量550吨，合同单价2480元/吨。截止目前共计执行553.705吨，执行完毕。该批货物在接卸过程中客户发现玉米水分超过合同约定标准，我司现场人员范闻超和工厂品管人员共同抽样，样品邮寄北方复测后，确认结果事实存在，复测水分15.2-15.5%。经双方友好协商，此批玉米共305.84吨，客户计划扣款7246.9元，经与客户协商，扣款5000元，折合单吨扣款16.35元/吨。</t>
  </si>
  <si>
    <t>YMFJFZ260029</t>
  </si>
  <si>
    <t>我司与南平华农恒青农牧有限公司于 2026 年2月10日签订《粮食销售合同》（合同编号：YMFJFZ260029），数量400吨，赊销，单价2450元/吨，合同约定水分≤15%，杂质≤1%，呕吐毒素≤1000ppb。该合同已累计提货397.25吨，客户2026年2月28日接收174.67吨玉米，存在提货杂质超标的情况。所提货物匹配船名：正海3/2601。
  经与客户多次协商沟通，客户对该批玉米扣款接收，其中174.67吨玉米，原产生商务扣款11608.13元，经双方多次协商扣款5804.06元（人民币伍仟捌佰零肆元零角陆分），折单吨扣款33.2元/吨（整笔合同折单吨扣款14.6元/吨）。我司在2月10日销售时，当日赊销指导价格2430元/吨，我司已加价20元/吨，可覆盖扣款。
     以是否可行，烦请领导批示，谢谢。</t>
  </si>
  <si>
    <t>正海3/2601</t>
  </si>
  <si>
    <t>JCYMFJFZ250017-1</t>
  </si>
  <si>
    <t>关于福建省金华龙饲料有限公司商务处理说明</t>
  </si>
  <si>
    <t>兹有我司与福建省金华龙饲料有限公司于2026年1月19日签订《粮食销售合同》，合同号:JCYMFJFZ250017-1，合同数量500吨，单价2378元/吨，该合同截止2月10日共计提货515.32吨，检测水分超标(合同约定水分≤15.9%，实测结果15.11%~15.5%)，已超出合同约定标准，经双方友好协商按15元/吨扣款，以上质量扣款合计7729.8元。
以上扣款对应兆丰6/2601(一体化粮源，经华正检验重新复测水分整体超标)，以上扣款是否可行，请领导批示。</t>
  </si>
  <si>
    <t>兆丰6/2601</t>
  </si>
  <si>
    <t>张子杰</t>
  </si>
  <si>
    <t>YMFJFZ250196</t>
  </si>
  <si>
    <t>关于福建省福清华龙饲料有限公司商务处理说明</t>
  </si>
  <si>
    <t>兹有我司与福建省福清华龙饲料有限公司于2025年11月28日签订《粮食销售合同》，合同号:YMFJFZ250196，合同数量500吨，截止3月4日提货完毕，共计提货517.52吨，其中2026年1月19日至2026年1月29日提货397.59吨，其中提货165.6吨检测水分霉变超标(合同约定水分≤15.0%，霉变≤2%，实测结果15.54%~16.2%)，已超出合同约定标准，经双方友好协商按25元/吨扣款，以上质量扣款4140元;其中188.78吨检测水分霉变超标(合同约定水分≤15.0%，实测结果15.1%~15.5%)，已超出合同约定标准，经双方友好协商按15元/吨扣款，以上质量扣款2831.7元，该合同共计扣款6971.7元。折合合同扣款13.47元/吨。以上扣款玉米，实际对应兆丰6/2601(一体化粮源，经华正检验重新复测水分整体超标)以上扣款是否可行，请领导批示。</t>
  </si>
  <si>
    <t>JZXYMGXQZ260007</t>
  </si>
  <si>
    <t>关于广西诚轩粮汇贸易有限公司玉米水分商务扣款</t>
  </si>
  <si>
    <t>与广西诚轩粮汇贸易有限公司签订的《粮食销售合同》，合同号:JZXYMGXQZ260007，数量300吨，单价2490元/吨。客户于3月4日到3月5日提货到厂的以下箱号玉米水分超标，不符合合同质量标准，检测指标在15.4-15.9区间。发运计划号：JZXYMSZCG260008；运单：ZG26025109096；ZG26025109104；ZG26015060048，共10箱，301.80吨。经双方协商扣款让步接收，标准为8元/吨，合计金额2414.40元。</t>
  </si>
  <si>
    <t>能覆盖</t>
  </si>
  <si>
    <t>YMLDW2603033001-1</t>
  </si>
  <si>
    <t>关于广西忠昇饲料有限公司 YMLDW2603033001 玉米集装箱合同扣款请示</t>
  </si>
  <si>
    <t>广西忠昇饲料有限公司 YMLDW2603033001玉米集装箱合同（1000吨，现金2490元/吨,钦州港自提)于3月4日至6日期间提货到厂出现水分超出合同标准情况（15.3-16.4）。发运计划号：JZXYMSZCG260008，运单：ZG26015060118,ZG26015060036,ZG26015060106,ZG26015060098,ZG26015060086,ZG26015060074,ZG26015060062,ZG26015060050,ZG26010008536共34箱，合计1023.42吨。客户原则上拒收，经过沟通，要求整体扣款27428.79元（折单吨27元/吨）并发出商函，经最终沟通后，本着长期友好合作理念，客户让步同意对该合同整体进行5元/吨扣款接收，合计扣款：5117.1元。</t>
  </si>
  <si>
    <t>YMLDW2603033001</t>
  </si>
  <si>
    <t>YMYXMM260008-1</t>
  </si>
  <si>
    <r>
      <rPr>
        <sz val="12"/>
        <color rgb="FF000000"/>
        <rFont val="微软雅黑"/>
        <charset val="134"/>
      </rPr>
      <t>关于北流响亮 YMYXMM260008-1 在“</t>
    </r>
    <r>
      <rPr>
        <sz val="11.05"/>
        <color rgb="FF000000"/>
        <rFont val="微软雅黑"/>
        <charset val="134"/>
      </rPr>
      <t>益嘉 98/2534”</t>
    </r>
    <r>
      <rPr>
        <sz val="12"/>
        <color rgb="FF000000"/>
        <rFont val="微软雅黑"/>
        <charset val="134"/>
      </rPr>
      <t>质量扣款的情况说明</t>
    </r>
  </si>
  <si>
    <t>北流市响亮饲料有限公司 YMYXMM260008-1（合同量 3000 吨，单价 2420 元），签订日期为 2026
年 1 月 19 日，合同约定容重≥685g/L，呕吐毒素≤2000ug/kg，水分≤15.0%，杂质≤1.0%，霉变粒≤2.0%，
不完善粒≤10%，黄曲霉毒素 B1≤20μg/kg，玉米赤霉烯酮≤200μg/kg。该合同执行 2991.4 吨，2026 年 1
月 27 日-2026 年 1 月 31 日在中心大船“益嘉 98/2534”轮提货，711.58 吨呕吐毒素超标，在 2004.27pp
b-2135.38ppb，不符合同规定。经我司业务人员核实，检测结果确实存在。秉承长期友好合同原则，经我部
与客户多次友好协商后，申请扣款 20 元/吨，申请扣款金额合计 14231.6 元。成交时预留 5 元/吨溢价处理质
量扣款，预留价差可覆盖扣款。</t>
  </si>
  <si>
    <t>益嘉 98/2534</t>
  </si>
  <si>
    <t>关于北流响亮 YMYXMM260008-1 在“锦江河/2523”质量扣款的情况说明</t>
  </si>
  <si>
    <t>北流市响亮饲料有限公司 YMYXMM260008-1（合同量 3000 吨，单价 2420 元），签订日期为 2026
年 1 月 19 日，合同约定容重≥685g/L，呕吐毒素≤2000ug/kg，水分≤15.0%，杂质≤1.0%，霉变粒≤2.0%，
不完善粒≤10%，黄曲霉毒素 B1≤20μg/kg，玉米赤霉烯酮≤200μg/kg。该合同执行 2991.4 吨，2026 年 1
月 23 日-2026 年 1 月 26 日在外采大船“锦江河/2523”轮提货，784.12 吨水分 15.21-15.46%，杂质 1.12
-1.38%，不符合同规定。经我司业务人员核实，检测结果确实存在。秉承长期友好合同原则，经我部与客户
多次友好协商后，申请扣款 20 元/吨，申请扣款金额合计 15682.4 元。该扣款情况已报备饲料原料部。</t>
  </si>
  <si>
    <t>锦江河/2523</t>
  </si>
  <si>
    <t>YMZSJJY250230</t>
  </si>
  <si>
    <t>关于揭阳市温氏畜牧有限公司YMZSJJY250230扣款</t>
  </si>
  <si>
    <r>
      <rPr>
        <sz val="10.5"/>
        <color theme="1"/>
        <rFont val="微软雅黑"/>
        <charset val="134"/>
      </rPr>
      <t>2026年2月10日签订的《粮食销售合同（赊销）》(合同编号:YMZSJJY250230)合同数量2000吨，合同单价2410元/吨，客户提货鑫泰128/2604，提货重量693.43吨，经检测十三车共计459.7吨赤霉烯酮（266-1099）、呕吐毒素(2300)超出合同约定不符合合同约定标准（</t>
    </r>
    <r>
      <rPr>
        <sz val="10.5"/>
        <color rgb="FF000000"/>
        <rFont val="宋体"/>
        <charset val="134"/>
        <scheme val="minor"/>
      </rPr>
      <t>赤霉烯酮≤200ppb、呕吐毒素≤2000ppb</t>
    </r>
    <r>
      <rPr>
        <sz val="10.5"/>
        <color theme="1"/>
        <rFont val="微软雅黑"/>
        <charset val="134"/>
      </rPr>
      <t>），我司承担该批次下超标水分459.7吨折合货款 9194元。</t>
    </r>
  </si>
  <si>
    <t>鑫泰128/2604</t>
  </si>
  <si>
    <t>YMZSJJY250216</t>
  </si>
  <si>
    <t>关于丰顺县海新饲料有限公司YMZSJJY250216商务扣款</t>
  </si>
  <si>
    <t>2026年1月7日签订的《粮食销售合同》(合同编号:YMZSJJY250216)合同数量5000吨，合同单价2400元/吨，客户提货国翔3/2540、锦航佰福/2532，该合同已累计交货4945.39吨，(其中1月26日4车车号:赣C1715D,重量34.26吨，车号:粤VT7065，重量34.47吨，车号:赣C2186D，重量35.75吨，车号:赣C3535D，重量38.12吨，1月27日2车车号:CU2823，重量33.1吨，车号:粤MA1287,重量35.36吨,2月10日4车车号:粤MR7785,重量34.55吨，车号:粤D28948，重量36.46吨，车号:粤VR5572，重量37.42吨，车号:赣C88710，重量42.57吨合计:362.06吨)到货玉米经检验杂质1.2%杂质和破碎粒超出合同约定指标(杂质≤1%)，不符合客户接受指标。针对该批次到厂不合格玉米，经双方友好协商处理后退货转扣款接收。
目前情况合计产生扣款3620.6元</t>
  </si>
  <si>
    <t>国翔3/2540</t>
  </si>
  <si>
    <t>YMZSJJY250227</t>
  </si>
  <si>
    <t>关于丰顺县海新饲料有限公司YMZSJJY250227商务扣款</t>
  </si>
  <si>
    <t>2026年1月7日签订的《粮食销售合同》(合同编号:YMZSJJY250227)合同数量1000吨，合同单价2425元/吨，客户提货鑫泰128/2604，该合同己累计交货988.43吨，(其中2月26日3车车号:粤D28948，重量34.73吨，车号:赣COP948，重量34.72吨，车号:C7N331，重量36.2吨，3月8日2车车号:粤VZ1486，重量30.47吨，车号:C5615D，重量32.47吨，合计:168.59吨)到货玉米经检验杂质1.2%杂质和破碎粒超出合同约定指标(杂质≤1%)，不符合客户接受指标。针对该批次到厂不合格玉米，经双方友好协商处理后，退货转扣款接收。目前情况合计产生扣款1685.9元</t>
  </si>
  <si>
    <t>:JCYMZSJQY250043-2</t>
  </si>
  <si>
    <t>关于苏州穗满德国际贸易有限公司商务扣款</t>
  </si>
  <si>
    <t>苏州穗满德国际贸易有限公司，2026 年 1 月 27 日签订的《粮食销售合同》(合同编
号:JCYMZSJQY250043-2)合同数量 800 吨,合同单价 2439 元/吨,客户提货大船东星海泰/82（一
体化粮源），3.9 日，客户提货到厂，检测结果霉变、杂质超标，超出合同约定标准，申请扣款 19
元/吨，合计扣款 15041.16 元，由一体化承担。</t>
  </si>
  <si>
    <t>JZXYMZSJJM26022</t>
  </si>
  <si>
    <t>关于江门市领宝饲料有限公司垫付柜子的费用联系单</t>
  </si>
  <si>
    <t>运单AGGQQKE260083767(36柜)和AJTFTYA260089162(9柜),共计45柜销售给开江门市领宝饲料有限公司(ZXYMZSJM26022、1250吨、单价2470元)，合同签订日期3月5日。客户于3月6日回款，于3月11日完成提货，历时5天，期间产生堆存费1848元，现申请由我司承担。
请领导批示!</t>
  </si>
  <si>
    <t>JZXYMZSJJM26026</t>
  </si>
  <si>
    <t>关于广州市天伟生物科技有限公司垫付柜子的费用联系单</t>
  </si>
  <si>
    <t>一、运单 ASNJNSN250754887, 箱号 TELU2369392、TEMU1234924 和 GCXU2010844,该3个柜子，原先计划卖给开平市绿皇农牧发展有限公司(JZXYMZSJM25059、560、单价2280元)，合同签订日期2025年10月29日。因质量问题，绿皇退回给港口后，转卖给广州市天伟生物科技有限公司(JZXYMZSJM25069、84吨、单价1800元)，合同签订日期2025年11月13日。期间3个柜子共产生滞期费180*3=540元，当时由客户先行帮忙垫付以便接收柜子。因当时临近年末结算，不便冲销发票重新开票，双方经协商后，此费用在后续的JZXYMZSJM26026合同结算
中扣除。二、运单AQMHQKE260081920A，箱号ATHU1228154，原先计划卖给开平市绿皇农牧发展有限公司(ZXYMZSJM26017、535、单价2460元)，合同签订日期2025年3月3日。因质量问题，绿皇退回给港口后，转卖给广州市天伟生物科技有限公司(JZXYMZSJM26026、17.5吨、单价2200元)，合同签订日期2026年3月11日。
期间该柜子产生了重出重回的运费，共计780元，当时由客户先行帮忙垫付以便接收柜子，此费用在后续结算中扣除。
综上，共计540+780=1320元，现申请由我司承担，在JZXYMZSJM26026合同结算中扣除。</t>
  </si>
  <si>
    <t>YMZSJM25083</t>
  </si>
  <si>
    <t>关于 YMZSJM25083 配送玉米船期超期费用</t>
  </si>
  <si>
    <t>贵 港 瑞 康 饲 料 有 限 公 司 ， 于 2025 年 11 月 26 日 签 订 的 《 粮 食 销 售 合 同 》 （ 合 同 编
号:YMZSJM25083、合同数量 10000 吨、合同单价 2380 元/吨，配送船只分别为贵港航泰 3698、桂
平飞达 246、桂远航 8 9 8 和航凯 508，其中有 1 条船只存在超期费用:
桂平飞达 246,12 月 17 号 19 点回到白沙，28 号 17 点半卸轻，存在超期费用，按超期 22 小时来
算，滞期费总共为 2287.09 元
此费用双方协商后，由贵港瑞康饲料有限公司全部承担。</t>
  </si>
  <si>
    <t>超期滞期费</t>
  </si>
  <si>
    <t>南方地采-供销/25216</t>
  </si>
  <si>
    <t>YMZSJDKHWS250009</t>
  </si>
  <si>
    <t>关于温氏配送合同产生滞期费用情况说明</t>
  </si>
  <si>
    <t>我司与广东华农温氏畜牧股份有限公司2025年06月05日签订内贸玉米合同(合同号:YMZSJDKHWS250009,合同数量20000吨,单价2430元/吨),2025年7月14日转让至分工厂执行，后变更为配送合同.该批合同由广州市生生物流有限公司进行配送到中转码头，配送后，因工厂接货能力不足，以下4船到达中转码头后未能及时卸货,产生17704.10元,为了维护客户，由客户与珠三角经营部各承担8852.05元，该笔费用由物流仓储部支付给广州市生生物流有限公司，因该合同已进行结算，客户需承担的该部分费用申请在后续合作中通过合同扣款或合同加价补偿回，同时订单留底备案。</t>
  </si>
  <si>
    <t>-</t>
  </si>
  <si>
    <t>YMZSJDKHISBT2600017</t>
  </si>
  <si>
    <t>2026年2月6日我司与双胞胎集团签订内贸玉米合同，合同号:YMZSJDKHISBT2600017，单价分别为2400元/吨。客户提南沙港东星海泰/82货物，报32.06屯货物杂质超标，属于折价接收范围，单吨扣价10元</t>
  </si>
  <si>
    <t>YMZSJHD260076</t>
  </si>
  <si>
    <t>海大商务扣款</t>
  </si>
  <si>
    <t>2026年2月11日我司与海大集团下属子公司签订内贸玉米合同，合同号:YMZSJHD260076,单价为2380元/吨。客户提南方地采-谷润/25199货物,报1096.92吨货物水分超标，在货物中挑拣出石块86.1KG，单吨扣价10元</t>
  </si>
  <si>
    <t>南方地采-谷润/25199</t>
  </si>
  <si>
    <t>YMGXXJ260017</t>
  </si>
  <si>
    <t>贵港万千执行内贸玉米商务</t>
  </si>
  <si>
    <t>合同在执行苏湾码头最后一公里配送的集改散玉米中因霉变超标产生了其商务纠纷，经多次协商对本合同执行的 2 车(桂R01608D、桂 R02918D)84.4 吨做扣款 422 元接收处理。另一车桂 R05931D 霉变指标较高，退回苏湾仓库。</t>
  </si>
  <si>
    <t>JCYMGXXJ260002-1</t>
  </si>
  <si>
    <t>广西绿永内贸玉米商务</t>
  </si>
  <si>
    <t>JCYMGXXJ260002-1 合同在执行珠三角的福顺 338 中因杂质超标产生了
其商务纠纷，经多次协商对本合同执行的 12 车 455.47 吨，总计扣款 2277.4
元接收处理</t>
  </si>
  <si>
    <t>福顺 338</t>
  </si>
  <si>
    <t>JCYMGXXJ260004-2</t>
  </si>
  <si>
    <t>宾阳通威执行内贸玉米商务</t>
  </si>
  <si>
    <t>JCYMGXXJ260004-2 合同在执行白沙码头最后一公里配送的长鑫 86 中
因水分超标产生了其商务纠纷，经多次协商对本合同执行的 15 车 748.82 吨
做扣款 3744.1 元接收处理（详细见附件一），对应扣款吨数折合单吨 5 元/
吨</t>
  </si>
  <si>
    <t>长鑫 86</t>
  </si>
  <si>
    <t>YMFJFZ260005</t>
  </si>
  <si>
    <t>有关南平海大生物科技有限公司玉米商务事项</t>
  </si>
  <si>
    <t>我司与南平海大生物科技有限公司于 2026 年1月6日签订《粮食销售合同》（合同编号：YMFJFZ260005），数量540吨，单价2390元/吨，合同约定水分≤15%，杂质≤1%。该合同已累计提货537.54吨，客户2026年1月20日-2月11日接收288.03吨玉米，存在提货杂质超标严重的情况，部分水分超标。所提货物来源船名：兆丰6/2601。
经与客户多次协商沟通，客户对该批玉米扣款接收，共计288.03吨玉米，产生商务扣款14401.5元，（人民币壹万肆仟肆佰零壹元伍角），折单吨扣款50元/吨。该船玉米已与第三方检测人员一同检测，同时对于客户反馈的商务第一时间与第三方检测人员到工厂核实情况。客户原需退货处理，经多次协商，客户同意扣款接收。
     以是否可行，烦请领导批示，谢谢。</t>
  </si>
  <si>
    <t>YMFJZZ260043</t>
  </si>
  <si>
    <t>有关龙岩大北农生物科技有限公司玉米商务扣款事项</t>
  </si>
  <si>
    <t>兹有我司与龙岩大北农生物科技有限公司于2026年02月04日签署生效的《粮食销售合同(赊销)》(合同编号:YMFJZZ260043)，合同数量300吨，合同单价2410元/吨，截止至2026年03月08日，该合同累计提货282.4吨，其中客户于2026年3月1日提货批次对应2车合计65.46吨玉米经检测水分超标，经双方友好协商，该批次货物由退货转扣款接收。以上情况合计产生扣款566.35元。</t>
  </si>
  <si>
    <t>信耀/2604</t>
  </si>
  <si>
    <t>YMZSJJY250229</t>
  </si>
  <si>
    <t>有关丰顺温氏家禽有限公司玉米商务扣款事项</t>
  </si>
  <si>
    <t>丰顺温氏家禽有限公司， 2026 年 2 月 5 日签订的《粮食销售合同（赊销）》(合同编号:YMZSJJY250229)
合同数量 2000 吨，合同单价 2410 元/吨，客户提货鑫泰 128/2604、航安顺/2603，提货重量 1981.94 吨，提
货时间2026年2月11日至3月9日，经检测二十六车共计 938.91 吨杂质、赤霉烯酮、黄曲霉毒素超出合同约定不
符合合同约定标准（赤霉烯酮≤200ppb 、黄曲霉毒素≤30ppb、杂质≤1） ，我司承担该批次下超标杂质、赤霉
烯酮、黄曲霉毒素 938.91 吨折合货款 28167.3 元</t>
  </si>
  <si>
    <t>JCYMZSJJY250155-1</t>
  </si>
  <si>
    <t>有关揭阳海大饲料有限公司玉米商务扣款事项</t>
  </si>
  <si>
    <t>揭阳海大饲料有限公司，2026 年 1 月 27 日签订的《粮食销售合同》(合同编号:JCYMZSJJY250155-1)合同
数量 3000 吨，合同单价 2412.51 元/吨，客户提货鑫泰 128/2604，提货重量 2990.64 吨，经检测两车赣 DK8181、
赣 FC0156 共计 69.78 吨水分分别为 15.24%、15.18%超出合同约定不符合合同约定标准（水分≤15%），我司
承担该批次下超标水分 69.78 吨折合货款 348.9 元。</t>
  </si>
  <si>
    <t>YMFJFZ260021</t>
  </si>
  <si>
    <t xml:space="preserve">兹有我司与福建圣农发展（浦城）有限公司签订YMFJFZ260021号《粮食销售合同》，合同数量500吨，单价2550元/吨，截止3月15日，该合同实际送货509.74吨，接货509.96吨，质量扣款6400.5元，折合扣款12.55元/吨，该扣款为圣农杂质及不完善粒固定扣款，在销售合同时已预留12元/吨溢价进行销售，实际无损失。
以上扣款，是否可行，请领导批示。
</t>
  </si>
  <si>
    <t>是</t>
  </si>
  <si>
    <t>YMZSJM26013</t>
  </si>
  <si>
    <t>关于贵港瑞康YMZSJM26013合同的质量扣款</t>
  </si>
  <si>
    <t>贵港瑞康饲料有限公司，于2026年1月28日签订的《粮食销售合同》(合同编号:YMZSJM26013、合同数量5000吨、合同单价2370元/吨，提货大船为南沙港的东星海泰/82。2026年3月3日送货至工厂的驰海5599船玉米，经客户质检部门检测，该船杂质超标:该船玉米共入库1598.06 吨，其中 836.36吨杂质占比例2.08%,不符合原合同质量标准杂质≤1%.杂质超标扣款合计:836.36 吨*(2.08%-1%)*2,370元/吨=21407.47元。此费用双方协商后，该笔扣款在结算时扣减，总扣减金额为21407.47元。</t>
  </si>
  <si>
    <t>YMFJFZ260034</t>
  </si>
  <si>
    <t>我司与南平华农恒青农牧有限公司于 2026 年2月24日签订《粮食销售合同》（合同编号：YMFJFZ260034），数量500吨，赊销，单价2475元/吨，合同约定水分≤15%，杂质≤1%，呕吐毒素≤1000ppb。该合同已累计提货507吨，客户2026年3月3日-3月13日接收362.22吨玉米，存在提货杂质超标的情况。所提货物匹配船名：正海3/2601。   经与客户多次协商沟通，客户对该批玉米扣款接收，其中362.22吨玉米，原产生商务扣款10385.18元，经双方多次协商扣款7269.63元（人民币柒仟贰佰陆拾玖元陆角叁分），折单吨扣款20元/吨（整笔合同折单吨扣款14.33元/吨）。我司在2月24日销售时，当日赊销指导价格2453元/吨，我司已加价22元/吨，可覆盖扣款。</t>
  </si>
  <si>
    <t>我司与将乐温氏家禽有限公司于 2026年1月21日签订《粮食销售合同》（合同编号：YMFJFZ260011），数量1000吨，赊销，单价2515元/吨，合同约定水分≤15%，杂质≤1%。该合同已累计提货982.37吨，客户2026年3月1日-3月11日接收的230.02吨玉米，存在杂质粉尘超标。所提货物匹配船名：兆丰6/2601。    
     经与客户多次协商沟通，对杂质破碎超标的230.02吨玉米客户原定扣款25元/吨接收转为扣款15元/吨接收，产生商务扣款3450.3元（人民币叁仟肆佰伍拾元叁角），整笔合同折单吨扣款3.5元/吨。该船货物北方第三方检测人员一同到福州作卸船检测，相应的杂质超标情况已及时反应北方。</t>
  </si>
  <si>
    <t>YMFJFZ260030</t>
  </si>
  <si>
    <t>关于福州市农益森农业发展有限公司商务扣款说明</t>
  </si>
  <si>
    <t>兹有我司与福州市农益森农业发展有限公司签订YMFJFZ260030号《粮食销售合同》，合同数量2000吨，单价2420元/吨，截止3月15日，该合同实际提货2098.58吨，在接货过程中，其中873.54吨存在杂质及水分超标情况(水分检验15.3-16%，杂质2-4%)，质量扣款21838.5元，折合扣款25元/吨，该部分数量对应兆丰6、炜业99，(2船检验报告均有杂质超标和水分超标检验报告)。</t>
  </si>
  <si>
    <t>兆丰6/2601、炜业99</t>
  </si>
  <si>
    <t>JZXYMZSJQY260008</t>
  </si>
  <si>
    <t>广东比利美英伟结算扣款</t>
  </si>
  <si>
    <t>广东比利美英伟生物科技有限公司，2026 年 1 月 23 日签订的《粮食销售合同》(合同编
号 :JZXYMZSJQY260008) 合 同 数 量 500 吨 , 合 同 单 价 2470 元 / 吨 , 客 户 提 货 外 采 合 同 号
JZXYMSZCG260012，运单号 ZG26025090442_A、ZG26020055030，我司 3.2-3.5 日配送到厂，
其中 6 柜到厂检测呕吐毒素超标（合同约定呕吐毒素≤1000ppb），经与客户协商后，客户扣款接
收，明细如下，合计扣款 1950.42 元，经与品种线沟通，该部分扣款由上游承担。</t>
  </si>
  <si>
    <t>JZXYMSZCG260012</t>
  </si>
  <si>
    <t>YMFJFZ250194</t>
  </si>
  <si>
    <t>关于南平鑫华港饲料有限公司商务处理说明</t>
  </si>
  <si>
    <t>兹有我司与南平鑫华港饲料有限公司于2025年11月28日签订《粮食销售合同》，合同号:YMFJFZ250194，合同数量2000吨，截止3月24日提货完毕，共计提货2000.09吨，其中2026年1月20日至2026年2月12日提货1392.02吨，其中检测水分、杂质超标(合同约定水分≤15.0%，实测结果15.21%~16.2%;合同约定杂质≤1%，实测结果2.1%~3.2%)，已超出合同约定标准，经双方友好协商按20元/吨扣款，以上质量扣款27840.4元。
以上扣款玉米，实际对应兆丰6/2601(一体化粮源，经华正检验重新复测水分整体超标)以上扣款是否可行，请领导批示。</t>
  </si>
  <si>
    <t>清远加乐JZXYMZSJQY260018合同结算扣款</t>
  </si>
  <si>
    <t>清远加乐饲料有限公司于2026年2月10日签订的《粮食销售合同》(合同编号:JZXYMZSJQY260018)合同数量330吨,合同单价 2460 元/吨,客户提货外采合同号JZXYMSZCG260012，运单号ZG26025090454，我司配送到厂，其中10柜到厂检测呕吐毒素、水分超标，(合同约定呕吐毒素≤1000ppb,水分≤15%)经与客户协商后，客户扣款接收，合计扣款9787.76元，已经沟通品种线，该部分扣款由上游承担。</t>
  </si>
  <si>
    <t>YMZSJDKHLY250166</t>
  </si>
  <si>
    <t>关于广东正钱饲料有限公司YMZSJDKHLY250166扣款的请示</t>
  </si>
  <si>
    <t>我司于2025年11月4日与广东正钱饲料有限公司签订内贸玉米合同，编号YMZSJDKHLY250166，数量2000吨，单价2190元/吨。
客户于新沙港安丰09/2604提货，提单号XSAF0926007，因工厂卸货时其中一车到货30.74 吨卸出砖块，砖块称重共0.026吨。因对客户成品以及口碑造成影响，将该部分重量折合扣价0.026*2190=56.94元，剩余30.714吨玉米按 10 元/吨处理费扣价30.714*10=307.14元，合计需扣价:56.94+307.14=364.08元。</t>
  </si>
  <si>
    <t>安丰09/2604</t>
  </si>
  <si>
    <t>YMZSJDKHLY250168</t>
  </si>
  <si>
    <t>关于清远正清源畜牧实业有限公司YMZSJDKHLY250168扣款的请示</t>
  </si>
  <si>
    <t>我司于2025年11月4日与清远正清源畜牧实业有限公司签订内贸玉米合同，编号YMZSJDKHLY250168，数量2000吨，单价2190元/吨。客户于新沙港长鑫86提货，提单号XSCX8625041，共计提货四车122.74吨。因工厂检测呕吐毒素偏高，综合平均呕吐毒素1928.94ppb。因对客户成品以及口碑造成影响，扣价10元/吨，需扣价: 122.74*10=1227.4元。</t>
  </si>
  <si>
    <t>YMFJFZ260017</t>
  </si>
  <si>
    <t>我司与正大原料供应有限公司于 2025 年1月22日签订《粮食销售合同》（合同编号：YMFJFZ260017），数量 500 吨，单价2460元/吨，合同约定杂质≤1%，不完善粒≤8%，呕吐毒素≤1000ug/kg。 客户于2026年2月5日-3月10日提货的498.09吨玉米存在杂质、水分、呕吐毒素超标情况。其中第二批接货83.83吨，合计产生扣款1295.28元。
整批合同提货的498.09吨玉米存在杂质、水分、呕吐毒素超标情况，共计扣款11793.57元（大写：人民币壹万壹仟柒佰玖拾叁元伍角柒分），折单吨23.67元。所提货物匹配船名：兆丰6/2601。
2026年1月22日的指导价格2437元/吨，有23元/吨的溢价销售，同时对于兆丰6/2601的玉米，北方第三方检测华正已派人到现场进行共同检测，该批到货玉米实际存在杂质、水分超标的情况。
      以上扣款请领导批示，谢谢。</t>
  </si>
  <si>
    <t>YMZSJDG26016</t>
  </si>
  <si>
    <t>关于 YMZSJDG26016 合同扣款的请示</t>
  </si>
  <si>
    <t>我司于2026年2月9日与正大康地(广州番禺)有限公司签订内贸玉米合编号YMZSJDG26016,合同数量2500吨,单价2405元/吨。客户于2026年3月18号-21号于新港南方地采-首裕/26010提货，提单号NFDCSY2601002,因工厂检测抽检,其中414.66 吨水分为15.31%-15.49%不符合合同约定标准，经过双方友好协商，其中128.98 吨水分为15.31%，按9元/吨扣款接收，水分为15.49%的285.68吨，按14元/吨扣款接收。即总共扣款128.98吨*9元/吨+285.68吨*14元/吨=5158.66元</t>
  </si>
  <si>
    <t>南方地采-首裕/26010</t>
  </si>
  <si>
    <t>YMZSJDG26011</t>
  </si>
  <si>
    <t>关于 YMZSJDG26011合同结算说明的请示</t>
  </si>
  <si>
    <t>我司于2026年1月16日与佛山市顺德区利宝饲料有限公司签订内贸玉米合同，编号 YMZSJDG26011，合同数量 4000吨，单价2345元/吨该合同为配送合同，结算数为3847.815吨，提单号NSDXHT8126027和NSDXHT8226002按照港口磅单结算。提单号NSDXHT8126027，损耗989.458吨*千分之 2=1.979 吨，我司承担16.345 吨，结算数 973.113 吨;提单号NSDXHT8226002，损耗958.93吨*千分之 2=1.918吨，我司承担 40.434 吨结算数为 918.496 吨。</t>
  </si>
  <si>
    <t>东星海泰81</t>
  </si>
  <si>
    <t>YMZSJDG26050</t>
  </si>
  <si>
    <t>关于 YMZSJDG26050合同结算说明的请示</t>
  </si>
  <si>
    <t>我司于2026年1月30日与广州番禺灵川饲料有限公司签订内贸玉米合同，编号 YMZSJDG26050，合同数量700吨，单价2338元/吨。
客户2026年3月13号于麻涌港南方地采-谷润/25199提货，提单号NFDCGR26019，码头实装数598.30吨，我实收数596.45吨，差异1.85吨，损耗率0.3%，超出0.1%损耗(即0.6吨*2338元/吨=1402.8元)。因该合同为配送合同，申请在货款中扣除1402.8元(附扣款商函(备注:其中1402.8元损失，烦请物流仓储部在与物流公司结算中扣
除)</t>
  </si>
  <si>
    <t>YMFJZZ260035</t>
  </si>
  <si>
    <t>有关漳州市海扬饲料有限公司玉米商务扣款事项</t>
  </si>
  <si>
    <t>我司与漳州市海扬饲料有限公司于2026年02月03日签署生效的《粮食销售合同（赊销）》（合同编号：YMFJZZ260035)，合同数量1300吨，合同单价2420元/吨，截止至2026年03月18日，该合同累计提货1282.36吨，客户于2026年3月11日至3月17日提货批次玉米经检测杂质超标（均超出合同约定标准），合计提货1282.36吨，对应船名：信耀/2604；</t>
  </si>
  <si>
    <t>YMFJZZ260036</t>
  </si>
  <si>
    <t>有关漳州市海力饲料有限公司玉米商务扣款事项</t>
  </si>
  <si>
    <t>我司与漳州市海力饲料有限公司于2026年02月03日签署生效的《粮食销售合同（赊销）》（合同编号：YMFJZZ260036)，合同数量700吨，合同单价2420元/吨，截止至2026年03月17日，该合同累计提货686.68吨，其中客户于2026年3月04日至3月17日提货玉米杂质严重超标（均超出合同约定标准），合计质量扣款5704.780元，对应船名：信耀/2604</t>
  </si>
  <si>
    <t>YMZSJQY260021</t>
  </si>
  <si>
    <t>关于清远大北农YMZSJQY260021合同结算扣款</t>
  </si>
  <si>
    <t>清远大北农生物科技有限公司，2026年1月23日签订的《粮食销售合同》(合同编号:YMZSJQY260021)合同数量1500吨,合同单价2445元/吨,客户提货大船国家能源611/2603,3.7-3.8日，客户提货到厂，其中五车(161.86吨)检测杂质超标，超出合同约定标准2%,经与客户协商后，客户扣款接收，明细如下，协商后，合计扣款1618.6元</t>
  </si>
  <si>
    <t>国家能源611/2603</t>
  </si>
  <si>
    <t>YMZSJJM26024</t>
  </si>
  <si>
    <t>关于广东新粮实业有限公司新粮饲料厂退货的申请</t>
  </si>
  <si>
    <t>我司与广东新粮实业有限公司新粮饲料厂于2026年3月23日签订的《粮食销售合同》，合同号YMZSJM26024，销售单价2510元/吨，合同数量1000吨，于2026年3月27日放货，新沙港，船名国远701，采购合同号YMSZCG260003，放货编号NFDCGR26037。
客户于2026年4月1日提货一船，999.64吨，驳船名粤新会货8137，经检测后发现该船玉米存在霉变粒超标和赤霉超标的情况，现已送第三方检测。其中，霉变粒第一次检测达5%，第二次复测达4.75%，合同签订霉变粒≤2.0%;玉米赤霉烯酮第一次检测超5000ppb，第二次复测达3480.5ppb。该霉变粒指标不符合与客户签订的合同标准，客户无法使用，现申请退货处理。
请领导批示。</t>
  </si>
  <si>
    <t>质量问题（霉变粒和赤霉素超标）</t>
  </si>
  <si>
    <t>国远701</t>
  </si>
  <si>
    <t>JKDMZSJDKHSBT25002、JKDMZSJDKHSBT25001</t>
  </si>
  <si>
    <t>关于双胞胎集团"安娜格"轮上进口大麦堆存费减免的申请</t>
  </si>
  <si>
    <t>合同号：JKDMSZJDKHSBT25001、JKDMSZJDKHSBT25002，双胞胎（集团）股份有限公司，数量分别是 3 万吨、1.5 万吨，进口大麦，2025 年 3 月船期，在外轮 “安娜格” 轮上执行；两份合同合计 4.5 万吨进口大麦，在执行过程中产生港口堆存费合计 18476.66 元。本次堆存费为多重客观不可控因素叠加导致，非客户主观履约延误：1、货量集中到港，超出客户月度消化峰值：两份合同 4.5 万吨货物同时发出、同时到港，超出客户每月 3 万吨的最大用量峰值，且到货期恰逢新季国产玉米大量上市，客户仓储、接卸、分拨承压巨大，经全力协调后仍产生超期；2、恰逢国庆超长假期，期间无法安排开单、码头作业，无作业条件，申请延长8天免堆存期；3、客户按合同约定以银行承兑汇票付款，因我方月底关帐，暂不予承兑，导致货款无法如期到账、无法开单；4、客户主动配合我方完成码头尾量清仓，规避了进口粮核销流程的合规隐患，确保了进口粮食全程合法合规合理。</t>
  </si>
  <si>
    <t>安娜格</t>
  </si>
  <si>
    <t>YMZSJJM25107、YMZSJJM26007、YMZSJJM26005</t>
  </si>
  <si>
    <t>2026/1/29、2026/2/1、2026/2/2、2026/2/8</t>
  </si>
  <si>
    <t>关于贵港瑞康饲料有限公司的配送船只超期费用联系单</t>
  </si>
  <si>
    <t>我司与贵港瑞康饲料有限公司签订的三份粮食销售合同，因货物配送船只超期产生滞期费用，经双方协商确定由贵港瑞康饲料有限公司全额承担，具体明细如下：
1、合同YMZSJJM25107，是于2025年12月30日签订的《粮食销售合同》（合同数量2500吨，合同单价2460元/吨），配送船只为海华838。该船于2026年1月17日17:22抵达货港，2026年1月29日16:35卸轻，产生滞期费5000.50元。
2、合同YMZSJJM26007，是于2026年1月7日签订的《粮食销售合同》（合同数量5000吨，合同单价2430元/吨），配送船只分别为桂平宏泰5668和桂平海宏6689。其中：
（1）桂平宏泰5668于2026年1月19日7:40抵达货港，2026年2月1日23:18卸轻，产生滞期费7494.81元。
（2）桂平海宏6689于2026年1月20日7:25抵达货港，2026年2月2日7:53卸轻，产生滞期费7403.82元。本合同合计滞期费14898.63 元。
3、合同YMZSJJM26005，是于2026年1月6日签订的《粮食销售合同》（合同数量5000吨，合同单价2360元/吨），配送船只为桂平飞达636和桂平宏泰6668。其中：
桂平飞达636于2026年1月25日16:33抵达货港，2026年2月8日6:44卸轻，产生滞期费 8737.72 元。
上述三份合同滞期费用经我司与贵港瑞康饲料有限公司协商一致，确定由贵港瑞康饲料有限公司全额承担，总滞期费用合计28636.85元。后续我司将按各合同对应滞期费金额，分别开具3张发票交付至贵港瑞康饲料有限公司。</t>
  </si>
  <si>
    <t>南方地采-谷润/25200、国家能源610/2513、东星海泰/81</t>
  </si>
  <si>
    <t>JZXYMZSJJM26037</t>
  </si>
  <si>
    <t>关于黄敏杰代付过磅费的费用联系单</t>
  </si>
  <si>
    <t>黄敏杰，于2025年11 月25日签订的《玉米销售合同》(合同编号:JZXYMZSJJM25078,同数量330吨、合同单价2415元/吨，柜子数为18柜，提货港口为四会永泰港。因四会永泰港口的要求，每个柜子的过磅费为10元/柜，一共产生了10x18=180元的过磅费，该费用由黄敏杰进行代付。因当时临近年末结算，不便冲销发票重新开票，双方经协商后，此费用在后续的JZXYMZSJJM26037合同结算中扣除。</t>
  </si>
  <si>
    <t>JZXYMZSJJM25078</t>
  </si>
  <si>
    <t>JZXYMZSJJM26018</t>
  </si>
  <si>
    <t>关于四会南江港超期费用联系单</t>
  </si>
  <si>
    <t>我司与广州市禾润兴饲料有限公司于2026年3月3日签订《玉米销售合同》(合同号JZXYMZSJM26018合同吨数420吨，销售单价2455元)。该批货物对应运单号ZG26020024768，货物于2026年2月12日到港，享受压年免滞期21天政策，免滞期截止日期为2026年3月4日。
同期四会南江货物集中到港，客户于2026年3月6日(周五)下午16:24才完成回款并提交放货申请。因申请提交时间为周五下午，恰逢周末，放货相关手续流程无法正常办理，货物直至3月9日(周一)才完成放行，客户于3月10日将货物全部提离。上述客观情况叠加，导致该批货物产生超期滞期费用，合计3024元。现特申请由我司承担该笔滞期费，并支付至上海中谷新良物流有限公司。</t>
  </si>
  <si>
    <t>JZXYMZSJJM26040</t>
  </si>
  <si>
    <t>关于四会南江运单 Q091390933 的滞期费联系单</t>
  </si>
  <si>
    <t>饲料原料部、物流仓储部：
广州市禾润兴饲料有限公司，2026 年 4 月 7 日签订的《粮食销售合同》(合同编号:JZXYMZSJJM26040)合同数量 1000
吨,合同单价 2490 元/吨，客户提货计划号 YHSZ-26-020925-1，提货为四会南江港。
该运单号 Q091390933，货物于 2026 年 3 月 27 日到港，免滞期截止日期为 2026 年 4 月 7 日。由于下游需求不好，
经过双方协商，给予客户 5 天的提柜时间。现客户提离后，该运单号 Q091390933 已滞期 2 天，产生滞期费 156 元。
现特申请由我司承担该笔滞期费，并支付至华南中远海运集装箱运输有限公司肇庆分公司</t>
  </si>
  <si>
    <t>JZXYMZSJJM26033</t>
  </si>
  <si>
    <t>2026/3/3、2026/3/4、2026/3/19</t>
  </si>
  <si>
    <t>港杂费</t>
  </si>
  <si>
    <t>关于广东粮品农产品经营有限公司港杂费扣款联系单</t>
  </si>
  <si>
    <t>广东粮品农产品经营有限公司，2026 年 3 月 3 日签订的《粮食销售合同》(合同编号:JZXYMZSJJM26019)
合同数量 1233 吨,合同单价 2480 元/吨，客户提货计划号 JZXYMSZCG260002，运单号 ABUYTYN260093508、
ABUYTYN260093508A，ABUYTYN260096852、AQMHLXY260081936 和 AQMHLXY260081936B，共计
46 箱，港杂费 30 元/箱，该批港杂费共计 46 X 30=1380 元。
广东粮品农产品经营有限公司，2026 年 3 月 4 日签订的《粮食销售合同》(合同编号:JZXYMZSJJM26020)
合同数量 112 吨,合同单价 2480 元/吨，客户提货计划号 YHSZ-26-011511，运单号 AJTFTYN260094448 和
Q090754080，共计 4 箱，港杂费分别为 30 元/箱和 20 元/箱，该批港杂费共计 2 X 30+2 X 20=100 元。
广东粮品农产品经营有限公司，2026 年 3 月 19 日签订的《粮食销售合同》(合同编号:JZXYMZSJJM26033)
合同数量 510 吨,合同单价 2540 元/吨,客户提货计划号 YHSZ-26-020913-1，运单号 AQLLGHW260142065，
共计 18 箱，港杂费 30 元/箱，该批港杂费共计 18 X 30=540 元。
综上，港杂费共计 1380+100+540=2020 元，现特申请由我司承担该笔港杂费。经双方协商，此费用在
JZXYMZSJJM26033 合同结算中扣除。</t>
  </si>
  <si>
    <t>JZXYMZSJJM26019、JZXYMZSJJM26020、JZXYMZSJJM26033</t>
  </si>
  <si>
    <t>JZXYMZSJJM2602</t>
  </si>
  <si>
    <t>保险费</t>
  </si>
  <si>
    <t>关于广东粮品JZXYMZSJM26021合同保险扣款联系单</t>
  </si>
  <si>
    <t>广东粮品农产品经营有限公司，2026年3月6日签订的《粮食销售合同》(合同编号:JZXYMZSJJM26021)合同数量745吨,合同单价 2470 元/吨,客户提货计划号YHSZ-26-011508，运单号AJTFTYA260089162A,柜号XYLU1329297，柜子有漏洞漏水，造成内部有14.74吨的货物发热有霉味，客户折价2200元/吨收。已报保险处理赔付14.74*(2470-2200)元=3979.8元，在结算中扣除，由保险公司承担。</t>
  </si>
  <si>
    <t>JZXYMZSJJM26021</t>
  </si>
  <si>
    <t>YMFJFZ260008</t>
  </si>
  <si>
    <t>关于南平市丰源饲料有限公司商务处理说明</t>
  </si>
  <si>
    <t>兹有我司与南平市丰源饲料有限公司于2026年1月19日签订《粮食销售合同》，合同号:YMFJFZ260008，合同数量1000吨，单价2370元/吨，该合同累计提货995.33吨，其中139.58吨检测杂质、水分超标(合同约定杂质≤1%，实测结果2%-4%;合同约定水分≤15%，实测结果15.39%-15.42%)，已超出合同约定标准，经双方友好协商按30元/吨扣款，以上质量扣款合计4187.4元。以上扣款玉米，实际对应兆丰6/2601(一体化粮源，经华正检验重新复测水分整体超标)以上扣款是否可行，请领导批示。</t>
  </si>
  <si>
    <t>YMFJFZ260013</t>
  </si>
  <si>
    <t>关于宁德鑫华港饲料有限公司商务处理说明</t>
  </si>
  <si>
    <t>兹有我司与宁德鑫华港饲料有限公司于2026年1月23日签订《粮食销售合同》，合同号:YMFJFZ260013,合同数量1000吨，单价2405元/吨，该合同累计提货923.59吨，对应船名:兆丰6/2601，其中449.88吨检测杂质、水分超标(合同约定杂质≤1%，实测结果2%-4.1%;合同约定水分≤15%，实测结果15.39%-15.78%)，已超出合同约定标准，经双方友好协商按20元/吨扣款，以上质量扣款合计8997.6元。
以上扣款玉米，实际对应兆丰6/2601(一体化粮源，经华正检验重新复测水分整体超标)以上扣款是否可行，请领导批示。</t>
  </si>
  <si>
    <t>YMFJFZ260063</t>
  </si>
  <si>
    <t>关于圣农发展（政和）有限公司商务处理说明</t>
  </si>
  <si>
    <t>兹有我司与圣农发展（政和）有限公司签订YMFJFZ260063号《粮食销售合同》，合同数量1000吨，单价2630元/吨，截止3月25日，该合同实际送货962.74吨，接货961.35吨，质量扣款12893.4元，折合扣款13.41元/吨，该扣款为圣农杂质及不完善粒固定扣款，在销售合同时已预留10元/吨溢价进行销售，实际扣款3.41元/吨。</t>
  </si>
  <si>
    <t>华锦隆/2607</t>
  </si>
  <si>
    <t>YMFJFZ260035</t>
  </si>
  <si>
    <t>兹有我司与福建省金华龙饲料有限公司于2026年2月24日签订《粮食销售合同》，合同号:YMFJFZ260035，合同数量600吨，单价2450元/吨，该合同截止3月25日共计提货622.69吨，检测杂质、水分超标(合同约定≤1%，实测结果1.8%-3.01%杂质，合同约定水分≤15%，实测结果15.11%-16.07%)，已超出合同约定标准，经双方友好协商按25.43元/吨扣款，以上质量扣款合计15835元。以上扣款对应兆丰6/2601(一体化粮源，经华正检验重新复测杂质、水分整体超标)，以上扣款是否可行，请领导批示。</t>
  </si>
  <si>
    <t>广东新粮实业有限公司新粮饲料厂扣款情况说明</t>
  </si>
  <si>
    <t>2026年3月23日我司与广东新粮实业有限公司新粮饲料厂签订内贸玉米合同，合同号:YMZSJJM26024,单价为2510元/吨。客户提新沙港国家能源608/2607货物，报996.588吨货物杂质超标，属于折价接收范围，以上扣款涉及商务扣款数量996.588吨。总扣款金额为9965.88元，折单吨扣款为10元。</t>
  </si>
  <si>
    <t>国家能源608/2607</t>
  </si>
  <si>
    <t>YMZSJHD260078-8</t>
  </si>
  <si>
    <t>关于赣州联多利饲料科技有限公司YMZSJHD260078-8退货64.5吨情况说明</t>
  </si>
  <si>
    <t>我司与赣州联多利饲科科技有限公司于2026年2月28日签订内贸合同,合同号:YMZSJHD260078-8,合同数量:1000吨，单价:2380元/吨。客户于2026年3月30日提麻涌港国家能源608/2060货物，反馈该批货物黄曲毒素偏高,达拒收标准，该批64.5吨货物由赣州联多利饲料科技有限公司退至新沙港，退货期间所产生费用均由客户承担。</t>
  </si>
  <si>
    <t>国家能源608/2060</t>
  </si>
  <si>
    <t>JZXYMZSJM26035</t>
  </si>
  <si>
    <t>滞期费/堆存费</t>
  </si>
  <si>
    <t>关于新会新港堆存费和滞箱费联系单</t>
  </si>
  <si>
    <t>我司与广东新粮实业有限公司睦洲饲料厂于2026年3月23日签订&lt;&lt;粮食销售合同&gt;&gt;合同号JZXYMZSJM26035合同吨数1600吨，销售单价2530元)。其中14柜对应的运单号ZG26035315920，有12柜于2026年3月27日到港剩余2柜于2026年3月31日到港，免用箱期为14天。原计划分两批交付集装箱，因货物集中到港，已与客户沟通，于2026年4月7日放货，2026年4月14日已协调客户全部接收，期间产生堆存费:530元，超期费:320元，合计850元。现特申请由我司承担该费用，并支付至上海中谷物流股份有限公司</t>
  </si>
  <si>
    <t>JZXYMZSJJM26035</t>
  </si>
  <si>
    <t>关于新会新港费用联系单</t>
  </si>
  <si>
    <t>我司与广东新粮实业有限公司睦洲饲料厂于2026年3月23日签订&lt;&lt;粮食销售合同&gt;&gt;合同号JZXYMZSJJM26035合同吨数1600吨，销售单价2530元)。其中11柜对应的运单号ABUGWBX260162013，于2026年3月30日到港，免用箱期为14天。原计划分两批交付集装箱，因货物集中到港，已与客户沟通，于2026年4月7日放货，2026年4月14日已协调客户全部接收，期间产生堆存费:5元，滞箱费:480元，合计485元。现特申请由我司承担该费用，并支付至泉州安通物流有限公司。</t>
  </si>
  <si>
    <t>JZXYMZSJJM26038</t>
  </si>
  <si>
    <t>我司与 广州市禾润兴饲料有限公司 于2026年4月3日签订《粮食销售合同》合同号JZXYMZSJJM26038，合同吨数450吨，销售单价2490元)。其中7柜对应的计划号YHSZ-26-020926，运单号Q091432570，于2026年3月31日到港，其中3柜免用箱期起始时间为2026年3月31日，剩下4柜起始时间为2026年4月1日，免用箱期为12天。该批货物存在质量问题（热损和赤霉超标），客户工厂拒收，经与客户友好协商，2026年4月15日已全部接收，期间产生滞期费：1872元。现特申请由我司承担该费用，并支付至华南中远海运集装箱运输有限公司江门分公司</t>
  </si>
  <si>
    <t>YMFJFZ260020</t>
  </si>
  <si>
    <t>关于福建省邵武市华龙饲料有限公司商务处理说明</t>
  </si>
  <si>
    <t>兹有我司与福建省邵武市华龙饲料有限公司于2026年1月30日签订《粮食销售合同》，合同号:YMFJFZ260020，合同数量1000吨，单价2390元/吨，该合同截止3月15日共计提货999.92吨，其中413.34吨检测杂质、71吨水分超标(合同约定杂质≤1%，实测结果1.7%-3.6%，合同约定水分≤15%,实测结果15.41%-15.72%),已超出合同约定标准，经双方友好协商质量扣款合计12073.69元。</t>
  </si>
  <si>
    <t>YMFJFZ260018</t>
  </si>
  <si>
    <t>兹有我司与福建省金华龙饲料有限公司于2026年1月28日签订《粮食销售合同》，合同号:YMFJFZ260018，合同数量1300吨，单价2420元/吨，交货期截止2026年3月31日。该合同截止3月20日共计提货1364.83吨,其中524.42吨检测杂质、水分超标(合同约定杂质≤1%，实测结果1.7%-2.98%，合同约定水分≤15%，实测结果15.54%-16.11%)，已超出合同约定标准，经双方友好协商按25元/吨扣款，以上质量扣款合计13135.5元。
以上扣款对应炜业99/2604(一体化粮源，经华正检验重新复测杂质、水分整体超标)，以上扣款是否可行，请领导批示。</t>
  </si>
  <si>
    <t>JZXYMFJFZ250092</t>
  </si>
  <si>
    <t>有关福建省莆田市新兴达饲料有限公司玉米商务事项</t>
  </si>
  <si>
    <t>我司与福建省莆田市新兴达饲料有限公司签订《粮食销售合同》（合同编号：JZXYMFJFZ250092），数量1650吨，单价2535元/吨，合同约定呕吐毒素≤1000ug/kg。该合同已累计接货1598.16吨，客户2026年1月22日-1月23日接收两柜玉米，经检测存在呕吐毒素超标。经与客户多次协商沟通，客户对毒素超标的两柜玉米扣款接收，产生商务扣款1593.45元（人民币壹仟伍佰玖拾叁元肆角伍分），折价约1元/吨，该合同在销售时已加价保毒素15元/吨，可覆盖扣款，以上是否可行，烦请领导批示，谢谢。</t>
  </si>
  <si>
    <t>YMGXQZ260030</t>
  </si>
  <si>
    <t>关于钦州播恩生物YMGXQZ260030合同毒素扣款商务</t>
  </si>
  <si>
    <t>与钦州播恩生物技术有限公司签订的《粮食销售合同》，合同号：YMGXQZ260030，数量1500吨，单价2510元/吨，3月18－31日提“大禹长航/V2607”轮散装玉米，其中有14车共466.96吨呕吐毒素指标超出合同约定标准1500，客户原则上拒收。经双方协商同意，做商务扣款让步接收，合计扣款金额2679.28元，合同折单吨扣款1.78元，客户有预留5元/吨商务，溢余3.22元/吨。（附商函及检测报告已收悉）</t>
  </si>
  <si>
    <t>“大禹长航/V2607”</t>
  </si>
  <si>
    <t>YMZSJJY250232</t>
  </si>
  <si>
    <t>关于正大原料供应有限公司 YMZSJJY250232 扣款</t>
  </si>
  <si>
    <t>于 2026 年 3 月 3 日签订 2000 吨粮食销售合同（合同编号：YMZSJJY250232）
合同单价 2506 元/吨，2026 年 3 月 18 日-2026 年 4 月 15 日,提货数量 1971.46 吨，提货鑫泰
128/2604、锦航奋进/2605。经客户品管检测，此批玉米杂质 1.4-2 超出合同约定标准（杂质≤1）。其中 2026
年 4 月 15 日最后一车玉米水分 15.46，超出合同指标（水分≤15），影响使用。经双方协商， 一致统一做扣
款处理。合计扣款 41388.13 元。该合同签订已预留 11 元/吨作扣款处理。
经双方友好协商处理后，退货转扣款接收，合计扣款 41388.13 元 折合 20.99 元/吨</t>
  </si>
  <si>
    <t>否</t>
  </si>
  <si>
    <t>鑫泰128/2604、锦航奋进/2605</t>
  </si>
  <si>
    <t>YMFJFZ260116</t>
  </si>
  <si>
    <t>有关圣农发展（政和）有限公司玉米退货事项</t>
  </si>
  <si>
    <t>我司与圣农发展（政和）有限公司于 2026年4月10日签订《粮食销售合同》（合同编号：YMFJFZ260116），数量 2000吨，单价2600元/吨。合同约定霉变≤2%，杂质≤1%，水分≤15%。
客户于4月23日提货玉米，车号闽G71973，净重57.71吨，因政和圣农检验不完善超标，不完善粒达12.4%，尝试调整至浦城圣农（化验较政和宽松），浦城圣农仍检验不完善粒超标，现计划转至南平海大，交付合同YMFJFZ260108。我司配送至浦城圣农运费109元/吨，压车费500元/天（共计压车两天），退货至南平海大运费60元/吨，南平海大按码头自提承担45元/吨的运费。合计物流运费损失8156.04元，折整笔单吨4元。对应海轮：恒顺达8/2607</t>
  </si>
  <si>
    <t>质量问题（不完善超标）</t>
  </si>
  <si>
    <t>恒顺达8/2607</t>
  </si>
  <si>
    <t>YMFJFZ260115</t>
  </si>
  <si>
    <t>有关圣农玉米退货事项</t>
  </si>
  <si>
    <t>我司与圣农发展（政和）有限公司于 2026年4月10日签订《粮食销售合同》（合同编号：YMFJFZ260116），数量 2000吨，单价2600元/吨。合同约定霉变≤2%，杂质≤1%，水分≤15%；与福建圣农发展（浦城）有限公司于2026年4月10日签订《粮食销售合同》（合同编号：YMFJFZ260115），数量 2000吨，单价2600元/吨，合同约定霉变≤2%，杂质≤1%，水分≤15%。
客户于4月27日提货玉米，圣农检验水分超标、不完善超标，不完善粒达12.1%，现计划转至南平海大，交付合同YMFJFZ260108。军航码头至政和圣农运费99元/吨，政和圣农转南平海大运费50元/吨，军航码头至浦城圣农运费109元/吨，浦城圣农转海大运费60元/吨；南平海大承担军航码头至南平海大工厂的运费45元/吨。因为前期过筛位置只剩恒顺达8，存在部分点位杂质和水分超标，因此按正常过筛速度无法过筛干净导致不完善粒超标。目前已经通知码头调慢过筛速度，保障过筛品质。共计需补贴运费14720.44元（军航至圣农运费13658.69元、圣农转南平海大补运费1061.75元），政和圣农YMFJFZ260116合同整笔折单吨4.93元；浦城圣农YMFJFZ260115合同整笔折单吨2.42元。所提货物匹配：恒顺达8/2607</t>
  </si>
  <si>
    <t>质量问题（不完善粒、水分超标）</t>
  </si>
  <si>
    <t>YMFJFZ260115、YMFJFZ260116</t>
  </si>
  <si>
    <t>YMZSJJY250234</t>
  </si>
  <si>
    <t>关于 丰顺县海新饲料有限公司 扣款</t>
  </si>
  <si>
    <t>于 2026 年 3 月 6 日签订《粮食销售合同》(合同编号:YMZSJJY250234)，数
量 2000 吨，单价 2485 元/吨，该合同于 2026.3.22-3.27 己累计交货 1994.54 吨，提货鑫泰 128/2604，(其中
3 月 26 日 1 车 车号:赣 CR0596，重量 34.84 吨，3 车号:赣 CR0596，重量月 27 日 7 车车号:粤 V75300，
重量 33.03 吨，35.44 吨， 车号:粤 VN1708，重量 35.74 吨，车号:赣 C6068W，重量车号:赣 C2668D，重
量 36.13 吨，车号:赣 K65118，重量 36.85 吨，36.92 吨，车号:闽 FB9509，重量 37.04 吨，合计:285.99 吨)
到货玉米经检验杂质 1.2%杂质和破碎粒超出合同约定指标(质≤1%)，不符合客户接受指标。针对该批次到厂不
合格玉米，经双方友好协商处理后，退货转扣款接收。合计扣款 2859.9 元 。</t>
  </si>
  <si>
    <t>鑫泰 128/2610</t>
  </si>
  <si>
    <t>JZXYMZSJJM26039</t>
  </si>
  <si>
    <t>关于广东粮品 JZXYMZSJJM26039 的质量扣款联系单</t>
  </si>
  <si>
    <t>广东粮品农产品经营有限公司，2026 年 4 月 7 日签订的《粮食销售合同》(合同编号:JZXYMZSJJM26039)，合同数量
555 吨，合同单价 2490 元/吨。对应提货计划号：YHSZ-26-020926-1、YHSZ-26-020926 和 YHSZ-26-020914-2；运
单号：ABUGWBX260162013A、Q091390576、Q091432280 和 Q091432281，货物提货地点为新会新港。
该批次货物送达客户厂区后，经进厂检验反馈，货物霉变、热损指标超标，综合不合格占比超 5%。我司联合华正工
作人员共同赴现场开箱复检，核实质量异常问题属实，已不满足合同正常交付使用标准。
经双方友好沟通协商，现就本次质量问题达成扣款处理方案：该批货物实际卸货净重 549.685 吨，按 122.65 元 / 吨
标准进行扣款，合计扣款金额：67418.87 元。</t>
  </si>
  <si>
    <t>JZXYMZSJJM26046</t>
  </si>
  <si>
    <t>关于广东粮品 JZXYMZSJJM26046 的质量扣款联系单</t>
  </si>
  <si>
    <t>广东粮品农产品经营有限公司，2026 年 4 月 21 日签订的《粮食销售合同》(合同编号:JZXYMZSJJM26046)，合同数
量 550 吨，合同单价 2460 元/吨。对应提货计划号：YHSZ-26-041713，运单号：AJSLYNF260198708A 和
AJSLYNF260204033A，货物提货地点为四会南江港。
合同质量指标为：容重≥710g/L，水分≤15.0%，杂质≤1.0%，霉变粒≤2.0%，不完善粒≤8%，热损≤2%。
货物送达客户厂区后，经第三方检测出具结果，共计 20 柜的综合样品查出水份测值为 16.31%-16.46%区间，超合同
约定限值，质量指标不达标。
经双方协商同意，做商务扣款让步接收，合计扣款金额 7164.75 元，合同折单价扣款 2.91 元。（已附扣款函及检测报
告已收悉）</t>
  </si>
  <si>
    <t>JKDMZSJDG250031</t>
  </si>
  <si>
    <t>关于贺州市京基智农饲料有限公司“北方勇士”轮上进口大麦堆存费减免的申请</t>
  </si>
  <si>
    <t>我司与贺州市京基智农饲料有限公司签订进口大麦合同，执行NORTHERN VENTURE/北方勇士 船货物,合同号：JKDMZSJDG250031（3000吨，2050元/吨），实提数：2762.26吨；客户由于五一车队不好找导致有6车超堆存期提货产生463.45元堆存费。
由于实提数2762.26吨少于合同数量3000吨，本着双方长期友好合作，现申请给予463.45元堆存费免除。</t>
  </si>
  <si>
    <t>JZXYMZSJJM26054</t>
  </si>
  <si>
    <t>关于广东新粮JZXYMZSJJM26054合同在新会新港的滞期费联系单</t>
  </si>
  <si>
    <t>我司与 广东新粮实业有限公司睦洲饲料厂 于2026年4月27日签订的《粮食销售合同》(合同编号:JZXYMZSJJM26054，合同数量615吨，合同单价2470元/吨），客户提货计划号YHSZ-26-041712。
该合同20柜对应的运单号为AJSLWCA260204350A和AJSLWCA260204350B，于2026年4月10日到港，免用箱期为14天。
因市场需求弱，前批次货物质量较差，且已上报品种线，接货进度减慢，导致销售进度慢，销售时已经和客户协商滞箱费由我司承担。
该合同于2026年4月29日放货，2026年5月5日已协调客户全部接收，期间产生堆存费:935元，滞箱费:8280元，合计9215元。现特申请由我司承担该费用，并支付至泉州安通物流有限公司。</t>
  </si>
  <si>
    <t>JKDMZSJDG250032</t>
  </si>
  <si>
    <t>关于广东京基智农科技有限公司“北方勇士”轮上进口大麦堆存费减免的申请</t>
  </si>
  <si>
    <t>我司与广东京基智农科技有限公司签订进口大麦合同，执行NORTHERN VENTURE/北方勇士 船货物,合同号：JKDMZSJDG250032（1000吨，2050元/吨），实提数：937.802吨；客户由于生产加工用量减少导致提货缓慢产生5439.25元堆存费。
由于我司在执行木薯合同JKMSZSJ250006（1000吨，1720元/吨）少交货，客户实际提货744.04吨，按合同下限少交155.96吨；
本着双方长期友好合作，现申请给予5439.25元堆存费免除。</t>
  </si>
  <si>
    <t>YMYXMM260086</t>
  </si>
  <si>
    <t>关于双胞胎 YMYXMM260086 合同质量扣款的情况说明</t>
  </si>
  <si>
    <t>双胞胎（集团）股份有限公司 YMYXMM260086（合同量 5000 吨，单价 2490 元），签订日期为 20
26 年 3 月 2 日，该合同共执行 4835.89 吨。2026 年 4 月 7 日-2026 年 4 月 19 日在中心一体化粮源大船“炜
业 58/2608”轮提货中反馈 1838.96 吨水分 15.29%-15.58%，平均 15.4%左右，合同约定水分≤15.0%，不
符合同规定。经我司业务人员核实，检测结果确实存在。秉承长期友好合同原则，经我部与客户多次友好协
商后，申请扣款 11.5 元/吨，申请扣款金额合计 21148.04 元</t>
  </si>
  <si>
    <t>炜业 58/2608</t>
  </si>
  <si>
    <t>YMYXMM260095</t>
  </si>
  <si>
    <t>关于双胞胎 YMYXMM260095 合同质量扣款的情况说明</t>
  </si>
  <si>
    <t>双胞胎（集团）股份有限公司 YMYXMM260095（合同量 3000 吨，单价 2510 元），签订日期为 20
26 年 3 月 6 日，该合同共执行 2983.72 吨。2026 年 4 月 1 日-2026 年 4 月 8 日在外采大船利泰朝阳/2606
（供应商：京粮（盘锦）港口物流有限公司）提货中反馈 988.46 吨水分实测在 15.11%-15.29%之间；2026
年 4 月 6 日-2026 年 4 月 16 日在中心一体化粮源大船“炜业 58/2608”轮提货中反馈 822.92 吨水分 15.30%
-15.56%，平均 15.4%左右，合同约定水分≤15.0%，不符合同规定。经我司业务人员核实，检测结果确实存
在。秉承长期友好合同原则，经我部与客户多次友好协商后，平均扣款 8 元/吨，（988.46+822.92）吨*8
元=14491.04 元，申请扣款金额合计 14491.04 元</t>
  </si>
  <si>
    <t>利泰朝阳/2606、炜业 58/2608</t>
  </si>
  <si>
    <t>2026/4/2和2026/4/10</t>
  </si>
  <si>
    <t>关于广东新粮 JZXYMZSJJM26035 合同保险扣款联系单</t>
  </si>
  <si>
    <t>广东新粮实业有限公司睦洲饲料厂，2026 年 3 月 23 日签订的《粮食销售合同》(合同编号:ZXYMZSJM26035)合同数
量 1600 吨，合同单价 2530 元/吨，客户提货计划号 YHSZ-26-020913-1。
运单号 ZG26035315920，柜号 ZGLU3163889，柜子侧壁破洞进水，造成玉米水湿，底部约有 5 厘米结块厚度。
已卸玉米共计 10.96 吨，客户折价 1300 元/吨收，剩余 16.25 吨玉米由保险拉走卖出。
运单号 ZG26030354086，柜号 ZGLU3194452，柜子侧壁破洞进水，造成玉米水湿，水湿玉米共计 16.4 吨，客户折
价 1700 元/吨收。
已报保险处理赔付 10.96*(2530-1300)+16.4*(2530-1700)=13480.8+13612=27092.8 元，在结算中扣除，由保险
公司承担。</t>
  </si>
  <si>
    <t>JZXYMZSJJM26051</t>
  </si>
  <si>
    <t>关于开平绿皇 JZXYMZSJJM26051 合同堆存费联系单</t>
  </si>
  <si>
    <t>开平市绿皇农牧发展有限公司，2026 年 4 月 25 日签订的《粮食销售合同》(合同编号:ZXYMZSJM26051)合同数量
550 吨，合同单价 2490 元/吨，客户提货计划号 YHSZ-26-041711，运单号 Q091989100 和 Q092055460。
该合同 20 柜货物，客户已于 2026 年 4 月 27 日足额回款，4 月 29 日完成全部提货。本次货物集装箱堆存费标
准为 14 元 / 箱 / 天，合计产生堆存费 1008 元，该笔费用已由物流车队广州欣佳物流有限公司先行垫付。
现申请该笔堆存费 1008 元由我司承担，直接支付给广州欣佳物流有限公司。</t>
  </si>
  <si>
    <t>JCYMZSJJY250156-1</t>
  </si>
  <si>
    <t>关于梅州海大生物科技有限公司 JCYMZSJJY250156-1 扣款</t>
  </si>
  <si>
    <t>梅州海大生物科技有限公司，于 2026 年 1 月 27 日签订 2000 吨粮食销售合同（合同编号：
JCYMZSJJY250156-1）合同单价 2412.51 元/吨，2026 年 2 月 10 日-2026 年 3 月 14 日,提货数量
1972.81 吨，提货锦航发展/2602、锦航奋进/2605。经客户品管检测，此批玉米 17 车共计 624.16 吨水分超出
合同约定标准（水分≤15%），影响使用。经双方协商， 一致统一做扣款处理。合计扣款 3120.8 元。
经双方友好协商处理后，退货转扣款接收，合计扣款 3120.8 元 折合 5 元/吨</t>
  </si>
  <si>
    <t>JKGLYXZJ250017、JKDMYXZJ250046</t>
  </si>
  <si>
    <t>湛江海大饲料有限公司</t>
  </si>
  <si>
    <t>堆存费申请减免29230.26元，正常收取68000元</t>
  </si>
  <si>
    <t>鼎晋/海星浩克</t>
  </si>
  <si>
    <t>周聪声</t>
  </si>
  <si>
    <t>JKDMYXZJ250074</t>
  </si>
  <si>
    <t>广垦生物科技（化州）有限公司</t>
  </si>
  <si>
    <t>堆存费申请减免146.92元</t>
  </si>
  <si>
    <t>文德</t>
  </si>
  <si>
    <t>JCJKGLYXZJ250043-1</t>
  </si>
  <si>
    <t>堆存费申请抵扣15919.05元</t>
  </si>
  <si>
    <t>星岛</t>
  </si>
  <si>
    <t>YMLDW260417008-SK</t>
  </si>
  <si>
    <t>湛江粮友贸易有限公司</t>
  </si>
  <si>
    <t>箱号CSNU3066845，箱重27.21吨，客户提货到下游后发现烘伤粒、玉米霉变率过高死，霉味重，水份偏高同时伴有发热，下游退货回来，我方也到达现场取样查看，发现问题确实，后经沟通，客户让步接收，进行转卖，需要补回客户运费及作整箱扣款接收处理，每吨扣款80元处理，</t>
  </si>
  <si>
    <t>集装箱计划编号YHSZ-26-041703</t>
  </si>
  <si>
    <t>YMLDW260417008</t>
  </si>
  <si>
    <t>JZXYMZSJJM26035、JZXYMZSJJM26040、JZXYMZSJJM26042、JZXYMZSJJM26053</t>
  </si>
  <si>
    <t>2026/4/14、2026/4/22</t>
  </si>
  <si>
    <t>滞期费、堆存费</t>
  </si>
  <si>
    <t>关于中谷 4 月份滞箱费及堆存费的申请联系单</t>
  </si>
  <si>
    <t>一、我司与 广东新粮实业有限公司睦洲饲料厂 于2026年3月23日签订的《粮食销售合同》(合同编号:JZXYMZSJJM26035，合同数量1600吨，合同单价2530元/吨），客户提货计划号YHSZ-26-020913-1。
该批货物对应运单号为 ZG26030354086、ZG26035315920，于 2026 年 3 月 27 日到港，免用箱期 14 天。
我司原计划申报新会新港，该批货物实际发运至新会老港，因周边客户接货能力有限，经协商销售予广东新粮实业有限公司睦洲饲料厂，销售时已与客户约定，相关滞箱费由我司承担。
该合同货物于 2026 年 4 月 7 日放货，经协调，客户已于 2026 年 4 月 14 日完成全部货物接收。期间产生堆存费 595 元、滞箱费 320 元，合计 915 元。二、我司与 广州市禾润兴饲料有限公司 分别于 2026 年 4 月 7 日、4 月 13 日签订两份《粮食销售合同》：
合同编号 JZXYMZSJJM26040，数量 1000 吨，单价 2490 元 / 吨，提货计划号 YHSZ-26-020925-1；
合同编号 JZXYMZSJJM26042，数量 110 吨，单价 2480 元 / 吨，提货计划号 YHSZ-26-020925-1。
该批货物对应运单号为 ZG26035414378_A、ZG26035315906_B、ZG26035315906_C，于 2026 年 3 月 29 日到港，免用箱期 14 天。
我司原计划申报四会南江港，货物实际发运至四会永泰港，因周边客户接货能力有限，经协商销售予广州市禾润兴饲料有限公司，销售时已与客户约定，相关滞箱费由我司承担。
上述合同货物分别于 2026 年 4 月 14 日、4 月 16 日放货，经协调，客户已于 2026 年 4 月 22 日完成全部货物接收，期间产生滞箱费 5200 元。三、我司与 广东粮品农产品经营有限公司 于2026年4月24日签订的《粮食销售合同》(合同编号:JZXYMZSJJM26053，合同数量900吨，合同单价2400元/吨），客户提货计划号YHSZ-26-041712-1。
该批货物对应运单号为 ZG26035561338_D、ZG26035561338_F，于 2026 年 4 月 17 日到港，免用箱期 14 天。
该合同货物于 2026 年 4 月 27 日放货，经协调，客户已于 2026 年 4 月 29 日完成全部货物接收。期间产生堆存费 380 元。
综上结合，共计产生费用6495元，现特申请该笔费用由我司承担，并支付至上海中谷物流股份有限公司。</t>
  </si>
  <si>
    <t>集装箱计划号YHSZ-26-020913-1、YHSZ-26-020925-1</t>
  </si>
  <si>
    <t>YMFJZZ260057</t>
  </si>
  <si>
    <t>兹有我司与正大原料供应有限公司于2026年03月31日签署生效的《粮食销售合同（赊销）》（合同编号：YMFJZZ260057)，合同数量500吨，合同单价2560元/吨，， 经双方友好协商，正大对该批次货物进行折价接收，以上情况合计产生扣款4,589.52元。（人民币肆仟伍佰捌拾玖元伍角贰分），该批次累计提货489.75吨，合计折单吨扣款9.37元/吨。</t>
  </si>
  <si>
    <t>弘泰818/2605</t>
  </si>
  <si>
    <t>YMFJZZ260059、YMFJZZ260060</t>
  </si>
  <si>
    <t>有关海新集团玉米商务扣款事项</t>
  </si>
  <si>
    <t>兹有我司与漳州市海扬饲料有限公司（以下简称“漳州海扬”）于2026年03月20日签署生效的《粮食销售合同（赊销）》（合同编号：YMFJZZ260059)，合同数量2000吨，合同单价2510元/吨，与漳州市力饲料有限公司（以下简称“漳州海力”）于2026年03月20日签署生效的《粮食销售合同（赊销）》（合同编号：YMFJZZ260060），合同数量1000吨，合同单价2510元/吨； 漳州海扬、漳州海力对该批次货物进行折价接收，漳州海扬经过协商该批次最终扣款26,466.00元（单吨扣款约13.34元/吨），漳州海力经协商该批次最终扣款9,631.50元（单吨扣款约9.72元/吨），以上2笔商务总计产生扣款36,097.5元，折单吨扣款约12.13元/吨。</t>
  </si>
  <si>
    <t>德勤68/2611</t>
  </si>
  <si>
    <t>YMFJZZ260069</t>
  </si>
  <si>
    <t>有关中牧（上海）粮油有限公司玉米商务扣款事项</t>
  </si>
  <si>
    <t xml:space="preserve"> 兹有我司与中牧（上海）粮油有限公司于2026年04月10日签署生效的《粮食销售合同》（合同编号：YMFJZZ260069)，合同数量1000吨，合同单价2460元/吨，截止至2026年05月05日，合同已提货完毕，客户于2026年4月30日至5月5日提货批次玉米713.38吨经检测杂质、水份超标，对应船名：德勤68/2611（外采粮源）</t>
  </si>
  <si>
    <t>JZXYMZSJJM26056</t>
  </si>
  <si>
    <t>关于开平绿皇 JZXYMZSJJM26056 合同在三埠港的滞期费和堆存费联
系单</t>
  </si>
  <si>
    <t>我司与 开平市绿皇农牧发展有限公司 于 2026 年 4 月 28 日签订的《粮食销售合同》(合同编号:JZXYMZSJJM26056，
合同数量 505 吨，合同单价 2490 元/吨），客户提货计划号 YHSZ-26-041712。
运单号 Q092257870，于 2026 年 4 月 27 日到港，免用箱期为 12 天。
运单号 Q092427770 和 Q092427771，于 2026 年 4 月 28 日到港，免用箱期为 12 天。
运单号 Q092257871，于 2026 年 4 月 29 日到港，免用箱期为 12 天。
货物集装箱到港后申请销售，客户存在逾期一天提货情况，已申请相关费用减免。本次为最后一公里配送业务，货物
需配送至工厂，三埠港免堆期仅为 7 天，相关费用已与客户协商一致，由我司承担。
该合同于 2026 年 5 月 6 日放货，2026 年 5 月 10 日已协调客户全部接收，期间产生堆存费:1386 元，滞箱费:624 元，
合计 2010 元。
现特申请由我司承担该费用，在物流合同结算时支付至广州欣佳物流有限公司</t>
  </si>
  <si>
    <t>集装箱计划号YHSZ-26-041712</t>
  </si>
  <si>
    <t xml:space="preserve"> JZXYMZSJJM26038</t>
  </si>
  <si>
    <t>关于禾润兴 JZXYMZSJJM26038 合同质量扣款联系单</t>
  </si>
  <si>
    <t xml:space="preserve">
饲料原料部：
广州市禾润兴饲料有限公司，2026 年 4 月 3 日签订的《粮食销售合同》(合同编号:JZXYMZSJJM26038)，合同数量
450 吨，合同单价 2490 元/吨，客户提货计划号 YHSZ-26-020926，运单号 Q091432570。合同质量标准为：容重≥710g/L，水分≤15.0%，杂质≤1.0%，霉变粒≤2.0%，不完善粒≤8%，热损≤2%。
该批次货物送达客户厂区后，经进厂检验反馈，货物热损指标超标，综合样品热损伤率达 4.7%。我司联合华正工作人
员共同赴现场开箱复检，核实质量异常问题属实，已不满足合同正常交付使用标准。
经双方友好沟通协商，现就本次质量问题达成扣款处理方案：该批货物实际卸货净重 446.5 吨，扣款金额为 45000，
合同折单价扣款 100.78 元。（已附扣款函及检测报告已收悉）
此次费用JZXYMZSJJM26038合同结算扣除15936元；JZXYMZSJJM26040合同结算扣除29064元。</t>
  </si>
  <si>
    <t xml:space="preserve"> 集装箱计划号YHSZ-26-020926</t>
  </si>
  <si>
    <t>YMYXZJ260058-SK</t>
  </si>
  <si>
    <t>关于嘉好YMYXZJ260058扣款函申请</t>
  </si>
  <si>
    <t>2026年3月19日签订的的散粮合同，广东嘉好农产品有限公司，合同号 YMYXZJ260058（2000吨，单价2550元/吨），配送到厂合同，合同质量标准为：容重≥690g/L，水分≤15.0%，杂质≤1.0%，霉变粒≤2.0%，不完善粒≤10%。
其中在给客户配送合盛顺达/2607船货物时，车牌粤GH9239（30.82 吨，水分 15.30%）、粤G43055（30.5吨，水分15.14%），合计61.32吨，到厂后工厂反馈水分均超合同15%标准，由于合盛顺达/2607在到港时我方就发现水分超标，有石头子，并已报送过饲料部，同时对上游京粮扣款63957.24元，故客户反馈问题是属实存在的。
经双方友好沟通协商，客户让步接收，合计扣款346.1元。
请领导批示。</t>
  </si>
  <si>
    <t>合盛顺达/2607</t>
  </si>
  <si>
    <t>YMYXZJ260058</t>
  </si>
  <si>
    <t>YMFJFZ260113</t>
  </si>
  <si>
    <t>关于莆田温氏家禽有限公司商务处理说明</t>
  </si>
  <si>
    <t>兹有我司与莆田温氏家禽有限公司于 2026 年 4 月 10 日签订《粮食销售合同
（赊销）》，合同号：YMFJFZ260113，合同数量 1000 吨，单价 2510 元/吨，该合
同截止 4 月 21日共计提货 991.96 吨，其中 482.62 吨检测水分、杂质超标(合同约
定水分≤15.0%，实测结果 15.13%-15.48%；合同约定杂质≤1.0%，实测结果 1.45
%-2.05%)，已超出合同约定标准，经双方友好协商扣款 20 元/吨，以上质量扣款
合计 9652.4 元。
以上扣款对应恒顺达 8/2607，以上扣款是否可行，请领导批示</t>
  </si>
  <si>
    <t>YMYXMM260109</t>
  </si>
  <si>
    <t>关于高州安佑 YMYXMM260109 合同质量扣款的情况说明</t>
  </si>
  <si>
    <t>高州市安佑生物科技有限公司 YMYXMM260109（合同量 500 吨，单价 2510 元），签订日期为 2026
年 3 月 11 日，该合同共执行 497.04 吨。2026 年 4 月 4 日-2026 年 4 月 8 日在外采大船“锦富航 69/2608”
（供应商：北京京粮谷润贸易有限公司）提货中，反馈 60.98 吨水分实测在 15.31%-15.54%之间、杂质实测
1.45%-1.58%，不符合同规定。经我司业务人员核实，检测结果确实存在。秉承长期友好合同原则，经我部
与客户多次友好协商后，申请扣款 30 元/吨，60.98 吨*30 元=1829.4 元，申请扣款金额合计 1829.4 元。该
扣款情况已跟饲料原料部报备，由饲料原料部向供应方扣款弥补我司损失。</t>
  </si>
  <si>
    <t>锦富航 69/2608</t>
  </si>
  <si>
    <t>YMFJFZ260097</t>
  </si>
  <si>
    <t>兹有我司与圣农发展（政和）有限公司签订YMFJFZ260097号《粮食销售合同》，合同数量1000吨，单价2630元/吨，截止4月11日，该合同实际送货1023.8吨，接货1022.59吨，质量扣款13649.7元，折合扣款13.35元/吨，该扣款为圣农杂质及不完善粒固定扣款，在销售合同时已预留10元/吨溢价进行销售，实际扣款3.35元/吨。
以上扣款，是否可行，请领导批示。</t>
  </si>
  <si>
    <t>鑫远航6/2608</t>
  </si>
  <si>
    <t>YMFJFZ260062</t>
  </si>
  <si>
    <t>兹有我司与福建圣农发展（浦城）有限公司签订YMFJFZ260062号《粮食销售合同》，合同数量3000吨，单价2610元/吨，截止4月11日，该合同实际送货2877.46吨，接货2873.33吨，质量扣款37401.3元，折合扣款13.02元/吨，该扣款为圣农杂质及不完善粒固定扣款，在销售合同时已预留10元/吨溢价进行销售，实际扣款3.02元/吨。
以上扣款，是否可行，请领导批示。</t>
  </si>
  <si>
    <t>联系单编号：</t>
  </si>
  <si>
    <t>中粮贸易沿海大区工作联系单</t>
  </si>
  <si>
    <t>物流发运与计划不符</t>
  </si>
  <si>
    <t>库存前移未及时销售</t>
  </si>
  <si>
    <t>客户仓容有限提货慢</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</si>
</sst>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 numFmtId="178" formatCode="#,##0.000_ "/>
    <numFmt numFmtId="179" formatCode="[$-F800]aaaa\,\ mmmm\ dd\,\ yyyy"/>
    <numFmt numFmtId="180" formatCode="_ * #,##0_ ;_ * \-#,##0_ ;_ * &quot;-&quot;??_ ;_ @_ "/>
    <numFmt numFmtId="181" formatCode="0_);[Red]\(0\)"/>
    <numFmt numFmtId="182" formatCode="0.00_);[Red]\(0.00\)"/>
  </numFmts>
  <fonts count="78">
    <font>
      <sz val="11"/>
      <color theme="1"/>
      <name val="宋体"/>
      <charset val="134"/>
      <scheme val="minor"/>
    </font>
    <font>
      <b/>
      <sz val="11"/>
      <color theme="1"/>
      <name val="宋体"/>
      <charset val="134"/>
      <scheme val="minor"/>
    </font>
    <font>
      <sz val="11"/>
      <color rgb="FF000000"/>
      <name val="宋体"/>
      <charset val="134"/>
    </font>
    <font>
      <b/>
      <sz val="22"/>
      <color theme="1"/>
      <name val="宋体"/>
      <charset val="134"/>
    </font>
    <font>
      <b/>
      <sz val="16"/>
      <color theme="1"/>
      <name val="宋体"/>
      <charset val="134"/>
    </font>
    <font>
      <sz val="16"/>
      <color theme="1"/>
      <name val="宋体"/>
      <charset val="134"/>
    </font>
    <font>
      <b/>
      <sz val="16"/>
      <color theme="1"/>
      <name val="微软雅黑"/>
      <charset val="134"/>
    </font>
    <font>
      <b/>
      <sz val="12"/>
      <color theme="1"/>
      <name val="宋体"/>
      <charset val="134"/>
    </font>
    <font>
      <sz val="14"/>
      <color theme="1"/>
      <name val="宋体"/>
      <charset val="134"/>
    </font>
    <font>
      <sz val="10"/>
      <color theme="1"/>
      <name val="微软雅黑"/>
      <charset val="134"/>
    </font>
    <font>
      <sz val="10"/>
      <color rgb="FF000000"/>
      <name val="微软雅黑"/>
      <charset val="134"/>
    </font>
    <font>
      <b/>
      <sz val="10"/>
      <color rgb="FF000000"/>
      <name val="微软雅黑"/>
      <charset val="134"/>
    </font>
    <font>
      <sz val="12"/>
      <color rgb="FF000000"/>
      <name val="微软雅黑"/>
      <charset val="134"/>
    </font>
    <font>
      <sz val="11.05"/>
      <color rgb="FF000000"/>
      <name val="微软雅黑"/>
      <charset val="134"/>
    </font>
    <font>
      <sz val="14"/>
      <color rgb="FF000000"/>
      <name val="宋体"/>
      <charset val="134"/>
      <scheme val="minor"/>
    </font>
    <font>
      <sz val="10.45"/>
      <color rgb="FF000000"/>
      <name val="宋体"/>
      <charset val="134"/>
      <scheme val="minor"/>
    </font>
    <font>
      <sz val="15"/>
      <color rgb="FF000000"/>
      <name val="微软雅黑"/>
      <charset val="134"/>
    </font>
    <font>
      <sz val="9.95"/>
      <color rgb="FF000000"/>
      <name val="宋体"/>
      <charset val="134"/>
      <scheme val="minor"/>
    </font>
    <font>
      <sz val="16"/>
      <color rgb="FF000000"/>
      <name val="宋体"/>
      <charset val="134"/>
    </font>
    <font>
      <sz val="15.95"/>
      <color rgb="FF000000"/>
      <name val="微软雅黑"/>
      <charset val="134"/>
    </font>
    <font>
      <sz val="15.95"/>
      <color rgb="FF000000"/>
      <name val="宋体"/>
      <charset val="134"/>
      <scheme val="minor"/>
    </font>
    <font>
      <sz val="14"/>
      <color theme="1"/>
      <name val="微软雅黑"/>
      <charset val="134"/>
    </font>
    <font>
      <sz val="12"/>
      <color theme="1"/>
      <name val="微软雅黑"/>
      <charset val="134"/>
    </font>
    <font>
      <sz val="12"/>
      <color theme="1"/>
      <name val="宋体"/>
      <charset val="134"/>
      <scheme val="minor"/>
    </font>
    <font>
      <sz val="12"/>
      <color rgb="FF000000"/>
      <name val="宋体"/>
      <charset val="134"/>
    </font>
    <font>
      <sz val="16"/>
      <color rgb="FF000000"/>
      <name val="微软雅黑"/>
      <charset val="134"/>
    </font>
    <font>
      <sz val="10.5"/>
      <color rgb="FF000000"/>
      <name val="微软雅黑"/>
      <charset val="134"/>
    </font>
    <font>
      <sz val="13"/>
      <color rgb="FF000000"/>
      <name val="宋体"/>
      <charset val="134"/>
      <scheme val="minor"/>
    </font>
    <font>
      <sz val="11"/>
      <color rgb="FF000000"/>
      <name val="等线"/>
      <charset val="134"/>
    </font>
    <font>
      <sz val="10.5"/>
      <color theme="1"/>
      <name val="微软雅黑"/>
      <charset val="134"/>
    </font>
    <font>
      <sz val="14"/>
      <color theme="1"/>
      <name val="Calibri"/>
      <charset val="134"/>
    </font>
    <font>
      <sz val="12"/>
      <color rgb="FF000000"/>
      <name val="宋体"/>
      <charset val="134"/>
      <scheme val="minor"/>
    </font>
    <font>
      <b/>
      <sz val="14.05"/>
      <color rgb="FF000000"/>
      <name val="SimSun"/>
      <charset val="134"/>
    </font>
    <font>
      <sz val="16"/>
      <color theme="1"/>
      <name val="宋体"/>
      <charset val="134"/>
      <scheme val="minor"/>
    </font>
    <font>
      <sz val="16"/>
      <color rgb="FF000000"/>
      <name val="宋体"/>
      <charset val="134"/>
      <scheme val="minor"/>
    </font>
    <font>
      <sz val="10.45"/>
      <color rgb="FF000000"/>
      <name val="MicrosoftYaHei"/>
      <charset val="134"/>
    </font>
    <font>
      <sz val="10.45"/>
      <color rgb="FF000000"/>
      <name val="微软雅黑"/>
      <charset val="134"/>
    </font>
    <font>
      <sz val="9"/>
      <color rgb="FF000000"/>
      <name val="微软雅黑"/>
      <charset val="134"/>
    </font>
    <font>
      <sz val="14"/>
      <color theme="1"/>
      <name val="宋体"/>
      <charset val="134"/>
      <scheme val="minor"/>
    </font>
    <font>
      <sz val="12"/>
      <color rgb="FF000000"/>
      <name val="CIDFont"/>
      <charset val="134"/>
    </font>
    <font>
      <sz val="11.05"/>
      <color rgb="FF000000"/>
      <name val="宋体"/>
      <charset val="134"/>
      <scheme val="minor"/>
    </font>
    <font>
      <sz val="10"/>
      <color theme="1"/>
      <name val="宋体"/>
      <charset val="134"/>
      <scheme val="minor"/>
    </font>
    <font>
      <sz val="11"/>
      <color rgb="FF000000"/>
      <name val="微软雅黑"/>
      <charset val="134"/>
    </font>
    <font>
      <sz val="11"/>
      <color theme="1"/>
      <name val="微软雅黑"/>
      <charset val="134"/>
    </font>
    <font>
      <sz val="10"/>
      <color rgb="FF000000"/>
      <name val="宋体"/>
      <charset val="134"/>
    </font>
    <font>
      <sz val="12"/>
      <color theme="1"/>
      <name val="仿宋"/>
      <charset val="134"/>
    </font>
    <font>
      <sz val="11.05"/>
      <color rgb="FF000000"/>
      <name val="CIDFont"/>
      <charset val="134"/>
    </font>
    <font>
      <sz val="14.05"/>
      <color rgb="FF000000"/>
      <name val="CIDFont"/>
      <charset val="134"/>
    </font>
    <font>
      <sz val="11"/>
      <color rgb="FF000000"/>
      <name val="宋体"/>
      <charset val="134"/>
      <scheme val="minor"/>
    </font>
    <font>
      <sz val="11"/>
      <color theme="1"/>
      <name val="华文楷体"/>
      <charset val="134"/>
    </font>
    <font>
      <b/>
      <sz val="11"/>
      <color rgb="FF000000"/>
      <name val="华文楷体"/>
      <charset val="134"/>
    </font>
    <font>
      <b/>
      <sz val="11"/>
      <color rgb="FFFFFFFF"/>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华文细黑"/>
      <charset val="134"/>
    </font>
    <font>
      <b/>
      <sz val="13"/>
      <color rgb="FF000000"/>
      <name val="宋体"/>
      <charset val="134"/>
      <scheme val="minor"/>
    </font>
    <font>
      <sz val="10.5"/>
      <color rgb="FF000000"/>
      <name val="宋体"/>
      <charset val="134"/>
      <scheme val="minor"/>
    </font>
    <font>
      <b/>
      <sz val="13"/>
      <color rgb="FF000000"/>
      <name val="宋体"/>
      <charset val="134"/>
    </font>
    <font>
      <sz val="13"/>
      <color rgb="FF000000"/>
      <name val="宋体"/>
      <charset val="134"/>
    </font>
    <font>
      <b/>
      <sz val="9"/>
      <name val="宋体"/>
      <charset val="134"/>
    </font>
    <font>
      <sz val="9"/>
      <name val="宋体"/>
      <charset val="134"/>
    </font>
  </fonts>
  <fills count="38">
    <fill>
      <patternFill patternType="none"/>
    </fill>
    <fill>
      <patternFill patternType="gray125"/>
    </fill>
    <fill>
      <patternFill patternType="solid">
        <fgColor theme="7" tint="-0.25"/>
        <bgColor indexed="64"/>
      </patternFill>
    </fill>
    <fill>
      <patternFill patternType="solid">
        <fgColor rgb="FFFFFFFF"/>
        <bgColor indexed="64"/>
      </patternFill>
    </fill>
    <fill>
      <patternFill patternType="solid">
        <fgColor rgb="FF5B9BD5"/>
        <bgColor rgb="FF000000"/>
      </patternFill>
    </fill>
    <fill>
      <patternFill patternType="solid">
        <fgColor rgb="FFDDEBF7"/>
        <bgColor rgb="FFDDEBF7"/>
      </patternFill>
    </fill>
    <fill>
      <patternFill patternType="solid">
        <fgColor rgb="FFDDEBF7"/>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medium">
        <color rgb="FF000000"/>
      </left>
      <right style="medium">
        <color auto="1"/>
      </right>
      <top style="medium">
        <color rgb="FF000000"/>
      </top>
      <bottom style="medium">
        <color rgb="FF000000"/>
      </bottom>
      <diagonal/>
    </border>
    <border>
      <left/>
      <right style="medium">
        <color auto="1"/>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auto="1"/>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0" fillId="7" borderId="16" applyNumberFormat="0" applyFont="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17" applyNumberFormat="0" applyFill="0" applyAlignment="0" applyProtection="0">
      <alignment vertical="center"/>
    </xf>
    <xf numFmtId="0" fontId="58" fillId="0" borderId="17" applyNumberFormat="0" applyFill="0" applyAlignment="0" applyProtection="0">
      <alignment vertical="center"/>
    </xf>
    <xf numFmtId="0" fontId="59" fillId="0" borderId="18" applyNumberFormat="0" applyFill="0" applyAlignment="0" applyProtection="0">
      <alignment vertical="center"/>
    </xf>
    <xf numFmtId="0" fontId="59" fillId="0" borderId="0" applyNumberFormat="0" applyFill="0" applyBorder="0" applyAlignment="0" applyProtection="0">
      <alignment vertical="center"/>
    </xf>
    <xf numFmtId="0" fontId="60" fillId="8" borderId="19" applyNumberFormat="0" applyAlignment="0" applyProtection="0">
      <alignment vertical="center"/>
    </xf>
    <xf numFmtId="0" fontId="61" fillId="9" borderId="20" applyNumberFormat="0" applyAlignment="0" applyProtection="0">
      <alignment vertical="center"/>
    </xf>
    <xf numFmtId="0" fontId="62" fillId="9" borderId="19" applyNumberFormat="0" applyAlignment="0" applyProtection="0">
      <alignment vertical="center"/>
    </xf>
    <xf numFmtId="0" fontId="63" fillId="10" borderId="21" applyNumberFormat="0" applyAlignment="0" applyProtection="0">
      <alignment vertical="center"/>
    </xf>
    <xf numFmtId="0" fontId="64" fillId="0" borderId="22" applyNumberFormat="0" applyFill="0" applyAlignment="0" applyProtection="0">
      <alignment vertical="center"/>
    </xf>
    <xf numFmtId="0" fontId="65" fillId="0" borderId="23" applyNumberFormat="0" applyFill="0" applyAlignment="0" applyProtection="0">
      <alignment vertical="center"/>
    </xf>
    <xf numFmtId="0" fontId="66" fillId="11" borderId="0" applyNumberFormat="0" applyBorder="0" applyAlignment="0" applyProtection="0">
      <alignment vertical="center"/>
    </xf>
    <xf numFmtId="0" fontId="67" fillId="12" borderId="0" applyNumberFormat="0" applyBorder="0" applyAlignment="0" applyProtection="0">
      <alignment vertical="center"/>
    </xf>
    <xf numFmtId="0" fontId="68" fillId="13" borderId="0" applyNumberFormat="0" applyBorder="0" applyAlignment="0" applyProtection="0">
      <alignment vertical="center"/>
    </xf>
    <xf numFmtId="0" fontId="69" fillId="14"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69" fillId="17" borderId="0" applyNumberFormat="0" applyBorder="0" applyAlignment="0" applyProtection="0">
      <alignment vertical="center"/>
    </xf>
    <xf numFmtId="0" fontId="69" fillId="18"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69" fillId="21" borderId="0" applyNumberFormat="0" applyBorder="0" applyAlignment="0" applyProtection="0">
      <alignment vertical="center"/>
    </xf>
    <xf numFmtId="0" fontId="69" fillId="22"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69" fillId="25" borderId="0" applyNumberFormat="0" applyBorder="0" applyAlignment="0" applyProtection="0">
      <alignment vertical="center"/>
    </xf>
    <xf numFmtId="0" fontId="69" fillId="26"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69" fillId="29" borderId="0" applyNumberFormat="0" applyBorder="0" applyAlignment="0" applyProtection="0">
      <alignment vertical="center"/>
    </xf>
    <xf numFmtId="0" fontId="69" fillId="30"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33" borderId="0" applyNumberFormat="0" applyBorder="0" applyAlignment="0" applyProtection="0">
      <alignment vertical="center"/>
    </xf>
    <xf numFmtId="0" fontId="69" fillId="34" borderId="0" applyNumberFormat="0" applyBorder="0" applyAlignment="0" applyProtection="0">
      <alignment vertical="center"/>
    </xf>
    <xf numFmtId="0" fontId="70" fillId="35" borderId="0" applyNumberFormat="0" applyBorder="0" applyAlignment="0" applyProtection="0">
      <alignment vertical="center"/>
    </xf>
    <xf numFmtId="0" fontId="70" fillId="36" borderId="0" applyNumberFormat="0" applyBorder="0" applyAlignment="0" applyProtection="0">
      <alignment vertical="center"/>
    </xf>
    <xf numFmtId="0" fontId="69" fillId="37" borderId="0" applyNumberFormat="0" applyBorder="0" applyAlignment="0" applyProtection="0">
      <alignment vertical="center"/>
    </xf>
    <xf numFmtId="0" fontId="0" fillId="0" borderId="0"/>
  </cellStyleXfs>
  <cellXfs count="154">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Alignment="1">
      <alignment horizontal="center" vertical="center"/>
    </xf>
    <xf numFmtId="0" fontId="4" fillId="0" borderId="1" xfId="0" applyFont="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0" borderId="5" xfId="0" applyFont="1" applyBorder="1" applyAlignment="1">
      <alignment horizontal="center" vertical="center" wrapText="1"/>
    </xf>
    <xf numFmtId="0" fontId="8" fillId="0" borderId="6" xfId="0" applyFont="1" applyBorder="1" applyAlignment="1">
      <alignment horizontal="justify" vertical="top" wrapText="1" indent="2"/>
    </xf>
    <xf numFmtId="0" fontId="8" fillId="0" borderId="0" xfId="0" applyFont="1" applyAlignment="1">
      <alignment horizontal="justify" vertical="top" wrapText="1" indent="2"/>
    </xf>
    <xf numFmtId="0" fontId="8" fillId="0" borderId="7" xfId="0" applyFont="1" applyBorder="1" applyAlignment="1">
      <alignment horizontal="justify" vertical="top" wrapText="1" indent="2"/>
    </xf>
    <xf numFmtId="0" fontId="7" fillId="0" borderId="8" xfId="0" applyFont="1" applyBorder="1" applyAlignment="1">
      <alignment horizontal="justify" vertical="top" wrapText="1"/>
    </xf>
    <xf numFmtId="0" fontId="7" fillId="0" borderId="9" xfId="0" applyFont="1" applyBorder="1" applyAlignment="1">
      <alignment horizontal="justify"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10" xfId="0" applyFont="1" applyBorder="1" applyAlignment="1">
      <alignment horizontal="justify" vertical="top" wrapText="1"/>
    </xf>
    <xf numFmtId="0" fontId="7" fillId="0" borderId="11" xfId="0" applyFont="1" applyBorder="1" applyAlignment="1">
      <alignment horizontal="justify"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0" fillId="0" borderId="0" xfId="0" applyAlignment="1">
      <alignment horizontal="center" vertical="center"/>
    </xf>
    <xf numFmtId="0" fontId="0" fillId="0" borderId="12" xfId="0" applyBorder="1" applyAlignment="1">
      <alignment horizontal="center" vertical="center"/>
    </xf>
    <xf numFmtId="0" fontId="0" fillId="0" borderId="0" xfId="0" applyBorder="1" applyAlignment="1">
      <alignment horizontal="center" vertical="center"/>
    </xf>
    <xf numFmtId="176" fontId="0" fillId="0" borderId="0" xfId="0" applyNumberFormat="1" applyAlignment="1">
      <alignment horizontal="center" vertical="center"/>
    </xf>
    <xf numFmtId="0" fontId="0" fillId="0" borderId="0" xfId="0" applyNumberFormat="1" applyAlignment="1">
      <alignment horizontal="center" vertical="center"/>
    </xf>
    <xf numFmtId="0" fontId="9" fillId="0" borderId="12" xfId="0" applyFont="1" applyBorder="1" applyAlignment="1">
      <alignment horizontal="center" vertical="center" wrapText="1"/>
    </xf>
    <xf numFmtId="176" fontId="9" fillId="0" borderId="12" xfId="0" applyNumberFormat="1" applyFont="1" applyBorder="1" applyAlignment="1">
      <alignment horizontal="center" vertical="center" wrapText="1"/>
    </xf>
    <xf numFmtId="0" fontId="9" fillId="2" borderId="12" xfId="0" applyFont="1" applyFill="1" applyBorder="1" applyAlignment="1">
      <alignment horizontal="center" vertical="center" wrapText="1"/>
    </xf>
    <xf numFmtId="0" fontId="9" fillId="2" borderId="12" xfId="0" applyFont="1" applyFill="1" applyBorder="1" applyAlignment="1">
      <alignment horizontal="center" vertical="center"/>
    </xf>
    <xf numFmtId="0" fontId="9" fillId="0" borderId="12" xfId="0" applyFont="1" applyBorder="1" applyAlignment="1">
      <alignment horizontal="center" vertical="center"/>
    </xf>
    <xf numFmtId="176" fontId="9" fillId="0" borderId="12" xfId="0" applyNumberFormat="1" applyFont="1" applyBorder="1" applyAlignment="1">
      <alignment horizontal="center" vertical="center"/>
    </xf>
    <xf numFmtId="0" fontId="10" fillId="0" borderId="12" xfId="0" applyFont="1" applyBorder="1" applyAlignment="1">
      <alignment horizontal="center" vertical="center" wrapText="1"/>
    </xf>
    <xf numFmtId="0" fontId="9" fillId="0" borderId="12" xfId="0" applyNumberFormat="1" applyFont="1" applyBorder="1" applyAlignment="1">
      <alignment horizontal="center" vertical="center"/>
    </xf>
    <xf numFmtId="176" fontId="10" fillId="0" borderId="12" xfId="0" applyNumberFormat="1" applyFont="1" applyBorder="1" applyAlignment="1">
      <alignment horizontal="center" vertical="center"/>
    </xf>
    <xf numFmtId="0" fontId="10" fillId="0" borderId="12" xfId="0" applyFont="1" applyBorder="1" applyAlignment="1">
      <alignment horizontal="center" vertical="center"/>
    </xf>
    <xf numFmtId="177" fontId="9" fillId="0" borderId="12" xfId="0" applyNumberFormat="1" applyFont="1" applyBorder="1" applyAlignment="1">
      <alignment horizontal="center" vertical="center"/>
    </xf>
    <xf numFmtId="178" fontId="10" fillId="0" borderId="12" xfId="0" applyNumberFormat="1" applyFont="1" applyBorder="1" applyAlignment="1">
      <alignment horizontal="center" vertical="center"/>
    </xf>
    <xf numFmtId="0" fontId="11" fillId="0" borderId="12" xfId="0" applyFont="1" applyBorder="1" applyAlignment="1">
      <alignment horizontal="center" vertical="center"/>
    </xf>
    <xf numFmtId="2" fontId="9" fillId="0" borderId="12" xfId="0" applyNumberFormat="1" applyFont="1" applyBorder="1" applyAlignment="1">
      <alignment horizontal="center" vertical="center"/>
    </xf>
    <xf numFmtId="0" fontId="10" fillId="0" borderId="12" xfId="0" applyFont="1" applyBorder="1" applyAlignment="1">
      <alignment horizontal="center"/>
    </xf>
    <xf numFmtId="0" fontId="10" fillId="0" borderId="12" xfId="0" applyFont="1" applyFill="1" applyBorder="1" applyAlignment="1">
      <alignment horizontal="center" vertical="center" wrapText="1"/>
    </xf>
    <xf numFmtId="179" fontId="10" fillId="0" borderId="12" xfId="0" applyNumberFormat="1" applyFont="1" applyBorder="1" applyAlignment="1" applyProtection="1">
      <alignment horizontal="center" vertical="center"/>
      <protection locked="0"/>
    </xf>
    <xf numFmtId="4" fontId="10" fillId="0" borderId="12" xfId="0" applyNumberFormat="1" applyFont="1" applyBorder="1" applyAlignment="1">
      <alignment horizontal="center"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0" fontId="19"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pplyAlignment="1">
      <alignment horizontal="justify" vertical="center" indent="2"/>
    </xf>
    <xf numFmtId="0" fontId="9" fillId="0" borderId="0" xfId="0" applyFont="1" applyAlignment="1">
      <alignment horizontal="center" vertical="center" wrapText="1"/>
    </xf>
    <xf numFmtId="0" fontId="22" fillId="0" borderId="0" xfId="0" applyFont="1">
      <alignment vertical="center"/>
    </xf>
    <xf numFmtId="0" fontId="10" fillId="0" borderId="12" xfId="0" applyFont="1" applyBorder="1" applyAlignment="1">
      <alignment horizontal="left" vertical="center" wrapText="1"/>
    </xf>
    <xf numFmtId="0" fontId="23" fillId="0" borderId="0" xfId="0" applyFont="1" applyAlignment="1">
      <alignment horizontal="center" vertical="center"/>
    </xf>
    <xf numFmtId="0" fontId="9" fillId="0" borderId="0" xfId="0" applyFont="1">
      <alignment vertical="center"/>
    </xf>
    <xf numFmtId="0" fontId="23" fillId="0" borderId="0" xfId="0" applyFont="1" applyAlignment="1">
      <alignment horizontal="left" vertical="center" wrapText="1" indent="2"/>
    </xf>
    <xf numFmtId="0" fontId="24" fillId="0" borderId="0" xfId="0" applyFont="1">
      <alignment vertical="center"/>
    </xf>
    <xf numFmtId="0" fontId="24" fillId="0" borderId="0" xfId="0" applyFont="1" applyAlignment="1">
      <alignment horizontal="center" vertical="center"/>
    </xf>
    <xf numFmtId="0" fontId="25" fillId="0" borderId="0" xfId="0" applyFont="1" applyAlignment="1">
      <alignment vertical="center" wrapText="1"/>
    </xf>
    <xf numFmtId="0" fontId="26" fillId="0" borderId="0" xfId="0" applyFont="1">
      <alignment vertical="center"/>
    </xf>
    <xf numFmtId="0" fontId="27" fillId="0" borderId="0" xfId="0" applyFont="1" applyAlignment="1">
      <alignment horizontal="justify" vertical="center" indent="2"/>
    </xf>
    <xf numFmtId="0" fontId="9" fillId="0" borderId="0" xfId="0" applyFont="1" applyAlignment="1">
      <alignment horizontal="center" vertical="center"/>
    </xf>
    <xf numFmtId="0" fontId="10" fillId="0" borderId="0" xfId="0" applyFont="1" applyAlignment="1">
      <alignment horizontal="center" vertical="center"/>
    </xf>
    <xf numFmtId="0" fontId="9" fillId="0" borderId="0" xfId="0" applyNumberFormat="1" applyFont="1" applyAlignment="1">
      <alignment horizontal="center" vertical="center"/>
    </xf>
    <xf numFmtId="0" fontId="2" fillId="0" borderId="12" xfId="0" applyFont="1" applyBorder="1" applyAlignment="1">
      <alignment horizontal="center" vertical="center"/>
    </xf>
    <xf numFmtId="0" fontId="28" fillId="0" borderId="0" xfId="0" applyFont="1" applyAlignment="1">
      <alignment horizontal="center"/>
    </xf>
    <xf numFmtId="176" fontId="9" fillId="0" borderId="0" xfId="0" applyNumberFormat="1" applyFont="1" applyAlignment="1">
      <alignment horizontal="center" vertical="center"/>
    </xf>
    <xf numFmtId="0" fontId="10" fillId="0" borderId="13" xfId="0" applyFont="1" applyBorder="1" applyAlignment="1">
      <alignment horizontal="center" vertical="center" wrapText="1"/>
    </xf>
    <xf numFmtId="0" fontId="29" fillId="0" borderId="0" xfId="0" applyFont="1">
      <alignment vertical="center"/>
    </xf>
    <xf numFmtId="0" fontId="10" fillId="0" borderId="0" xfId="0" applyFont="1" applyAlignment="1">
      <alignment horizontal="center" vertical="center" wrapText="1"/>
    </xf>
    <xf numFmtId="0" fontId="29" fillId="0" borderId="0" xfId="0" applyFont="1" applyAlignment="1">
      <alignment horizontal="justify" vertical="center" indent="3"/>
    </xf>
    <xf numFmtId="0" fontId="2" fillId="0" borderId="0" xfId="0" applyFont="1" applyAlignment="1">
      <alignment horizontal="center" vertical="center" wrapText="1"/>
    </xf>
    <xf numFmtId="176" fontId="10" fillId="0" borderId="0" xfId="0" applyNumberFormat="1" applyFont="1" applyAlignment="1">
      <alignment horizontal="center" vertical="center"/>
    </xf>
    <xf numFmtId="0" fontId="2" fillId="0" borderId="0" xfId="0" applyFont="1" applyAlignment="1">
      <alignment horizontal="center" vertical="center"/>
    </xf>
    <xf numFmtId="0" fontId="10" fillId="0" borderId="0" xfId="0" applyFont="1" applyBorder="1" applyAlignment="1">
      <alignment horizontal="center" vertical="center"/>
    </xf>
    <xf numFmtId="176" fontId="10" fillId="0" borderId="0" xfId="0" applyNumberFormat="1" applyFont="1" applyBorder="1" applyAlignment="1">
      <alignment horizontal="center" vertical="center"/>
    </xf>
    <xf numFmtId="0" fontId="9" fillId="0" borderId="0" xfId="0" applyFont="1" applyBorder="1" applyAlignment="1">
      <alignment horizontal="center" vertical="center" wrapText="1"/>
    </xf>
    <xf numFmtId="0" fontId="10" fillId="0" borderId="0" xfId="0" applyFont="1" applyBorder="1" applyAlignment="1">
      <alignment horizontal="center" vertical="center" wrapText="1"/>
    </xf>
    <xf numFmtId="0" fontId="9" fillId="0" borderId="0" xfId="0" applyFont="1" applyBorder="1" applyAlignment="1">
      <alignment horizontal="center" vertical="center"/>
    </xf>
    <xf numFmtId="14" fontId="10" fillId="0" borderId="0" xfId="0" applyNumberFormat="1" applyFont="1" applyAlignment="1">
      <alignment horizontal="center" vertical="center" wrapText="1"/>
    </xf>
    <xf numFmtId="0" fontId="9" fillId="0" borderId="0" xfId="0" applyNumberFormat="1" applyFont="1" applyBorder="1" applyAlignment="1">
      <alignment horizontal="center" vertical="center"/>
    </xf>
    <xf numFmtId="0" fontId="30" fillId="0" borderId="0" xfId="0" applyFont="1">
      <alignment vertical="center"/>
    </xf>
    <xf numFmtId="0" fontId="22" fillId="0" borderId="0" xfId="0" applyFont="1" applyAlignment="1">
      <alignment horizontal="center" vertical="center"/>
    </xf>
    <xf numFmtId="0" fontId="31" fillId="0" borderId="0" xfId="0" applyFont="1">
      <alignment vertical="center"/>
    </xf>
    <xf numFmtId="0" fontId="32" fillId="0" borderId="0" xfId="0" applyFont="1">
      <alignment vertical="center"/>
    </xf>
    <xf numFmtId="0" fontId="11" fillId="0" borderId="0" xfId="0" applyFont="1" applyAlignment="1">
      <alignment horizontal="center" vertical="center" wrapText="1"/>
    </xf>
    <xf numFmtId="0" fontId="33" fillId="0" borderId="0" xfId="0" applyFont="1">
      <alignment vertical="center"/>
    </xf>
    <xf numFmtId="0" fontId="34" fillId="0" borderId="0" xfId="0" applyFont="1">
      <alignment vertical="center"/>
    </xf>
    <xf numFmtId="176" fontId="9" fillId="0" borderId="0" xfId="0" applyNumberFormat="1" applyFont="1" applyBorder="1" applyAlignment="1">
      <alignment horizontal="center" vertical="center"/>
    </xf>
    <xf numFmtId="0" fontId="34" fillId="0" borderId="0" xfId="0" applyFont="1" applyBorder="1">
      <alignment vertical="center"/>
    </xf>
    <xf numFmtId="0" fontId="10" fillId="0" borderId="0" xfId="0" applyFont="1" applyBorder="1" applyAlignment="1">
      <alignment vertical="center" wrapText="1"/>
    </xf>
    <xf numFmtId="0" fontId="35" fillId="0" borderId="0" xfId="0" applyFont="1" applyBorder="1">
      <alignment vertical="center"/>
    </xf>
    <xf numFmtId="0" fontId="31" fillId="0" borderId="0" xfId="0" applyFont="1" applyBorder="1">
      <alignment vertical="center"/>
    </xf>
    <xf numFmtId="0" fontId="10" fillId="3" borderId="0" xfId="0" applyFont="1" applyFill="1" applyBorder="1" applyAlignment="1">
      <alignment horizontal="center" vertical="center" wrapText="1"/>
    </xf>
    <xf numFmtId="0" fontId="12" fillId="0" borderId="0" xfId="0" applyFont="1" applyFill="1" applyBorder="1" applyAlignment="1" applyProtection="1">
      <alignment horizontal="left" vertical="center" shrinkToFit="1"/>
      <protection locked="0"/>
    </xf>
    <xf numFmtId="0" fontId="29" fillId="0" borderId="0" xfId="0" applyFont="1" applyBorder="1" applyAlignment="1">
      <alignment horizontal="justify" vertical="center" indent="3"/>
    </xf>
    <xf numFmtId="0" fontId="29" fillId="0" borderId="0" xfId="0" applyFont="1" applyBorder="1">
      <alignment vertical="center"/>
    </xf>
    <xf numFmtId="0" fontId="29" fillId="0" borderId="0" xfId="0" applyFont="1" applyBorder="1" applyAlignment="1">
      <alignment horizontal="justify" vertical="center" indent="2"/>
    </xf>
    <xf numFmtId="0" fontId="12" fillId="0" borderId="12" xfId="0" applyFont="1" applyBorder="1" applyAlignment="1" applyProtection="1">
      <alignment horizontal="left" vertical="center" shrinkToFit="1"/>
      <protection locked="0"/>
    </xf>
    <xf numFmtId="4" fontId="10" fillId="0" borderId="0" xfId="0" applyNumberFormat="1" applyFont="1" applyAlignment="1">
      <alignment horizontal="center" vertical="center"/>
    </xf>
    <xf numFmtId="0" fontId="36" fillId="0" borderId="0" xfId="0" applyFont="1">
      <alignment vertical="center"/>
    </xf>
    <xf numFmtId="0" fontId="10" fillId="0" borderId="0" xfId="0" applyFont="1">
      <alignment vertical="center"/>
    </xf>
    <xf numFmtId="0" fontId="37" fillId="0" borderId="0" xfId="0" applyFont="1" applyAlignment="1">
      <alignment vertical="center" wrapText="1"/>
    </xf>
    <xf numFmtId="176" fontId="10" fillId="0" borderId="0" xfId="0" applyNumberFormat="1" applyFont="1" applyAlignment="1">
      <alignment horizontal="center" vertical="center" wrapText="1"/>
    </xf>
    <xf numFmtId="0" fontId="38" fillId="0" borderId="0" xfId="0" applyFont="1">
      <alignment vertical="center"/>
    </xf>
    <xf numFmtId="0" fontId="26" fillId="0" borderId="0" xfId="0" applyFont="1" applyAlignment="1"/>
    <xf numFmtId="0" fontId="29" fillId="0" borderId="0" xfId="0" applyFont="1" applyAlignment="1">
      <alignment horizontal="justify" vertical="center"/>
    </xf>
    <xf numFmtId="0" fontId="26" fillId="0" borderId="0" xfId="0" applyFont="1" applyAlignment="1">
      <alignment horizontal="justify" vertical="center" indent="3"/>
    </xf>
    <xf numFmtId="0" fontId="28" fillId="0" borderId="0" xfId="0" applyFont="1" applyAlignment="1"/>
    <xf numFmtId="0" fontId="39" fillId="0" borderId="0" xfId="0" applyFont="1">
      <alignment vertical="center"/>
    </xf>
    <xf numFmtId="0" fontId="40" fillId="0" borderId="0" xfId="0" applyFont="1" applyAlignment="1">
      <alignment horizontal="center" vertical="center"/>
    </xf>
    <xf numFmtId="0" fontId="10" fillId="0" borderId="0" xfId="0" applyFont="1" applyAlignment="1">
      <alignment horizontal="left" vertical="center" wrapText="1"/>
    </xf>
    <xf numFmtId="0" fontId="41" fillId="0" borderId="0" xfId="0" applyFont="1" applyAlignment="1">
      <alignment vertical="center" wrapText="1"/>
    </xf>
    <xf numFmtId="0" fontId="29" fillId="0" borderId="0" xfId="0" applyFont="1" applyAlignment="1">
      <alignment horizontal="left" vertical="center" wrapText="1"/>
    </xf>
    <xf numFmtId="0" fontId="26" fillId="0" borderId="0" xfId="0" applyFont="1" applyAlignment="1">
      <alignment vertical="center" wrapText="1"/>
    </xf>
    <xf numFmtId="0" fontId="18" fillId="0" borderId="0" xfId="0" applyFont="1" applyAlignment="1">
      <alignment vertical="center" wrapText="1"/>
    </xf>
    <xf numFmtId="180" fontId="42" fillId="0" borderId="14" xfId="49" applyNumberFormat="1" applyFont="1" applyFill="1" applyBorder="1" applyAlignment="1">
      <alignment horizontal="center" vertical="center" wrapText="1"/>
    </xf>
    <xf numFmtId="180" fontId="43" fillId="0" borderId="14" xfId="49" applyNumberFormat="1" applyFont="1" applyFill="1" applyBorder="1" applyAlignment="1">
      <alignment horizontal="center" vertical="center" wrapText="1"/>
    </xf>
    <xf numFmtId="0" fontId="10" fillId="0" borderId="13" xfId="0" applyFont="1" applyBorder="1" applyAlignment="1">
      <alignment horizontal="center" vertical="center"/>
    </xf>
    <xf numFmtId="176" fontId="9" fillId="0" borderId="13" xfId="0" applyNumberFormat="1" applyFont="1" applyBorder="1" applyAlignment="1">
      <alignment horizontal="center" vertical="center"/>
    </xf>
    <xf numFmtId="0" fontId="2" fillId="0" borderId="12" xfId="0" applyFont="1" applyBorder="1" applyAlignment="1">
      <alignment horizontal="center" vertical="center" wrapText="1"/>
    </xf>
    <xf numFmtId="0" fontId="0" fillId="0" borderId="12" xfId="0" applyBorder="1" applyAlignment="1">
      <alignment horizontal="center" vertical="center" wrapText="1"/>
    </xf>
    <xf numFmtId="0" fontId="44" fillId="0" borderId="12" xfId="0" applyFont="1" applyBorder="1" applyAlignment="1">
      <alignment horizontal="left" vertical="center"/>
    </xf>
    <xf numFmtId="0" fontId="45" fillId="0" borderId="0" xfId="0" applyFont="1">
      <alignment vertical="center"/>
    </xf>
    <xf numFmtId="0" fontId="44" fillId="0" borderId="12" xfId="0" applyFont="1" applyBorder="1" applyAlignment="1">
      <alignment horizontal="left" vertical="center" wrapText="1"/>
    </xf>
    <xf numFmtId="0" fontId="0" fillId="0" borderId="0" xfId="0" applyAlignment="1">
      <alignment horizontal="center" vertical="center" wrapText="1"/>
    </xf>
    <xf numFmtId="0" fontId="46" fillId="0" borderId="0" xfId="0" applyFont="1" applyAlignment="1">
      <alignment horizontal="center" vertical="center"/>
    </xf>
    <xf numFmtId="0" fontId="10" fillId="0" borderId="0" xfId="0" applyNumberFormat="1" applyFont="1" applyAlignment="1">
      <alignment horizontal="center" vertical="center" wrapText="1"/>
    </xf>
    <xf numFmtId="0" fontId="23" fillId="0" borderId="0" xfId="0" applyFont="1" applyAlignment="1">
      <alignment vertical="center" wrapText="1"/>
    </xf>
    <xf numFmtId="0" fontId="42" fillId="0" borderId="0" xfId="0" applyFont="1">
      <alignment vertical="center"/>
    </xf>
    <xf numFmtId="0" fontId="47" fillId="0" borderId="0" xfId="0" applyFont="1">
      <alignment vertical="center"/>
    </xf>
    <xf numFmtId="0" fontId="0" fillId="0" borderId="0" xfId="0" applyAlignment="1">
      <alignment vertical="center" wrapText="1"/>
    </xf>
    <xf numFmtId="0" fontId="48" fillId="0" borderId="0" xfId="0" applyFont="1">
      <alignment vertical="center"/>
    </xf>
    <xf numFmtId="177" fontId="49" fillId="0" borderId="12" xfId="0" applyNumberFormat="1" applyFont="1" applyFill="1" applyBorder="1" applyAlignment="1">
      <alignment horizontal="center" vertical="center"/>
    </xf>
    <xf numFmtId="0" fontId="50" fillId="0" borderId="12" xfId="0" applyFont="1" applyFill="1" applyBorder="1" applyAlignment="1">
      <alignment horizontal="center" vertical="center"/>
    </xf>
    <xf numFmtId="0" fontId="11" fillId="0" borderId="12" xfId="0" applyFont="1" applyFill="1" applyBorder="1" applyAlignment="1">
      <alignment horizontal="center" vertical="center"/>
    </xf>
    <xf numFmtId="0" fontId="2" fillId="0" borderId="0" xfId="0" applyFont="1" applyFill="1" applyAlignment="1">
      <alignment horizontal="left" vertical="center"/>
    </xf>
    <xf numFmtId="0" fontId="0" fillId="0" borderId="0" xfId="0" applyAlignment="1">
      <alignment horizontal="left" vertical="center"/>
    </xf>
    <xf numFmtId="14" fontId="51" fillId="4" borderId="11" xfId="0" applyNumberFormat="1" applyFont="1" applyFill="1" applyBorder="1" applyAlignment="1">
      <alignment horizontal="center" vertical="center" wrapText="1"/>
    </xf>
    <xf numFmtId="14" fontId="42" fillId="5" borderId="15" xfId="0" applyNumberFormat="1" applyFont="1" applyFill="1" applyBorder="1" applyAlignment="1">
      <alignment horizontal="center" vertical="center"/>
    </xf>
    <xf numFmtId="181" fontId="42" fillId="5" borderId="11" xfId="0" applyNumberFormat="1" applyFont="1" applyFill="1" applyBorder="1" applyAlignment="1">
      <alignment horizontal="center" vertical="center"/>
    </xf>
    <xf numFmtId="182" fontId="42" fillId="5" borderId="11" xfId="0" applyNumberFormat="1" applyFont="1" applyFill="1" applyBorder="1" applyAlignment="1">
      <alignment horizontal="center" vertical="center"/>
    </xf>
    <xf numFmtId="9" fontId="42" fillId="5" borderId="11" xfId="3" applyFont="1" applyFill="1" applyBorder="1" applyAlignment="1">
      <alignment horizontal="center" vertical="center"/>
    </xf>
    <xf numFmtId="182" fontId="11" fillId="6" borderId="15" xfId="0" applyNumberFormat="1" applyFont="1" applyFill="1" applyBorder="1" applyAlignment="1">
      <alignment horizontal="center"/>
    </xf>
    <xf numFmtId="181" fontId="11" fillId="6" borderId="11" xfId="0" applyNumberFormat="1" applyFont="1" applyFill="1" applyBorder="1" applyAlignment="1">
      <alignment horizontal="center"/>
    </xf>
    <xf numFmtId="182" fontId="11" fillId="6" borderId="11" xfId="0" applyNumberFormat="1" applyFont="1" applyFill="1" applyBorder="1" applyAlignment="1">
      <alignment horizontal="center"/>
    </xf>
    <xf numFmtId="9" fontId="11" fillId="6" borderId="11" xfId="3" applyFont="1" applyFill="1" applyBorder="1" applyAlignment="1">
      <alignment horizontal="center"/>
    </xf>
    <xf numFmtId="14" fontId="51" fillId="4" borderId="11" xfId="0" applyNumberFormat="1" applyFont="1" applyFill="1" applyBorder="1" applyAlignment="1">
      <alignment horizontal="center" vertical="center"/>
    </xf>
    <xf numFmtId="9" fontId="0" fillId="0" borderId="0" xfId="3">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33">
    <dxf>
      <font>
        <name val="微软雅黑"/>
        <scheme val="none"/>
        <sz val="10"/>
      </font>
      <alignment horizontal="center"/>
    </dxf>
    <dxf>
      <font>
        <name val="微软雅黑"/>
        <scheme val="none"/>
        <sz val="10"/>
      </font>
      <numFmt numFmtId="176" formatCode="yyyy/m/d;@"/>
      <alignment horizontal="center"/>
    </dxf>
    <dxf>
      <font>
        <name val="微软雅黑"/>
        <scheme val="none"/>
        <sz val="10"/>
      </font>
      <numFmt numFmtId="176" formatCode="yyyy/m/d;@"/>
      <alignment horizontal="center"/>
    </dxf>
    <dxf>
      <numFmt numFmtId="0" formatCode="General"/>
    </dxf>
    <dxf>
      <numFmt numFmtId="0" formatCode="General"/>
    </dxf>
    <dxf>
      <font>
        <name val="微软雅黑"/>
        <scheme val="none"/>
        <sz val="10"/>
      </font>
      <alignment horizontal="center"/>
    </dxf>
    <dxf>
      <font>
        <name val="微软雅黑"/>
        <scheme val="none"/>
        <sz val="10"/>
      </font>
      <alignment horizontal="center"/>
    </dxf>
    <dxf>
      <font>
        <name val="微软雅黑"/>
        <scheme val="none"/>
        <sz val="10"/>
      </font>
      <alignment horizontal="center"/>
    </dxf>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numFmt numFmtId="0" formatCode="General"/>
      <alignment horizontal="center"/>
    </dxf>
    <dxf>
      <numFmt numFmtId="0" formatCode="General"/>
    </dxf>
    <dxf>
      <font>
        <name val="微软雅黑"/>
        <scheme val="none"/>
        <sz val="10"/>
      </font>
      <numFmt numFmtId="0" formatCode="General"/>
      <alignment horizont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xr9:uid="{59DB682C-5494-4EDE-A608-00C9E5F0F923}">
      <tableStyleElement type="wholeTable" dxfId="32"/>
      <tableStyleElement type="headerRow" dxfId="31"/>
      <tableStyleElement type="totalRow" dxfId="30"/>
      <tableStyleElement type="firstColumn" dxfId="29"/>
      <tableStyleElement type="lastColumn" dxfId="28"/>
      <tableStyleElement type="firstRowStripe" dxfId="27"/>
      <tableStyleElement type="firstColumnStripe" dxfId="2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1.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59.9164930556" refreshedBy="23850" recordCount="991">
  <cacheSource type="worksheet">
    <worksheetSource name="表1"/>
  </cacheSource>
  <cacheFields count="26">
    <cacheField name="联系单编号" numFmtId="0">
      <sharedItems containsBlank="1" count="291">
        <s v="FJSWKK250529"/>
        <m/>
        <s v="JZXYMFJZZ250004-lxd01"/>
        <s v="YMFJZZ250152-lxd01"/>
        <s v="YMFJZZ250142-lxd01"/>
        <s v="YMFJZZ250173-lxd01"/>
        <s v="YMFJZZ250130-lxd01"/>
        <s v="YHSZFJ250613XMX0001-lxd01"/>
        <s v="YMZSJJY250170"/>
        <s v="YMZSIIY250177"/>
        <s v=" JZXYMZSJJM25047 玉米扣款—保险"/>
        <s v=" JZXYMZSJJM25047 玉米扣款"/>
        <s v="JKDMGX250010/15"/>
        <s v="YMZSJQY250219"/>
        <s v="YMZSJQY250205"/>
        <s v="YMZSJQY250179"/>
        <s v="JCYMZSJQY250029-1"/>
        <s v="YMYXMM250768"/>
        <s v="关于JZXYMZSJJM25048玉米扣款"/>
        <s v="YMYXYJ250166"/>
        <s v="茂名海航 YMYXMM250260 质量扣款的情况说明"/>
        <s v="YMFJFZ250147"/>
        <s v="YMFJZZ250287"/>
        <s v="JZXYMGXXJ250067"/>
        <s v="YHYMGXXS250904003"/>
        <s v="JKDMYXZJ250030"/>
        <s v="YMZSJDG250122"/>
        <s v="YHYMZSJXS251113002"/>
        <s v="YMYXMM250558"/>
        <s v="YMYXMM250554"/>
        <s v="YMYXMM250602"/>
        <s v="YMYXMM250553"/>
        <s v="YMYXMM250596"/>
        <s v="YMYXMM250582"/>
        <s v="YMYXMM250569"/>
        <s v="YMYXMM250564"/>
        <s v="YMYXMM250576"/>
        <s v="YMYXMM250507"/>
        <s v="YMLDW251027018"/>
        <s v="集装箱滞期费用处理"/>
        <s v="JZXYMFJZZ250045"/>
        <s v="YMYXMM250594"/>
        <s v="YMFJFZ250174"/>
        <s v="YMHN250282"/>
        <s v="YMFJZZ250298"/>
        <s v="YMFJFZ250114"/>
        <s v="YMFJZZ250273"/>
        <s v="JZXYMFJFZ250080"/>
        <s v="JZXYMFJFZ250074"/>
        <s v="YMZSJQY250105"/>
        <s v="YMZSJDGJZX250422"/>
        <s v="YMZSJDKHLY250180"/>
        <s v="YMZSJDKHWS250037"/>
        <s v="YMZSJDKHWS250025-3"/>
        <s v="YMZSJDKHWS250025-2"/>
        <s v="YMZSJDKHWS250030"/>
        <s v="YMZSJDKHWS250033"/>
        <s v="YMYXMM250391"/>
        <s v="YMYXMM250392"/>
        <s v="YMZSJJM25081"/>
        <s v="JZXYMFJFZ250075"/>
        <s v="JZXYMFJFZ250072"/>
        <s v="JCYMZSJDG25053-1"/>
        <s v="YMFJFZ250086"/>
        <s v="YMFJFZ250187"/>
        <s v="JCYMHN250088-1"/>
        <s v="JZXYMFJFZ250081"/>
        <s v="JCYMZSJQY250029-2"/>
        <s v="关于苏湾集装箱滞期费说明"/>
        <s v="JZXYMGXXJ250069"/>
        <s v="YMZSJDKHLY250195"/>
        <s v="YMZSJQY250234"/>
        <s v="JZXYMZSJQY250113"/>
        <s v="JZXYMHN250170"/>
        <s v="JZXYMYXMM250805"/>
        <s v="JKDMYXZJ250048"/>
        <s v="JCYMZSJQY250011-1"/>
        <s v="JZXYMLCYDG251207"/>
        <s v="PASUQ087172260"/>
        <s v="JZXYMZSJJM25040"/>
        <s v="JZXYMFJFZ250084"/>
        <s v="YMZSJDKHWS250040-2"/>
        <s v="YMZSIDKHWS250038-5"/>
        <s v="YMZSJDKHWS250041-2"/>
        <s v="YMGXXJ250144"/>
        <s v="YMGXXJ250134"/>
        <s v="YMFJFZ250159"/>
        <s v="YMFJFZ250134"/>
        <s v="YMGXQZ250316"/>
        <s v="JZXYMLCYDG251212"/>
        <s v="YMGXQZ250315"/>
        <s v="YMZSJJY250195"/>
        <s v="YMZSJDKHWS250045"/>
        <s v="YMZSJDKHWS250046"/>
        <s v="YMZSJXXW260001"/>
        <s v="YMZSJHD250050"/>
        <s v="YMYXYJ250250-1"/>
        <s v="YMYXYJ250250-3"/>
        <s v="YMZSJJY250201"/>
        <s v="YMZSJDGJZX250427"/>
        <s v="YMGXQZ250317"/>
        <s v="JZXYMZSJJM26001"/>
        <s v="JCYMZSJDG250022-2"/>
        <s v="YMGXNN260007-01"/>
        <s v="YMHN250338"/>
        <s v="YMZSJQY250182、YMZSJQY250189"/>
        <s v="YMZSJQY250280"/>
        <s v="YMZSJQY250293"/>
        <s v="YMZSJQY250294"/>
        <s v="YMFJFZ250183"/>
        <s v="YMFJFZ250188"/>
        <s v="YHYMZSJXS251118002"/>
        <s v="YMZSJDKHWS250048-1"/>
        <s v="YMZSJDKHWS250049-3"/>
        <s v="YMZSJJM26007"/>
        <s v="YMZSJJM25103-2"/>
        <s v="YMFJFZ260006"/>
        <s v="YMFJZZ250304"/>
        <s v="YMFJZZ250315"/>
        <s v="YMFJFZ260011"/>
        <s v="YMFJFZ260002"/>
        <s v="JZXYMDG26003"/>
        <s v="YMZSJDG250415"/>
        <s v="YMZSJDG250414"/>
        <s v="YMZSJDG250446"/>
        <s v="JZXYMDG26007"/>
        <s v="JZXYMLCYDG251208"/>
        <s v="JZXYMLCYDG251209"/>
        <s v="YMGXNN250144-01"/>
        <s v="JCYMZSJM25006-4"/>
        <s v="YMZSJJM25084"/>
        <s v="YMFJFZ250210"/>
        <s v="YMFJZZ250316"/>
        <s v="YMFJZZ250313"/>
        <s v="JZXYMZSJM26002"/>
        <s v="JZXYMZSJJM26009"/>
        <s v="YMGXQZ250335"/>
        <s v="YMGXQZ250314"/>
        <s v="YMZSJDKHLY250202"/>
        <s v="YMZSJDKHLY250206"/>
        <s v="YMZSJJY250204"/>
        <s v="YMFJZZ260004"/>
        <s v="YMFJZZ260019"/>
        <s v="JZXYMFJFZ250086"/>
        <s v="YMZSJDG26010"/>
        <s v="JZXYMDG26016"/>
        <s v="YMZSJDG26001"/>
        <s v="YMFJFZ260003"/>
        <s v="YMFJZZ260010"/>
        <s v="JZXYMZSJQY260002"/>
        <s v="JZXYMLCYDG251210"/>
        <s v="YMZSJDKHSBT250017"/>
        <s v="YMZSJDKHSBT260001"/>
        <s v="YMYXYJ250218"/>
        <s v="YMYXYJ250225"/>
        <s v="YMZSJDKHWS250049-2"/>
        <s v="YMYXMM260062"/>
        <s v="YMYXMM250901"/>
        <s v="JZXYMDG26014"/>
        <s v="JCYMHN260002-1"/>
        <s v="YMGXNN250131-01"/>
        <s v="YMZSJQY260016"/>
        <s v="YMZSJDKHWS250048-2"/>
        <s v="YMZSJDKHWS250048-3"/>
        <s v="YMZSJJY250224"/>
        <s v="JCYMZSJDG25051-1"/>
        <s v="YMFJFZ250158"/>
        <s v="YMZSJDG250412"/>
        <s v="YMGXXJ250149_x000a_YMGXXJ260002_x000a_YMGXXJ260003"/>
        <s v="YMZSJDG250500"/>
        <s v="JZXYMDG26018"/>
        <s v="YMFJFZ260012"/>
        <s v="JZXYMZSJJM26005"/>
        <s v="JKDMFJFZ250006"/>
        <s v="JKDMFJFZ250007-2"/>
        <s v="YMZSJDKHLY260001"/>
        <s v="YMZSJDKHLY250204"/>
        <s v="YMFJFZ250164"/>
        <s v="YMFJFZ250165"/>
        <s v="JZXYMDG26017"/>
        <s v="JZXYMDG26015"/>
        <s v="YMFJFZ250189"/>
        <s v="YMYXYJ260001-2"/>
        <s v="YMYXYJ260004-2"/>
        <s v="YMYXYJ260013-2"/>
        <s v="JCYMGXQZ260002-1"/>
        <s v="YMYXYJ260013-3"/>
        <s v="YMYXYJ260013-1"/>
        <s v="JCYMYXMM260005-1"/>
        <s v="YMZSJQY250282"/>
        <s v="JKDMFJZZ250056"/>
        <s v="YMYXMM260016"/>
        <s v="YMGXQZ260018"/>
        <s v="JKGLZSJJM25005"/>
        <s v="YMFJZZ250325"/>
        <s v="JCYMZSJJM25007-4"/>
        <s v="YMGXQZ260004"/>
        <s v="JCYMGXXJ260003-1"/>
        <s v="YMGXXJ250157"/>
        <s v="JZXYMZSJQY260019"/>
        <s v="YMZSJDG26002"/>
        <s v="YMYXMM250880"/>
        <s v="YMZSJJY250221"/>
        <s v="YMZSJJY250228"/>
        <s v="JZXYMHN260011"/>
        <s v="YMFJFZ260029"/>
        <s v="JCYMFJFZ250017-1"/>
        <s v="YMFJFZ250196"/>
        <s v="JZXYMGXQZ260007"/>
        <s v="YMLDW2603033001-1"/>
        <s v="YMYXMM260008-1"/>
        <s v="YMZSJJY250230"/>
        <s v="YMZSJJY250216"/>
        <s v="YMZSJJY250227"/>
        <s v=":JCYMZSJQY250043-2"/>
        <s v="JZXYMZSJJM26022"/>
        <s v="JZXYMZSJJM26026"/>
        <s v="YMZSJM25083"/>
        <s v="YMZSJDKHWS250009"/>
        <s v="YMZSJDKHISBT2600017"/>
        <s v="YMZSJHD260076"/>
        <s v="YMGXXJ260017"/>
        <s v="JCYMGXXJ260002-1"/>
        <s v="JCYMGXXJ260004-2"/>
        <s v="YMFJFZ260005"/>
        <s v="YMFJZZ260043"/>
        <s v="YMZSJJY250229"/>
        <s v="JCYMZSJJY250155-1"/>
        <s v="YMFJFZ260021"/>
        <s v="YMZSJM26013"/>
        <s v="YMFJFZ260034"/>
        <s v="YMFJFZ260030"/>
        <s v="JZXYMZSJQY260008"/>
        <s v="YMFJFZ250194"/>
        <s v="YMZSJDKHLY250166"/>
        <s v="YMZSJDKHLY250168"/>
        <s v="YMFJFZ260017"/>
        <s v="YMZSJDG26016"/>
        <s v="YMZSJDG26011"/>
        <s v="YMZSJDG26050"/>
        <s v="YMFJZZ260035"/>
        <s v="YMFJZZ260036"/>
        <s v="YMZSJQY260021"/>
        <s v="YMZSJJM26024"/>
        <s v="JKDMZSJDKHSBT25002、JKDMZSJDKHSBT25001"/>
        <s v="YMZSJJM25107、YMZSJJM26007、YMZSJJM26005"/>
        <s v="JZXYMZSJJM26037"/>
        <s v="JZXYMZSJJM26018"/>
        <s v="JZXYMZSJJM26040"/>
        <s v="JZXYMZSJJM26033"/>
        <s v="JZXYMZSJJM2602"/>
        <s v="YMFJFZ260008"/>
        <s v="YMFJFZ260013"/>
        <s v="YMFJFZ260063"/>
        <s v="YMFJFZ260035"/>
        <s v="YMZSJHD260078-8"/>
        <s v="JZXYMZSJM26035"/>
        <s v="JZXYMZSJJM26035"/>
        <s v="JZXYMZSJJM26038"/>
        <s v="YMFJFZ260020"/>
        <s v="YMFJFZ260018"/>
        <s v="JZXYMFJFZ250092"/>
        <s v="YMGXQZ260030"/>
        <s v="YMZSJJY250232"/>
        <s v="YMFJFZ260116"/>
        <s v="YMFJFZ260115"/>
        <s v="YMZSJJY250234"/>
        <s v="JZXYMZSJJM26039"/>
        <s v="JZXYMZSJJM26046"/>
        <s v="JKDMZSJDG250031"/>
        <s v="JZXYMZSJJM26054"/>
        <s v="JKDMZSJDG250032"/>
        <s v="YMYXMM260086"/>
        <s v="YMYXMM260095"/>
        <s v="JZXYMZSJJM26051"/>
        <s v="JCYMZSJJY250156-1"/>
        <s v="JKGLYXZJ250017、JKDMYXZJ250046"/>
        <s v="JKDMYXZJ250074"/>
        <s v="JCJKGLYXZJ250043-1"/>
        <s v="YMLDW260417008-SK"/>
        <s v="JZXYMZSJJM26035、JZXYMZSJJM26040、JZXYMZSJJM26042、JZXYMZSJJM26053"/>
        <s v="YMFJZZ260057"/>
        <s v="YMFJZZ260059、YMFJZZ260060"/>
        <s v="YMFJZZ260069"/>
        <s v="JZXYMZSJJM26056"/>
        <s v=" JZXYMZSJJM26038"/>
        <s v="YMYXZJ260058-SK"/>
        <s v="YMFJFZ260113"/>
        <s v="YMYXMM260109"/>
        <s v="YMFJFZ260097"/>
        <s v="YMFJFZ260062"/>
      </sharedItems>
    </cacheField>
    <cacheField name="费用发生时间" numFmtId="176">
      <sharedItems containsBlank="1" containsDate="1" containsMixedTypes="1" count="166">
        <d v="2025-04-05T00:00:00"/>
        <s v="5/13-5/15"/>
        <s v="2025/5/17、6/2"/>
        <s v="2025/5/16、6/4"/>
        <d v="2025-06-03T00:00:00"/>
        <d v="2025-07-28T00:00:00"/>
        <d v="2025-08-11T00:00:00"/>
        <d v="2025-08-20T00:00:00"/>
        <d v="2025-08-19T00:00:00"/>
        <d v="2025-12-10T00:00:00"/>
        <d v="2025-09-25T00:00:00"/>
        <d v="2025-12-01T00:00:00"/>
        <d v="2025-11-19T00:00:00"/>
        <d v="2025-11-21T00:00:00"/>
        <d v="2025-11-24T00:00:00"/>
        <d v="2025-11-27T00:00:00"/>
        <d v="2025-11-18T00:00:00"/>
        <d v="2025-10-03T00:00:00"/>
        <d v="2025-12-11T00:00:00"/>
        <d v="2025-08-26T00:00:00"/>
        <d v="2011-06-09T00:00:00"/>
        <d v="2025-11-22T00:00:00"/>
        <d v="2025-11-14T00:00:00"/>
        <s v="9月13"/>
        <d v="2025-12-05T00:00:00"/>
        <d v="2025-07-29T00:00:00"/>
        <d v="2025-11-26T00:00:00"/>
        <d v="2025-10-13T00:00:00"/>
        <d v="2025-10-17T00:00:00"/>
        <d v="2025-10-20T00:00:00"/>
        <d v="2025-10-16T00:00:00"/>
        <d v="2025-10-27T00:00:00"/>
        <s v="2025年7月--2025年11月"/>
        <d v="2025-10-31T00:00:00"/>
        <s v="11-14-22"/>
        <d v="2025-11-28T00:00:00"/>
        <d v="2025-11-23T00:00:00"/>
        <d v="2025-10-30T00:00:00"/>
        <d v="2025-10-22T00:00:00"/>
        <d v="2025-09-16T00:00:00"/>
        <d v="2025-12-09T00:00:00"/>
        <d v="2025-11-30T00:00:00"/>
        <d v="2025-09-20T00:00:00"/>
        <d v="2025-10-11T00:00:00"/>
        <d v="2025-12-06T00:00:00"/>
        <d v="2025-11-20T00:00:00"/>
        <s v="2025-8-14-9-14"/>
        <s v="11-24-29"/>
        <s v="10-28-11-23"/>
        <d v="2025-12-18T00:00:00"/>
        <s v="11-30-12-8"/>
        <s v="11月27日-11月30日"/>
        <d v="2025-11-29T00:00:00"/>
        <d v="2025-12-25T00:00:00"/>
        <d v="2025-12-14T00:00:00"/>
        <d v="2025-12-03T00:00:00"/>
        <d v="2025-12-19T00:00:00"/>
        <d v="2025-12-17T00:00:00"/>
        <d v="2025-12-29T00:00:00"/>
        <d v="2025-11-11T00:00:00"/>
        <d v="2026-01-02T00:00:00"/>
        <s v="2025年12月4日-2025年12月12日"/>
        <d v="2025-12-31T00:00:00"/>
        <d v="2026-01-04T00:00:00"/>
        <d v="2026-12-27T00:00:00"/>
        <d v="2026-11-20T00:00:00"/>
        <d v="2026-12-20T00:00:00"/>
        <d v="2026-01-08T00:00:00"/>
        <d v="2026-01-11T00:00:00"/>
        <d v="2026-01-15T00:00:00"/>
        <d v="2025-12-22T00:00:00"/>
        <d v="2025-12-24T00:00:00"/>
        <d v="2026-01-19T00:00:00"/>
        <d v="2026-01-14T00:00:00"/>
        <d v="2026-01-21T00:00:00"/>
        <d v="2026-01-26T00:00:00"/>
        <m/>
        <s v="2026/1/6-1/13"/>
        <d v="2026-01-03T00:00:00"/>
        <d v="2026-01-20T00:00:00"/>
        <d v="2025-11-09T00:00:00"/>
        <d v="2026-01-28T00:00:00"/>
        <d v="2025-09-08T00:00:00"/>
        <d v="2026-01-30T00:00:00"/>
        <d v="2026-01-13T00:00:00"/>
        <d v="2026-01-22T00:00:00"/>
        <d v="2026-01-16T00:00:00"/>
        <d v="2026-01-01T00:00:00"/>
        <s v="2026/1/143"/>
        <d v="2026-01-29T00:00:00"/>
        <d v="2025-12-15T00:00:00"/>
        <d v="2026-01-17T00:00:00"/>
        <d v="2026-01-25T00:00:00"/>
        <d v="2026-02-04T00:00:00"/>
        <d v="2026-02-03T00:00:00"/>
        <d v="2026-01-27T00:00:00"/>
        <d v="2026-02-09T00:00:00"/>
        <d v="2026-01-10T00:00:00"/>
        <d v="2026-02-01T00:00:00"/>
        <d v="2026-01-09T00:00:00"/>
        <d v="2026-01-23T00:00:00"/>
        <d v="2026-02-07T00:00:00"/>
        <d v="2026-02-06T00:00:00"/>
        <d v="2026-02-11T00:00:00"/>
        <d v="2026-02-05T00:00:00"/>
        <s v="2025年11月14日-2026年1月20日"/>
        <s v="2026/1/15-2026/1/23_x000a_2026/1/23_x000a_2026/1/24"/>
        <d v="2026-03-02T00:00:00"/>
        <d v="2026-02-13T00:00:00"/>
        <s v="2025-12-1-2026-2-10"/>
        <s v="2026-1-14-2-28"/>
        <d v="2026-02-28T00:00:00"/>
        <d v="2026-02-12T00:00:00"/>
        <s v="2025-12-1-2026-1-10"/>
        <d v="2026-02-08T00:00:00"/>
        <s v="、"/>
        <d v="2026-02-10T00:00:00"/>
        <d v="2026-03-04T00:00:00"/>
        <d v="2026-02-14T00:00:00"/>
        <d v="2026-02-27T00:00:00"/>
        <d v="2026-02-02T00:00:00"/>
        <s v="2026/2/4-5"/>
        <d v="2026-03-05T00:00:00"/>
        <d v="2026-03-14T00:00:00"/>
        <d v="2026-02-16T00:00:00"/>
        <d v="2026-02-26T00:00:00"/>
        <d v="2026-03-09T00:00:00"/>
        <d v="2026-03-11T00:00:00"/>
        <d v="2026-03-13T00:00:00"/>
        <d v="2026-03-10T00:00:00"/>
        <d v="2026-03-01T00:00:00"/>
        <d v="2026-03-12T00:00:00"/>
        <d v="2026-03-03T00:00:00"/>
        <d v="2026-03-15T00:00:00"/>
        <d v="2026-03-18T00:00:00"/>
        <d v="2026-03-17T00:00:00"/>
        <d v="2026-03-08T00:00:00"/>
        <d v="2026-04-01T00:00:00"/>
        <d v="2026-04-07T00:00:00"/>
        <s v="2026/1/29、2026/2/1、2026/2/2、2026/2/8"/>
        <d v="2025-11-25T00:00:00"/>
        <d v="2026-04-09T00:00:00"/>
        <s v="2026/3/3、2026/3/4、2026/3/19"/>
        <d v="2026-04-03T00:00:00"/>
        <d v="2026-03-23T00:00:00"/>
        <d v="2026-03-25T00:00:00"/>
        <d v="2026-04-15T00:00:00"/>
        <d v="2026-03-31T00:00:00"/>
        <d v="2026-03-20T00:00:00"/>
        <d v="2026-04-23T00:00:00"/>
        <d v="2026-04-27T00:00:00"/>
        <d v="2026-03-26T00:00:00"/>
        <d v="2026-04-24T00:00:00"/>
        <d v="2026-05-04T00:00:00"/>
        <d v="2026-05-05T00:00:00"/>
        <d v="2026-04-19T00:00:00"/>
        <d v="2026-04-16T00:00:00"/>
        <s v="2026/4/2和2026/4/10"/>
        <d v="2026-04-29T00:00:00"/>
        <d v="2026-04-21T00:00:00"/>
        <s v="2026/4/14、2026/4/22"/>
        <d v="2026-05-07T00:00:00"/>
        <d v="2026-05-12T00:00:00"/>
        <d v="2026-05-10T00:00:00"/>
        <d v="2026-04-08T00:00:00"/>
        <d v="2026-04-11T00:00:00"/>
      </sharedItems>
    </cacheField>
    <cacheField name="费用申请时间" numFmtId="176">
      <sharedItems containsBlank="1" containsDate="1" containsMixedTypes="1" count="95">
        <d v="2025-05-05T00:00:00"/>
        <d v="2025-06-09T00:00:00"/>
        <d v="2025-06-18T00:00:00"/>
        <d v="2025-07-28T00:00:00"/>
        <d v="2025-08-11T00:00:00"/>
        <d v="2025-08-20T00:00:00"/>
        <d v="2025-08-19T00:00:00"/>
        <d v="2025-12-11T00:00:00"/>
        <d v="2025-12-09T00:00:00"/>
        <d v="2025-12-29T00:00:00"/>
        <d v="2025-11-27T00:00:00"/>
        <d v="2025-12-14T00:00:00"/>
        <d v="2025-12-15T00:00:00"/>
        <d v="2025-12-10T00:00:00"/>
        <d v="2025-12-16T00:00:00"/>
        <d v="2025-12-03T00:00:00"/>
        <d v="2025-10-22T00:00:00"/>
        <d v="2025-09-16T00:00:00"/>
        <d v="2025-12-18T00:00:00"/>
        <d v="2025-12-19T00:00:00"/>
        <d v="2025-12-22T00:00:00"/>
        <d v="2025-12-23T00:00:00"/>
        <d v="2025-12-24T00:00:00"/>
        <d v="2025-12-25T00:00:00"/>
        <d v="2025-12-26T00:00:00"/>
        <d v="2026-01-12T00:00:00"/>
        <d v="2025-12-30T00:00:00"/>
        <d v="2026-01-04T00:00:00"/>
        <d v="2026-01-05T00:00:00"/>
        <d v="2026-01-07T00:00:00"/>
        <d v="2026-01-08T00:00:00"/>
        <d v="2026-01-09T00:00:00"/>
        <d v="2026-02-12T00:00:00"/>
        <d v="2026-01-13T00:00:00"/>
        <d v="2026-01-15T00:00:00"/>
        <d v="2026-01-19T00:00:00"/>
        <d v="2026-01-16T00:00:00"/>
        <d v="2026-01-20T00:00:00"/>
        <d v="2026-01-21T00:00:00"/>
        <d v="2026-01-23T00:00:00"/>
        <d v="2026-01-26T00:00:00"/>
        <m/>
        <d v="2026-01-27T00:00:00"/>
        <d v="2026-02-10T00:00:00"/>
        <d v="2026-01-28T00:00:00"/>
        <d v="2026-01-30T00:00:00"/>
        <d v="2026-02-03T00:00:00"/>
        <d v="2026-02-02T00:00:00"/>
        <d v="2026-02-05T00:00:00"/>
        <d v="2026-02-06T00:00:00"/>
        <d v="2026-02-09T00:00:00"/>
        <d v="2026-02-11T00:00:00"/>
        <d v="2026-02-26T00:00:00"/>
        <d v="2026-02-24T00:00:00"/>
        <d v="2026-02-25T00:00:00"/>
        <d v="2026-02-28T00:00:00"/>
        <d v="2026-03-02T00:00:00"/>
        <d v="2026-03-03T00:00:00"/>
        <d v="2026-03-04T00:00:00"/>
        <d v="2026-03-05T00:00:00"/>
        <s v="、"/>
        <d v="2026-03-09T00:00:00"/>
        <d v="2026-03-06T00:00:00"/>
        <d v="2026-03-11T00:00:00"/>
        <d v="2026-03-12T00:00:00"/>
        <d v="2026-03-13T00:00:00"/>
        <d v="2026-03-16T00:00:00"/>
        <d v="2026-03-17T00:00:00"/>
        <d v="2026-03-19T00:00:00"/>
        <d v="2026-03-20T00:00:00"/>
        <d v="2026-03-15T00:00:00"/>
        <d v="2026-03-23T00:00:00"/>
        <d v="2026-03-24T00:00:00"/>
        <d v="2026-03-25T00:00:00"/>
        <d v="2026-03-26T00:00:00"/>
        <d v="2026-03-27T00:00:00"/>
        <d v="2026-04-03T00:00:00"/>
        <d v="2026-04-07T00:00:00"/>
        <d v="2026-04-08T00:00:00"/>
        <d v="2026-04-10T00:00:00"/>
        <d v="2026-04-13T00:00:00"/>
        <d v="2026-04-14T00:00:00"/>
        <d v="2026-04-15T00:00:00"/>
        <d v="2026-04-16T00:00:00"/>
        <d v="2026-04-20T00:00:00"/>
        <d v="2026-04-21T00:00:00"/>
        <d v="2026-04-23T00:00:00"/>
        <d v="2026-04-28T00:00:00"/>
        <d v="2026-05-06T00:00:00"/>
        <d v="2026-05-08T00:00:00"/>
        <d v="2026-05-09T00:00:00"/>
        <d v="2026-05-11T00:00:00"/>
        <d v="2026-05-13T00:00:00"/>
        <d v="2026-05-14T00:00:00"/>
        <d v="2026-05-15T00:00:00"/>
      </sharedItems>
    </cacheField>
    <cacheField name="费用类型" numFmtId="0">
      <sharedItems containsBlank="1" count="12">
        <s v="商务扣款"/>
        <m/>
        <s v="堆存费减免"/>
        <s v="集装箱滞箱费用"/>
        <s v="滞期费"/>
        <s v="退货费用"/>
        <s v="堆存费"/>
        <s v="退货"/>
        <s v="港杂费"/>
        <s v="保险费"/>
        <s v="滞期费/堆存费"/>
        <s v="滞期费、堆存费"/>
      </sharedItems>
    </cacheField>
    <cacheField name="主题" numFmtId="0">
      <sharedItems containsBlank="1" count="247">
        <s v="关于福建省邵武市华龙饲料有限公司商务扣款说明"/>
        <s v="JZXYMGXXJ250003广西福祺保毒素箱子毒素超标扣款说明"/>
        <s v="关于龙岩华龙扣款说明"/>
        <s v="关于龙岩鑫华港饲料有限公司扣款说明"/>
        <s v="关于武平鑫龙港饲料有限公司扣款说明"/>
        <s v="福建省龙岩市华龙饲料有限公司"/>
        <s v="双胞胎（集团）股份有限公司"/>
        <s v="漳州温氏农牧有限公司"/>
        <s v="正大原料供应有限公司"/>
        <s v="漳州海大饲料有限公司"/>
        <s v="四川新希望贸易有限公司"/>
        <s v="丰顺县海新饲料有限公司"/>
        <s v="广东粮品农产品经验有限公司"/>
        <s v="关于“丰秀海”进口大麦合同堆存费减免事宜"/>
        <s v="广东泰德饲料有限公司扣款"/>
        <s v="郴州大北农饲料有限公司扣款"/>
        <s v="英德天农饲料有限公司扣款"/>
        <s v="关于安佑集团结算扣价"/>
        <s v="双胞胎（集团）股份有限公司扣款"/>
        <s v="鹤山市广顺饲料有限公司"/>
        <s v="阳江双胞胎饲料有限公司"/>
        <s v="茂名海航饲料有限公司"/>
        <s v="福建湘大骆驼饲料有限公司"/>
        <s v="广西南宁央卓粮食贸易有限公司"/>
        <s v="广西柳州桂柳牧业有限公司"/>
        <s v="徐闻县京基智农时代有限公司"/>
        <s v="广州顺泽粮食贸易有限公司"/>
        <s v="关于南宁海大杂质超标扣款"/>
        <s v="关于潘钟明、余剑玲、黄东宇、林雪清、许忠炯、广东双谷、双胞胎陈粮合同折价的情况说明"/>
        <s v="关于福建省南平市悠农饲料有限公司商务扣款的申请"/>
        <s v="漳州港集装箱7-11月超期费用的说明"/>
        <s v="关于永安鑫华港饲料有限公司商务扣款的申请"/>
        <s v="关于广东域强YMYXMM250594陈粮合同折价的情况说明"/>
        <s v="河南牧原粮食贸易有限公司扣款说明"/>
        <s v="有关漳州大北农农牧科技有限公司玉米商务扣款事项"/>
        <s v="有关正大原料供应有限公司玉米商务扣款事项"/>
        <s v="有关福建湘大骆驼饲料有限公司玉米商务扣款事项"/>
        <s v="有关三明市丰源饲料有限公司玉米商务扣款事项"/>
        <s v="有关福建省金同星汇贸易有限公司玉米商务扣款事项"/>
        <s v="关于安徽正康饲料有限责任公司扣款的说明"/>
        <s v="关于YMZSJDGJZX250422合同扣款说明"/>
        <s v="关于贵州漓源饲料有限公司YMZSJDKHLY250180扣款的请示"/>
        <s v="温氏集团扣款情况说明"/>
        <s v="关于茂名响亮 YMYXMM250391 质量扣款的情况说明"/>
        <s v="关于茂名金源 YMYXMM250392 质量扣款的情况说明"/>
        <s v="关于YMZSJJM25081玉米杂质超标扣款费"/>
        <s v="有关三明海大饲料有限公司玉米商务扣款事项"/>
        <s v="有关营口长源物流供应链管理有限公司玉米商务扣款事项"/>
        <s v="关于播恩集团股份有限公司 JCYMZSJDG25053-1 扣款的请示"/>
        <s v="有关福建省邵武市华龙饲料有限公司玉米商务扣款事项"/>
        <s v="福清双胞胎饲料有限公司"/>
        <s v="关于公益港超期费用(安通)"/>
        <s v="海南省粮油产业有限公司"/>
        <s v="三明海大饲料有限公司"/>
        <s v="关于苏湾集装箱滞期费说明"/>
        <s v="关于申请承担集装箱滞箱费用的联系单"/>
        <s v="关于韶关市漓源饲料有限公司 YMZSJDKHLY250195 扣款的请示"/>
        <s v="成都德康动物健康技术服务有限公司扣款"/>
        <s v="关于双胞胎JZXYMZSJQY250113结算扣款"/>
        <s v="海南胜飞贸易有限公司商务扣款说明"/>
        <s v="关于客户潘钟明结算数量的说明"/>
        <s v="关于进口堆存费抵扣联系单"/>
        <s v="JCYMZSJQY250011-1联系单"/>
        <s v="关于正大原料供应有限公司内贸玉米业务商务的说明"/>
        <s v="关于合同号JZXYMLCYDG251207扣款说明"/>
        <s v="关于支付集装箱押车费用的申请"/>
        <s v="茂名正辉--关于“炜业68V2507“轮玉米质量扣款情况说明"/>
        <s v="有关成都东方希望农业有限公司玉米商务扣款事项"/>
        <s v="关于宾阳通威饲料有限公司内贸玉米商务的说明"/>
        <s v="关于南宁通威生物科技有限公司内贸玉米商务的说明"/>
        <s v="有关深圳市凌念网络科技有限公司玉米商务扣款事项"/>
        <s v="关于广西园丰牧业集团股份有限公司玉米水分商务扣款"/>
        <s v="关于合同号 JZXYMLCYDG251212扣款说明"/>
        <s v="关于钦州播恩生物YMGXQZ250315合同商务扣款"/>
        <s v="关于 揭阳国雄饲料有限公司YMZSJJY250195合同商务 扣款"/>
        <s v="关于广东嘉好农产品有限公司 YMZSJXXW260001 扣款的请示"/>
        <s v="关于赣州联多利饲料科技有限公司YMZSJHD250050退货64.56吨情况说明"/>
        <s v="关于阳春温氏、阳东温氏扣款的说明"/>
        <s v="关于丰顺海新商务扣款"/>
        <s v="关于合同号YMZSJDGJZX250427扣款的请示"/>
        <s v="关于钦州播恩生物YMGXQZ250317合同商务扣款"/>
        <s v="关于开平市绿皇JZXYMZSJJM26001合同商务扣款"/>
        <s v="关于“中恒顺丰/2533“轮玉米质量扣款情况说明"/>
        <m/>
        <s v="关于南宁金陵力源饲料有限公司YMGXNN260007玉米散粮合同部分退货事宜"/>
        <s v="关于成都德康动物健康技术服务有限公司扣款的说明"/>
        <s v="关于郴州大北农饲料科技有限公司扣款的说明"/>
        <s v="关于南宁大北农饲料科技有限责任公司扣款的说明"/>
        <s v="关于贵港湘大骆驼饲料有限公司扣款说明"/>
        <s v="关于成都东方希望农业有限公司商务处理说明"/>
        <s v="关于双胞胎（集团）股份有限公司玉米商务扣款说明"/>
        <s v="关于广东九联禽业养殖有限公司玉米商务扣款说明"/>
        <s v="关于贵港瑞康YMZSJJMYX25052、YMZSJJMYX25057和YMZSJJMYX25050的物流费用扣款"/>
        <s v="关于贵港瑞康YMZSJM25103合同玉米杂质超标扣款"/>
        <s v="关于正大贸易（中国）有限公司玉米商务扣款说明"/>
        <s v="有关南平华农恒青农牧有限公司玉米商务事项"/>
        <s v="有关福州海龙生物科技有限公司玉米商务事项"/>
        <s v="关于合同号JZXYMDG26003扣款的请示"/>
        <s v="关于 YMZSJDG250415 扣款的请示"/>
        <s v="关于 YMZSJDG250414 扣款的请示"/>
        <s v="关于 YMZSJDG250446 扣款的请示"/>
        <s v="关于JZXYMDG26007合同结算说明"/>
        <s v="关于合同号JZXYMLCYDG251208扣款的请示"/>
        <s v="关于合同号JZXYMLCYDG251209扣款的请示"/>
        <s v="关于河南牧原粮食贸易有限公司 YMGXNN250144 玉米散粮合同扣款事宜"/>
        <s v=" 关于南宁海大生物科技有限公司商务处理的说明"/>
        <s v="关于JCYMZSJJM25006-4玉米杂质超标扣款费用"/>
        <s v="关于YMZSJJM25084玉米杂质超标扣款费用"/>
        <s v="关于“炜业19”轮玉米品质问题及商务扣款的申请"/>
        <s v="关于粮品JZXYMZSJM26002合同玉米杂质超标扣款"/>
        <s v="关于粮品JZXYMZSJJM26009合同玉米杂质超标扣款"/>
        <s v="关于金钱农牧（广西）有限公司玉米水分商务扣款"/>
        <s v="关于广西柯特农业发展YMGXQZ250314合同商务扣款"/>
        <s v="关于贵港市漓源饲料有限公司YMZSJDKHLY250202扣款的请示"/>
        <s v="关于北流市响亮饲料有限公司YMZSJDKHLY250206 扣款的请示"/>
        <s v="关于正大原料供应有限公司YMZSJJY250204 扣款的请示"/>
        <s v="有关正大贸易（中国）有限公司玉米商务扣款事项"/>
        <s v="有关将乐温氏家禽有限公司玉米商务事项"/>
        <s v="关于 YMZSJDG26010 扣款的请示"/>
        <s v="关于合同号JZXYMDG26016扣款的请示"/>
        <s v="关于广州市禾润兴饲料有限公司退货的申请"/>
        <s v="关于清远大北农生物科技有限公司扣款说明"/>
        <s v="关于关于广州顺泽粮食贸易有限公司扣款说明"/>
        <s v="关于合同号JZXYMLCYDG251210扣款的请示"/>
        <s v="正大康地阳江饲料有限公司"/>
        <s v="广东凤凰饲料有限公司"/>
        <s v="茂名湘大骆驼饲料有限公司"/>
        <s v="关于合同号JZXYMDG26014扣款的请示"/>
        <s v="关于海南省粮油产业有限公司商务扣款说明"/>
        <s v="关于广西辽大农业科技股份有限公司YMGXNN250131玉米散粮合同扣款请示"/>
        <s v="关于赣州湘大骆驼饲料有限公司扣款说明"/>
        <s v="关于梅州大北农 YMZSJJY250224 扣款"/>
        <s v="关于 JCYMZSJDG25051-1 扣款的请示"/>
        <s v="关于福州海龙生物科技有限公司商务处理说明"/>
        <s v="关于 YMZSJDG250412 扣款的请示"/>
        <s v="关于正大集团执行内贸玉米商务情况的说明"/>
        <s v="关于YMZSJDG250500扣款的请示"/>
        <s v="关于合同号JZXYMDG26018扣款的请示"/>
        <s v="关于英海JZXYMZSJJM26005的水分超标扣款"/>
        <s v="有关漳州温氏农牧有限公司进口大麦堆存费用减免说明"/>
        <s v="关于永州市漓源饲料有限公司YMZSJDKHLY260001扣款的请示"/>
        <s v="关于梧州柳新农牧科技有限公司YMZSJDKHLY250204扣款的请示"/>
        <s v="关于福建圣农发展（浦城）有限公司商务扣款说明"/>
        <s v="关于圣农发展（政和）有限公司商务扣款说明"/>
        <s v="关于JZXYMDG26017合同结算说明"/>
        <s v="关于JZXYMDG26015合同结算说明"/>
        <s v="关于南平海大生物科技有限公司商务处理说明"/>
        <s v="关于温氏扣款情况说明"/>
        <s v="关于温氏在锦鑫 6 轮 2601 航次下的扣款情况说明"/>
        <s v="关于广东嘉好执行内贸玉米商务情况的说明"/>
        <s v="关于茂名通威JCYMYXMM260005-1质量扣款的情况说明"/>
        <s v="关于清远加乐饲料有限公司扣款说明"/>
        <s v="关于终止福建省金同星汇贸易有限公司进口大麦合同的申请"/>
        <s v="关于苏州穗满德YMYXMM260016质量扣款的情况说明"/>
        <s v="关于钦州海大桂柳生物内贸玉米商务情况的说明"/>
        <s v="关于堆存费申请减免说明"/>
        <s v="有关漳浦县海新饲料科技有限公司玉米商务扣款事项"/>
        <s v="关于广西兴安扬翔JCYMZSJJM25007-4的货物质量扣款"/>
        <s v="关于钦州播恩生物技术YMGXQZ260004合同商务扣款"/>
        <s v="关于南宁通威执行内贸玉米商务情况的说明"/>
        <s v="关于韶关海大生物科技有限公司合同扣款说明"/>
        <s v="关于广州顺泽JZXYMZSJQY260022合同扣款说明"/>
        <s v="关于YMZSJDG26001扣款的请示"/>
        <s v="关于 YMZSJDG26002 扣款的请示"/>
        <s v="关于双胞胎 YMYXMM250880 在“中恒顺丰/2602”质量扣款的情况说明"/>
        <s v="关于双胞胎 YMYXMM250880 在“锦江河/2523”质量扣款的情况说明"/>
        <s v="关于 YMZSJJY250221 扣款"/>
        <s v="关于 YMZSJJY250228 扣款"/>
        <s v="海口金长城饲料有限公司扣款说明"/>
        <s v="关于福建省金华龙饲料有限公司商务处理说明"/>
        <s v="关于福建省福清华龙饲料有限公司商务处理说明"/>
        <s v="关于广西诚轩粮汇贸易有限公司玉米水分商务扣款"/>
        <s v="关于广西忠昇饲料有限公司 YMLDW2603033001 玉米集装箱合同扣款请示"/>
        <s v="关于北流响亮 YMYXMM260008-1 在“益嘉 98/2534”质量扣款的情况说明"/>
        <s v="关于北流响亮 YMYXMM260008-1 在“锦江河/2523”质量扣款的情况说明"/>
        <s v="关于揭阳市温氏畜牧有限公司YMZSJJY250230扣款"/>
        <s v="关于丰顺县海新饲料有限公司YMZSJJY250216商务扣款"/>
        <s v="关于丰顺县海新饲料有限公司YMZSJJY250227商务扣款"/>
        <s v="关于苏州穗满德国际贸易有限公司商务扣款"/>
        <s v="关于江门市领宝饲料有限公司垫付柜子的费用联系单"/>
        <s v="关于广州市天伟生物科技有限公司垫付柜子的费用联系单"/>
        <s v="关于 YMZSJM25083 配送玉米船期超期费用"/>
        <s v="关于温氏配送合同产生滞期费用情况说明"/>
        <s v="海大商务扣款"/>
        <s v="贵港万千执行内贸玉米商务"/>
        <s v="广西绿永内贸玉米商务"/>
        <s v="宾阳通威执行内贸玉米商务"/>
        <s v="有关南平海大生物科技有限公司玉米商务事项"/>
        <s v="有关龙岩大北农生物科技有限公司玉米商务扣款事项"/>
        <s v="有关丰顺温氏家禽有限公司玉米商务扣款事项"/>
        <s v="有关揭阳海大饲料有限公司玉米商务扣款事项"/>
        <s v="关于贵港瑞康YMZSJM26013合同的质量扣款"/>
        <s v="关于福州市农益森农业发展有限公司商务扣款说明"/>
        <s v="广东比利美英伟结算扣款"/>
        <s v="关于南平鑫华港饲料有限公司商务处理说明"/>
        <s v="清远加乐JZXYMZSJQY260018合同结算扣款"/>
        <s v="关于广东正钱饲料有限公司YMZSJDKHLY250166扣款的请示"/>
        <s v="关于清远正清源畜牧实业有限公司YMZSJDKHLY250168扣款的请示"/>
        <s v="关于 YMZSJDG26016 合同扣款的请示"/>
        <s v="关于 YMZSJDG26011合同结算说明的请示"/>
        <s v="关于 YMZSJDG26050合同结算说明的请示"/>
        <s v="有关漳州市海扬饲料有限公司玉米商务扣款事项"/>
        <s v="有关漳州市海力饲料有限公司玉米商务扣款事项"/>
        <s v="关于清远大北农YMZSJQY260021合同结算扣款"/>
        <s v="关于广东新粮实业有限公司新粮饲料厂退货的申请"/>
        <s v="关于双胞胎集团&quot;安娜格&quot;轮上进口大麦堆存费减免的申请"/>
        <s v="关于贵港瑞康饲料有限公司的配送船只超期费用联系单"/>
        <s v="关于黄敏杰代付过磅费的费用联系单"/>
        <s v="关于四会南江港超期费用联系单"/>
        <s v="关于四会南江运单 Q091390933 的滞期费联系单"/>
        <s v="关于广东粮品农产品经营有限公司港杂费扣款联系单"/>
        <s v="关于广东粮品JZXYMZSJM26021合同保险扣款联系单"/>
        <s v="关于南平市丰源饲料有限公司商务处理说明"/>
        <s v="关于宁德鑫华港饲料有限公司商务处理说明"/>
        <s v="关于圣农发展（政和）有限公司商务处理说明"/>
        <s v="广东新粮实业有限公司新粮饲料厂扣款情况说明"/>
        <s v="关于赣州联多利饲料科技有限公司YMZSJHD260078-8退货64.5吨情况说明"/>
        <s v="关于新会新港堆存费和滞箱费联系单"/>
        <s v="关于新会新港费用联系单"/>
        <s v="关于福建省邵武市华龙饲料有限公司商务处理说明"/>
        <s v="有关福建省莆田市新兴达饲料有限公司玉米商务事项"/>
        <s v="关于钦州播恩生物YMGXQZ260030合同毒素扣款商务"/>
        <s v="关于正大原料供应有限公司 YMZSJJY250232 扣款"/>
        <s v="有关圣农发展（政和）有限公司玉米退货事项"/>
        <s v="有关圣农玉米退货事项"/>
        <s v="关于 丰顺县海新饲料有限公司 扣款"/>
        <s v="关于广东粮品 JZXYMZSJJM26039 的质量扣款联系单"/>
        <s v="关于广东粮品 JZXYMZSJJM26046 的质量扣款联系单"/>
        <s v="关于贺州市京基智农饲料有限公司“北方勇士”轮上进口大麦堆存费减免的申请"/>
        <s v="关于广东新粮JZXYMZSJJM26054合同在新会新港的滞期费联系单"/>
        <s v="关于广东京基智农科技有限公司“北方勇士”轮上进口大麦堆存费减免的申请"/>
        <s v="关于双胞胎 YMYXMM260086 合同质量扣款的情况说明"/>
        <s v="关于双胞胎 YMYXMM260095 合同质量扣款的情况说明"/>
        <s v="关于广东新粮 JZXYMZSJJM26035 合同保险扣款联系单"/>
        <s v="关于开平绿皇 JZXYMZSJJM26051 合同堆存费联系单"/>
        <s v="关于梅州海大生物科技有限公司 JCYMZSJJY250156-1 扣款"/>
        <s v="湛江海大饲料有限公司"/>
        <s v="广垦生物科技（化州）有限公司"/>
        <s v="湛江粮友贸易有限公司"/>
        <s v="关于中谷 4 月份滞箱费及堆存费的申请联系单"/>
        <s v="有关海新集团玉米商务扣款事项"/>
        <s v="有关中牧（上海）粮油有限公司玉米商务扣款事项"/>
        <s v="关于开平绿皇 JZXYMZSJJM26056 合同在三埠港的滞期费和堆存费联_x000a_系单"/>
        <s v="关于禾润兴 JZXYMZSJJM26038 合同质量扣款联系单"/>
        <s v="关于嘉好YMYXZJ260058扣款函申请"/>
        <s v="关于莆田温氏家禽有限公司商务处理说明"/>
        <s v="关于高州安佑 YMYXMM260109 合同质量扣款的情况说明"/>
      </sharedItems>
    </cacheField>
    <cacheField name="内容" numFmtId="0">
      <sharedItems containsBlank="1" count="292" longText="1">
        <s v="    兹有我司与福建省邵武华龙饲料有限公司签订《粮食销售合同》，合同号：YMFJFZ250015，合同数量3000吨，单价2240元/吨，截止2025年4月5日接货完毕。该合同提货2987.12吨，其中3月26日提货6车共计209.97吨，到货检测指标较差（杂质1.6%，霉变3.6%），经双方协商一致，退货转扣款接收，扣款10元/吨共计2099.7元，折合合同扣款0.7元/吨。_x000a_    以上扣款，对应内部发运散船航安顺/2507，是否可行，请领导批示。"/>
        <s v="该批保毒素箱子21个，总计554.97吨，计划交付广西福祺饲料有限公司保毒素合同（合同号：JZXYMGXXJ250003），4月21日和4月25日从北方发出，5月3日至5月8日抵达贵港港（运单号：AUVTNTW250238777、ASNCLTL250258834），计划号YHSZ-25-032021。5月13日至5月15日全部提完。到厂检测毒素超标，7个箱子毒素指标在1100-1300ppb之间，14个箱子毒素指标在1400-1900ppb之间。我部及时与玉米品种线联系并向大区反映情况，后经大区协调，现场取样邮至北良港检测公司董乾仕复检，四个集装箱（ATHU1009372、ATHU1078877、FBIU0022667、FBIU0003991）分两个样品毒素检测结果值为1491ppb和1729ppb。下游客户要求商扣50元/吨，经我司协商最终扣20元/吨，总计11099.4元。"/>
        <s v="我司与福建省龙岩市华龙饲料有限公司于2025年05月09日签署生效的《粮食销售合同》（合同编号：JZXYMFJZZ250004)，合同数量480吨，合同单价2420元/吨，截止至2025年06月04日，该合同累计提货471.075吨，客户于2025年5月17日接收玉米，检测呕吐毒素超标；检测容重未达标，合计产生扣款2704.76元，整批次提货471.075吨，折单吨扣款5.74元/吨"/>
        <s v="我司与龙岩鑫华港饲料有限公司于2025年05月09日签署生效的《粮食销售合同》（合同编号：JZXYMFJZZ250005)，合同数量420吨，合同单价2420元/吨，截止至2025年05月20日，该合同累计提货414.4吨，检测有呕吐毒素超标；检测容重未达标，以上情况合计产生扣款2204.80元，整批次提货414.4吨，折单吨扣款5.32元/吨"/>
        <s v="我司与武平鑫龙港饲料有限公司于2025年05月09日签署生效的《粮食销售合同》（合同编号：JZXYMFJZZ250006)，合同数量220吨，合同单价2420元/吨，截止至2025年05月18日，该合同累计提货221.905吨，检测容重未达标，合计扣款1071.40元，整批次提货221.905吨，折单吨扣款4.83元/吨"/>
        <m/>
        <s v="丰顺县海新饲料有限公司，2025年11月12日签订《粮食销售合同(赊销)》(合同编号:YMZSJJY250170)，数量 500 吨，单价 2320 元/吨，该合同已累计交货 496吨，(其中 11月 20日3 车车号:赣 C5615D，重量 31.7吨，车号:粤 V05263,重量 33.77 吨，车号:粤 VN1708，重量 34.84吨，合计:100.31 吨)到货玉米经检验杂质 1.2%杂质和破碎粒超出合同约定指标(杂质≤1%),不符合客户接受指标。针对该批次到厂不合格玉米，经双方友好协商处理后，退货转扣款接收。经双方友好协商处理后，退货转扣款接收，合计扣款 1003.1元 折合10元/吨。"/>
        <s v="丰顺县海新饲料有限公司,于2025年11月20日签订《粮食销售合同》(合同编号:YMZSIIY250177)，数量 500 吨，单价 2340 元/吨,该合同已累计交货 495.46吨，(其中12月2日4车车号:粤 BGT302,重量 34.97 吨，车号:赣C4M573，重量 36.5吨，车号:粤D28948，重量 38.6吨，车号:赣C7N367,重量 43.52 吨合计:153.59 吨)到货玉米经检验杂质 1.2%杂质和破碎粒超出合同约定指标(杂质≤19)，不符合客户接受指标。针对该批次到厂不合格玉米，经双方友好协商处理后，退货转扣款接收。"/>
        <s v="经双方友好协商处理后，退货转扣款接收，合计扣款 1535.9元 折合10 元/吨。"/>
        <s v="广东粮品农产品经验有限公司，于2025 年9月25 日签订的《粮食销售合同》合同编号:JZXYMZSJJM25047)合同数量 351 吨,合同单价 2460 元/吨，计划号 YHSZ-25-072128，运单号 AYWWCRX250607901A，共13 柜，截止到9月 29 日该合同下货物已提货完毕。其中 6柜玉米分别存在霉变和生虫的现象:_x000a_(1)TAHU1162503和ATHU1046083，26.73和7.78，霉变超标，扣款 50 元/吨                                        (2)ATHU1046083、ATHU1265939、ATHU1303556、ATHU1246651和ATHU1103202卸重分别为 26.86、26.85、26.9和 27.21，存在生虫现象，扣款 50 元/吨合计扣款金额为:7965.9元。"/>
        <s v="“丰秀海”因十一期间海关无法审批调运，且防城港华粮库停止作业，故申请提货延期8天：_x000a_1、广西农垦永新畜牧集团金光有限公司进口大麦合同JKDMGX250010（2100吨，9月30日申请提货）于10月10日至11日9日提货完毕，延期后产生堆存费2852.92元（帮我司清理尾货时产生1264.74元）。_x000a_2、广西华港农牧发展有限公司进口大麦合同JKDMGX250015（500吨，9月30日申请提货）于10月10至11月7日提货完毕，延期后产生堆存费2412.27元（帮我司清理尾货时产生795.34元）。_x000a_现申请减免清理尾货产生的堆存费用，堆存费变更为：广西农垦永新畜牧集团金光有限公司1588.18元，广西华港农牧发展有限公司1616.93元。请领导审批。"/>
        <s v="广东泰德饲料有限公司于11月12日签订国产内贸合同(合同号YMZSJQY250219，合同量1000 吨，单价 2320 元/吨)，该合同为吉林经营部与我司珠三角经营部协同发往英德站的保1000 毒素玉米，客户于 11月19 日开始提货其中，有6车玉米呕吐毒素超出合同第二条:质量标准中:呕吐毒素&lt;1000ug/kg的约定，具体明细如下:经过双方友好协商，决定对该批次不合格的玉米进行扣款处理，经沟通，毒素超示的部分扣款一共 5451.6 元由上游吉林经营部承担。"/>
        <s v="郴州大北农饲料科技有限公司于 11月11日签订国产内贸合同(合同号YMZSJQY250205，合同量 800 吨，单价 2250 元/吨)，客户于 11月21 日开始提货我司麻涌港:国家能源 610/2511 轮玉米，现有部分玉米到厂后，出现杂质超标情况，明细如下:除湘 LB8781 提货杂质为 1.19%扣款 10 元/吨外，其余车辆杂质综合达到2.21%，该合同第二条质量标准约定:杂质≤1.0%，经过双方友好协商，决定对该批次不合格的玉米进行扣款处理，请领导审批。经沟通，该批次货物扣款共计:6649元。"/>
        <s v="英德天农饲料有限公司，2025 年11月15日签订的《粮食销售合同》(合同编号:YMZSJQY250179)合同数量 1000 吨，合同单价 2310 元/吨，根据签订的《粮食销售合同》第二条款约定的质量标准，交付的玉米标准应当符合如下约定:“容重2685g儿L，水分≤15.0%，杂质≤1.0%，霉变粒≤2.0%，呕吐毒素≤1000ug/kg，”。客户提货我司从北方发运散改基玉米，2025年11月16日至24日到厂柜号:5588171、0809541、330766、6457540、0733826，共受委托承运供方玉米 120.01 吨，合同单价 2310 元/吨，到需方英德天农工厂，经品管技术部门抽样不达合同约定标准，经供需双方友好协商，需方同意2车玉米折价收货。其中 5588171、0809541柜毒素超标:1493.99、1147.01，双方友好协商折价 30元/吨，结算即 2280 元/吨为准;330766柜毒素超标:1081.93，双方友好协商折价5元/吨，结算即 2305 元/吨为准;6457540、0733826柜毒素超标:1066.21、1024.4，双方友好协商折价5元/吨，结算即 2305 元/吨为准。合计扣款1344.8元"/>
        <s v="苏州穗满德国际贸易有限公司，2025年11月13日签订的《粮食销售合同》(合同编号:JCYMZSJQY250029-1)合同数量1500吨，合同单价2302元/吨，提货新沙港国远86、中瑞祥79，三车到厂检测霉变为2.5%超出合同约定的标准，合计98.38吨，申请每吨扣款20元，扣款20元*98.38吨=1967.6元。"/>
        <s v="客户在对应外采船“锦富航 69/2530”轮提货过程中，反馈 706.74 吨玉米感官有黑粒，霉变超标，存在质量不合格问题，经饲料厂人员取样检测并复查，霉变达 2.3%，合同约定质量标准：霉变粒≤2%，不符合合同规定。经我部与客_x000a_户多次协商，秉承长期友好合同原则，共申请扣款 14134.8 元，单吨扣款 20 元/吨"/>
        <s v="鹤山市广顺饲料有限公司，于 2025 年 09 月 28 日签订的《粮食销售合同》合同编号:JZXYMZSJJM25048)合同数量 150 吨,合同单价 2400 元/吨，计划号JZXYMSZCG250076 和YHSZ-25-072128，运单号Q085591683和AYWWCRX250607901A，共6柜，截止到 10月 3日该合同下货物已提货完毕。_x000a_1、柜号 XYLU1060398，卸厂数 26.42 吨，水湿发霉，发热结块严重，价格按 1700 元/吨结算，已报保险，保险承担8800元。_x000a_2、柜号 00CU0908616和 ATHU1168857,卸厂数分别为 26.403和 9.9(半柜)，发热发霉价格按 2330 元/吨结算，其中00CU0908616已报保险，保险承担9920元。合计扣款金额为:18494+2541.21=21035.21元，已报保险，保险承担18720元."/>
        <s v="我司于2025年9月18日与阳江双胞胎饲料有限公司签订了玉米内贸合同YMYXYJ250166，签订主体为中粮贸易（深圳）有限公司。合同总量为1000吨，单价为2440元/吨，实际执行量为949.18吨。具体提货情况如下：在锦航万盛/2522船上提货473.68吨，在鑫晟奋发/2523船上提货475.50吨。合同约定标准：呕吐毒素含量不得超过1000PPB。_x000a_在2025年9月21日至2025年10月9日期间，客户提取了一批玉米（猪料），经检测，呕吐毒素含量在1131至1452之间，不符合合同约定的标准。考虑到双方后期的长期友好合作，对该批货物进行20元/吨的折价处理，总计折价金额为18938.6元。此次扣款已从预留的20000元中扣除。"/>
        <s v="在外采大船“天台 19/2518”轮提货过程中，160.05 吨存在有异常发热、有霉味、杂质超标的质量问题，杂_x000a_质达 3.7%，不符合同规定。经我司业务人员核实，检测结果确实存在。秉承长期友好合同原则，经我部与客_x000a_户多次友好协商后，做扣价 30 元/吨处理，申请扣款金额合计 4801.5 元，该船质量问题已报备饲料原料部。_x000a_由于该合同已经结算，申请在 YMYXMM250747 做抵扣"/>
        <s v="兹有我司与双胞胎（集团）股份有限公司签订《粮食销售合同》（合同号：YMFJFZ250147）合同数量1000吨，单价2310元/吨，合同约定呕吐毒素≤1000ppb。该合同实际接货1019.74吨，在提货过程中,出现部分车次呕吐毒素超标问题,扣款金额为 5264.4元,折合5.16元/吨。该批次提货对应军航码头散船瑞生16/2528轮（挑选出货），该批次销售为双胞胎集团下属工厂屏南双胞胎饲料有限公司，为首次开发工厂，客户扣款已在后续合同中以保毒素玉米价格加价给我司（YMFJFZ250188合同，1000吨，2425元/吨，加价16元/吨）。"/>
        <s v="客户名：广西南宁央卓粮食贸易有限公司,合同号：JZXYMGXXJ250067,单价：2275元/吨，签订指标：容重_x000a_≥710g/l，水分≤14.5%，霉变≤2%，热损≤1%，杂质≤1%，不完善≤8%，呕吐毒素≤1000ppb，计划号：_x000a_YHSZ-25-092334，运单号：AWKTRTT250772047、APSFCQC250784002，11月14日开始提货，在交货时，_x000a_下反馈毒素超标，经我放人员核实并重新取样邮寄至北良华正检测（检测结果如附件），客户反馈共计16柜（444.08吨）毒素超标，每吨扣款60元/吨，经我部与客户多次友好协商后，对其中14_x000a_柜（389.55吨）做扣价 20 元/吨处理，即本合同扣款389.55吨*20元/吨=7791元，"/>
        <s v="合同号：YHYMGXXS250904003，客户名：广西柳州桂柳牧业有限公司，合同数量：700吨，单价：2390元/_x000a_吨 , 提货数量：692.22吨，该批粮源为扬翔退货货源，在发运时，船运已反馈杂质大、破碎高，到达白沙港_x000a_时，我部人员朱雪语，现场检查，情况属实，并伴有发霉发热现场。退回白沙库（提珠三角“国远705”船，驳_x000a_船名：贵港兴泰82）另行销售，在销售时按照市场行情正价销售，于9月5日-9月13日陆续提货，到厂收货时，客_x000a_户反馈其中472.15吨出现发霉，发热等现象，客户提出该部分每吨扣款60元接收，经过跟客户友好协商，每吨按_x000a_照30元进行扣款让步接收，即472.15元*30元/吨=14,164.5元"/>
        <s v="由于我方集中交货及不按船期发运，造成了客户提货压力大，客户已尽量在合同规定 20 天内完成大部分提货，但仍在第二船有部分超期，产生堆存费 979.56 元，经过与厂家多次友好协商，现申请对徐闻京基堆存费 979.56 元进行减免"/>
        <s v="一体化计划号:YHSZ-25-062402，YHSZ-25-062403，YHSZ-25-062404共销售广州顺泽粮食贸易有限公司115 柜，2025年7月11日签订的《粮食销售合同》(合同编号:YMZSJDG250122)合同数量 3000吨，合同单价 2440 元/吨，结算数量 3054.678 吨。该合同交货过程中 102 柜质量问题产生扣款合计扣款91846.45 元:_x000a_其中 82 柜发热有霉味扣款 30 元/吨让步降价处理;1柜发热发霉结块扣款 80 元/吨让步接收，1 柜箱内有垃圾，水湿结块，扣款 40 元/吨降价处理,1柜发热发霉,有虫扣款 60 元/吨让步接收,1柜容重 702ppb复测 696ppb,不达标扣款 10 元/吨，1柜容重 695ppb 不达标扣款 20 元/吨。"/>
        <s v="在珠三角提货，因交货为筒仓货物，交货时均为筒仓底部货物，杂质偏大"/>
        <s v="该合同交货过程中1柜箱号:OOLU2987138 箱底未干0.3 吨粘底卸不下来客户折价 1732 元/吨，扣款 519.6 元让步接收"/>
        <s v="因无陈粮库存交货，经多次反复沟通协商，以下打包厂、饲料厂陈粮合同剩余未提量在”佳升56/2521“、“锦江河/2519”、“海腾炜业6/2508”、“锦江河/2521”、“利泰朝阳/2524”新船执行，申请在新船执行量折价30元/吨，以下为具体明细"/>
        <s v="2025年10月27日我司与福建省南平市悠农饲料有限公司签订《粮食销售合同》(合同编号:YMLDW251027018)，数量1500吨，单价2260元/吨，该票集装箱计划号:YHSZ-25-092308-1、YHSZ-25-092308-2沈阳鑫封缘发至漳州港，合计11个柜，10月31日到港，11月13日提货反馈水分超标，箱内玉米发热，大面积结块，底下一层全部发黑发霉结块，福建经营部销售人员严代亮、沈业润第一时间到厂核实后将情况上报集装箱小组并已在质量反馈表上填报。经过友好协商，客户同意接货做扣款处理，该三组10柜数量为303.82吨，按照单吨扣款100元/吨，合计扣款30382元(附上客户商函及工厂收货现场照片)。"/>
        <s v="漳州销售部2025年7-11月累计完成集装箱玉米销售64,350吨，期间因粮源品质异常引发集装箱滞期费用。为"/>
        <s v="2025年10月20日我司与永安鑫华港饲料有限公司签订《粮食销售合同》(合同编号:JZXYMFJZZ250045)，数量685吨，单价2285元/吨，该票集装箱计划号:YHSZ-25-092307沈阳福满仓库发至漳州港，提单号:2G25098728090F，号:ZGXU2534719，该柜10月16日到港，10月27日提货反馈水分超标，发热有异味，经过友好协商，客户同意接货做扣款处理，该柜数量为28.37吨，按照单吨扣款50元/吨，合计扣款1418.5元(附上客户检验报告及扣款函)"/>
        <s v="广东域强粮油贸易有限公司YMYXMM250594，签订日期2025年10月15日，合同量2410元，单价2410元。该合同为陈粮合同，共提货1952.44吨。因无陈粮库存交货，经多次反复沟通协商，分别在”佳升56/2521“新船执行1863.78吨，在”锦江河/2521“新船执行88.66吨，现申请在新船执行量折价50元/吨，折价金额为97622元。"/>
        <s v="兹有我司与双胞胎（集团）股份有限公司签订《粮食销售合同》（合同号：YMFJFZ250174）合同数量2000吨，单价2335元/吨，合同约定呕吐毒素≤1000ppb。该合同实际执行2007.92吨，在提货过程中,出现部分车次呕吐毒素超标问题,该合同扣款金额为9919.4元,折合扣款4.94元/吨。该批次提货对应军航码头散船弘泰612/2524、华源盛/2529（挑选出货），该批次销售为双胞胎集团下属工厂屏南双胞胎饲料有限公司，为首次开发工厂，客户扣款已在后续合同中以保毒素玉米价格加价给我司（YMFJFZ250188合同，1000吨，2425元/吨，加价16元/吨）"/>
        <s v="我司与河南牧原粮食贸易有限公司于2025年11月3日签订的《粮食销售合同》（合同号： YMHN250282），合同数量285吨，合同单价2390元/吨（送到厂价）。截止目前到厂数量500吨，合同单价2330元/吨（送到厂价），合同约定水分≤15%。截止目前到货数量486.28吨，执行完毕。该合同货物在接卸过程中发现一车货物水分15.3%，不符合合同约定标准。此车玉米到厂数量32.32吨，经双方友好协商，此车玉米按5元/吨进行扣价接收，合计扣款¥161.6元。"/>
        <s v=" 我司与漳州大北农农牧科技有限公司于2025年11月19日签订《粮食销售合同（赊销）》（合同编号：YMFJZZ250298），数量1500吨，单价2350元/吨。该合同已累计提1300.32吨，客户于2025年11月月25日至11月26提货的提货玉米合计223.08吨，到货后检测出呕吐毒素超标、杂质的的情况，因我司与客户合同约定指标呕吐毒素指标≤1000ug/kg，杂质≤1.0%，经与工厂、物流等人员确认事实属实，经双方友好协商，该批次货物由退货转扣款接收。以上情况产生扣款5872.50元。"/>
        <s v="我司与正大原料供应有限公司于 2025 年8月27日签订《粮食销售合同》（合同编号：YMFJFZ250114 ），数量 500 吨，单价2400元/吨，合同约定杂质≤1%，不完善粒≤8%，呕吐毒素≤1000ug/kg。 客户于9月底前多次检测陈粮玉米利福开拓/2525轮上货物，但玉米毒素超过1500ug/kg，工厂无法使用，原计划交付正大的玉米我司改过筛对圣农集团玉米合同进行交付（交付JZXYMFJFZ250036合同，单价2600元/吨到厂，折算军航码头价格2500元/吨）。_x000a_ 对于正大集团因我司无法按时交付满足质量标准的货物，9月末与10月初市场持续跌价约150元/吨，客户计划取消该合同。后经双方友好协商，我司换新产季玉米于10月底开始交付，客户延期执行上述销售合同，客户预计对该合同换新产季玉米接收预计折价60元/吨，该合同折单价2340元/吨。_x000a_ 客户于2025年11月3日-11月19日提货的477.09吨玉米存在部分毒素超过1000ug/kg，杂质超标、破损较大的问题，存在品质扣款9,951.25元，折单吨20.8元/吨。所提货物匹配船：海百15/2523。_x000a_经双方多次沟通，客户对该批次货物进行折价接收，以上情况合计产生扣款38576.65元（大写：人民币叁万捌仟伍佰柒拾陆元陆角伍分）.该合同累计提货477.09吨，折单吨扣80.8元/吨。该合同我司为转新玉米对客户的合同进行交付,对于毒素扣款我司在前期销售时已加30元/吨，可覆盖品质扣款。_x000a__x000a_     以上扣款是否可行，烦请领导批示，谢谢。"/>
        <s v="我司与正大原料供应有限公司于 2025 年11月3日签订《粮食销售合同》（合同编号：YMFJZZ250273），数量 500 吨，单价2250元/吨。该合同已累计提505.74吨，客户2025年11月20日-11月26日接收的505.74吨玉米存在杂质超标、破损较大的问题。所提货物匹配船：宁兴18/2525。_x000a__x000a_     经双方友好协商，正大对该批次货物进行折价接收，以上情况合计产生扣款5240.75元（大写：人民币伍仟贰佰肆拾元柒角伍分），该批次累计提货505.74吨，合计折单吨扣款10.36元/吨。该合同销售时已加价10元/吨。_x000a__x000a_     以上扣款是否可行，烦请领导批示，谢谢。"/>
        <s v="我司与福建湘大骆驼饲料有限公司于 2025 年9月22日签订《粮食销售合同》（合同编号：YMFJZZ250287），数量 300 吨，单价2310元/吨。_x000a_客户2025年11月22日-11月23日接收的196.3吨玉米客户检测杂质偏大（杂质检测在1.1%-1.8%），部分车辆杂质超标,与客户多次进行协商后，客户扣款2224.53元接收，所提货物匹配船：宁兴18/2525。该合同累计提货295.02吨，折合单吨扣款7.5元/吨。_x000a__x000a_     福建湘大骆驼饲料有限公司对该批次货物进行折价接收，以上情况合计产生扣款2224.53元（大写：人民币贰仟贰佰贰拾肆元伍角叁分）。该合同签订_x000a__x000a_     以上扣款是否可行，烦请领导批示，谢谢。"/>
        <s v="我司与三明市丰源饲料有限公司于 2025 年10月22日签订《粮食销售合同》（合同编号：JZXYMFJFZ250080），数量 500 吨，单价2260元/吨。该合同已累计提货490.35吨，客户2025年10月25日-10月30日接收的102.52吨集装箱货物，因新玉米水分不稳定，到货存在发热情况，扣款60元/吨。_x000a_经双方友好协商，三明市丰源饲料有限公司对该批次货物进行折价接收，以上情况合计产生扣款6151.2元（大写：人民币陆仟壹佰伍拾壹元贰角），该批次累计提货490.35吨，合计折单吨扣款12.55元/吨。_x000a__x000a_     以上扣款是否可行，烦请领导批示，谢谢。"/>
        <s v="我司与福建省金同星汇贸易有限公司于 2025 年10月12日签订《粮食销售合同》（合同编号：JZXYMFJFZ250074），数量210吨，单价2345元/吨。该合同已累计提货209.155吨，客户2025年10月22日接收的集装箱CSNU2904028、CSNU2895414，因新玉米水分不稳定，到货存在发热情况，客户扣款接收。所提集装箱计划号：YHSZ-25-092310，禹泰库。该批集装箱10月18日到货。_x000a_经双方友好协商，福建省金同星汇贸易有限公司对该批次货物进行折价接收，以上情况合计产生扣款2,030.00 元（大写：人民币贰仟零叁拾），该批次累计提货209.155吨，合计折单吨扣款10元/吨。我司与客户签订该合同时间，已对比同期指导价格加价40元/吨进行销售，同时对后续批次交货进行挑选后出货，可覆盖扣款。"/>
        <s v="我司与安徽正康饲料有限责任公司于 2025 年6月26 日签订的《粮食销售合同》合同号 YMZSJQY250105，单价 2555 元/吨，数量 2000 吨，客户提货我司库存前移驳船:粤海 36 轮货物(该船清仓我司弘泰 819 货物1069.982吨+京粮/250115合同货物 209.72吨，装货时已出现粉尘较大、霉变现象，后续出现发热情况)，共计库存前移 1279.702吨，客户于8月 26 日开始提货到厂 299.94 吨,反馈提货时出现大量粉尘。于 2025年8月31 日开始到货共计 299.86 吨，到厂后发现该船玉米有出现大量的粉尘杂质，玉米都被淹没在粉尘杂质里，碎粒、粉尘占比达5.75%，同时经过测验:呕吐毒素测试分别为1231.04，1837.26，不符合客户合同签订指标中质量验收标准，我司销售人员9月去现场查看后，确认情况属实，后经过销售与客户沟通,又于9月 16 日协助我司提货 99.82 吨共计三车货物。粤海 36 轮剩余货物 350.92吨由于质量较差无法使用，为避免货物质量进一步受损，销售给韶关市源饲料有限公司(价格:2270 元/吨)，经过销售与客户沟通，客户原计划扣款100元/吨，现经过双方友好协商，客户共计提货699.62吨，申请对8月26日开始提货到厂的299.94吨扣款 40元/吨，对8月31 日和9月 16 日提货的玉米共计 399.68 吨，进行扣款 70 元/吨，共计扣款 299.94*40+399.68*70=39975.2元。请领导批示"/>
        <s v="我司与 中山市福大生物科技有限公司 于2025年 11月28日签署的粮食销售合同：YMZSJDGJZX250422（合同量：382吨，单价：2420元/吨）；客户提货到厂检测出现6个柜子出现容重低、毒素超标、水分超标情况（运单号：JZ21JZLX1454F7），对于该6个柜子扣款15元/吨处理，合计162.66吨*15元/吨=2439.9元；"/>
        <s v="我司于2025年11月6日与贵州漓源饲料有限公司签订内贸玉米合同，编号YMZSJDKHLY250180，数量1000吨，单价2240元/吨。_x000a_客户于南沙港东星海泰/077灌箱提货，提单号NSDXHT7725009，因工厂检测杂质偏高，综合平均杂质约2.99%。因对客户成品以及口碑造成影响，扣价15元/吨，需扣价:997.544*15=14963.16元。"/>
        <s v="2025年11月24日 我司与  信丰温氏畜牧有限公司  签订内贸玉米合同，协议号：YMZSJDKHWS250037，数量1500吨，单价2360元/吨。客户提麻涌港 东星海泰/078货物，报161.76吨货物赤霉烯酮（250ppb）超标，单吨扣价10元，合计扣款1617.6元。"/>
        <s v="2025年11月13日我司与   富川广东温氏畜牧有限公司  签订内贸玉米转让协议，合同号：YMZSJDKHWS250025-3 ，数量1000 吨，单价2290元/吨。客户提麻涌港 东星海泰/078，报189.68吨货物赤霉烯酮( 290 ppb)超标，属于折价接收范围，单吨扣价10元，合计扣款1896.8元。"/>
        <s v="2025年11月12日我司与  河源市温氏禽畜有限公司  签订内贸玉米转让协议，协议号：YMZSJDKHWS250025-2，数量1000吨，单价2290元/吨。客户提麻涌港 东星海泰/078货物，报29.2吨货物杂质（ 3.34 ）超标，属于折价接收范围，单吨扣价10元，合计扣款292元。"/>
        <s v="2025年11月13日 我司与  道县温氏畜牧有限公司  签订内贸玉米合同，合同号：YMZSJDKHWS250030 ，数量2500吨，单价2305元/吨。客户提麻涌港 国家能源610/2511货物，报1154.2吨货物 杂质（2.07-13.07）超标，属于折价接收范围，单吨扣价10元，合计扣款11542元。"/>
        <s v="2025年11月17日我司与  大余温氏畜牧有限公司  签订内贸玉米合同，协议号：YMZSJDKHWS250033，数量1000吨，单价2350元/吨。客户提麻涌港 国家能源610/2511货物，报549.32吨货物杂质（1.32%-1.67%）、呕吐毒素（2250-2440）和赤霉烯酮( 1734 ppb)超标，属于折价接收范围，单吨扣价15元，合计扣款8239.8元。"/>
        <s v="茂名响亮饲料有限公司 YMYXMM250391（合同量 3000 吨，单价 2406 元），合同约定呕吐毒素≤_x000a_1000ug/kg。该合同执行 3005.77 吨，在中心不保毒大船“鑫海城 1/2516”轮提货过程中，252.01 吨存在_x000a_毒素超标的质量问题，在 1025-1574ppb 之间，不符合同规定。经我司业务人员核实，检测结果确实存在。_x000a_秉承长期友好合同原则，经我部与客户多次友好协商后，做扣价 30 元/吨处理，申请扣款金额合计 7560.3_x000a_元。该扣款情况已报备饲料原料部。已在 YMYXMM250391 合同成交时预留 30 元/吨溢价处理质量扣款，_x000a_预留价差可覆盖扣款。由于该合同已经结算完毕，申请在 JZXYMYXMM250507 合同抵扣扣款"/>
        <s v="茂名金源生物科技有限公司 YMYXMM250392（合同量 2000 吨，单价 2409 元），合同约定呕吐毒素_x000a_≤1000ug/kg。该合同执行 1972.24 吨，安排在中心大船“鑫海城 1/2516、远泰 99/2521”轮提货不保毒_x000a_素玉米，1754.02 吨存在毒素超标的质量问题，在 1012-1350ppb 之间，不符合同规定。经我司业务人员核_x000a_实，检测结果确实存在。秉承长期友好合同原则，经我部与客户多次友好协商后，做扣价 20 元/吨处理，申_x000a_请扣款金额合计 35080.4 元。该扣款情况已报备饲料原料部。已在 YMYXMM250392 合同成交时预留 20_x000a_元/吨溢价处理质量扣款，预留价差可覆盖扣款。由于该合同已经结算完毕，申请在 YMYXMM250778 合同_x000a_抵扣。"/>
        <s v="江门市旺海饲料实业有限公司，于2025 年 11 月24 日签订的《粮食销售合同（赊销）》合同编号:YMZSJJM25081)合同数量2000吨,合同单价2373元/吨，配送船只粤新会货 8093存在玉米杂质超标扣款费用：_x000a_船号粤新会货8093，卸船重量995.958吨，该批玉米验收过程时检测出杂质为3.34%,超出合同标准1.34%,江门市旺海饲料实业有限公司提出该船折价20元/吨让步接收处理，总计费用：995.958*20=19919.16元。"/>
        <s v="我司与三明海大饲料有限公司于 2025 年10月20日签订《粮食销售合同》（合同编号：JZXYMFJFZ250075），数量500吨，单价2360元/吨。该合同已累计提498.07吨，客户2025年11月1日-2025年11月28日接收的167.16吨玉米存在水分超标发热、毒素超标等情况。所提货物匹配计划号：YHSZ-25-092324，宏泰源库；YHSZ-25-092311，禹泰库。_x000a_ 经双方友好协商，三明海大饲料有限公司对该批次货物进行折价接收，以上情况合计产生扣款5133.43元（大写：人民币伍仟壹佰叁拾叁元肆角叁分），该批次累计提货498.07吨，折单吨扣款10.3元/吨，因合同签订保呕吐毒素，前期已加价15元/吨进行销售，可涵盖扣款损失."/>
        <s v="我司与营口长源物流供应链管理有限公司于 2025 年10月13日签订《粮食销售合同》（合同编号：JZXYMFJFZ250072），数量 540吨，单价2300元/吨。合同约定杂质≤1%，不完善粒≤8%，呕吐毒素≤1000ug/kg。_x000a_客户于10月27日提货的集装箱经过水分检测均存在超15%的情况，部分集装箱有轻微发热的情况，根据检测结果，客户的对水分检测超15.5%的6柜集装箱，每吨扣款30元/吨接收，合计产生扣款4898.7元，折单吨扣款9元/吨。该批集装箱匹配计划号：YHSZ-25-092310，禹泰库。我司前期已对该批集装箱水分超标情况登记反馈。_x000a_因考虑到该客户为终端销售，该批次销售猪料客户，因此在销售时，已加价20元/吨进行销售，溢价可涵盖上述扣款损失。_x000a_以上扣款是否可行，烦请领导批示，谢谢。"/>
        <s v="客户于麻涌港东耀海泰提货，有一车（车号皖LD5749）32.40 吨玉米检测毒素不符合合同标准"/>
        <s v="我司与福建省邵武市华龙饲料有限公司于 2025 年7月14日签订《粮食销售合同》（合同编号：YMFJFZ250086），数量3000吨，单价2410元/吨。该合同累计提货3119.12吨，客户2025年8月14日-2025年9月13日接收的1084.11吨玉米，出现杂质及霉变超标情况，客户原诉求扣款51398.46元，经双方多次沟通后，客户同意扣款21584.2元（附客户扣款商函及照片），折合6.92元/吨。_x000a_     以上扣款，对应船舶昌晟隆/2523、明金2号/2523，是否可行，烦请领导批示，谢谢。"/>
        <s v="我司与福清双胞胎饲料有限公司于 2025 年11月18日签订《粮食销售合同》（合同编号：YMFJFZ250187），数量2000吨，单价2360元/吨。该合同已累计送货1918.48吨，累计接货1914.95吨，客户2025年11月24日-2025年11月29日接收的773.74吨玉米呕吐毒素超标，总计扣款20202.80元，折合10.55元/吨。对应船舶华源盛/2529。该客户原玉米，基本为北方自发到长乐，我部为推动福清双胞胎往军航码头提货，同时推动军航码头电车配送福清双胞胎业务。该单合作是近3年来内贸_x000a_玉米的首单合作，主要为双方再此合作磨合（品质、配送等），在销售时未加价销售。接货过程中，我司玉米出现了较大批次的呕吐毒素超标情况，工厂主要生产猪料，对品质要求较为严格，经双方多次友好协商，工厂进行扣款接货，该工厂后续合作，我部将充分考虑实际品质及工厂可能扣款情况，进行溢价销售，涵盖质量损失。_x000a_以上扣款是否可行，烦请领导批示，谢谢。"/>
        <s v="运单号 AWKTNST250778125，销售给广州百川谷物有限公司(JZXYMZSJM25074、170吨、2360元)，合同签订日期为11月19日，因广州百川谷物有限公司是新客户准入，在准入以及客户打款这两方面花费了较长时间，导致出现超期费，产生超期费用合计1640元，申请我司承担_x000a_运单号 AWKTNST250764030A,销售给开平市绿皇农牧发展有限公司(JZXYMZSJJM25064608吨，2260元)，客户因前面JZXYMZSJM25059 合同存在大量退货正在处理，暂未有提货计划，导致出现超期费，产生超期费用合计1840元，申请我司承担。_x000a_运单号ASNJNSN250754887，原是销售给开平市绿皇农牧发展有限公司(JZXYMZSJJM25059，560吨，2280元)，但因存在变和结块的质量问题，绿皇申请退货后再分批销售给江门市向日饲料有限公司(JZXYMZSJM25066)、广州市天伟生物科技有限公司(JZXYMZSJM25069)和鹤山市广顺饲料有限公司(JZXYMZSJM25070)，导致出现超期费产生超期费用合计 6520元，申请我司承担。_x000a_总计费用1640+1840+6520=10000元，申请我司承担"/>
        <s v="于2025年11月28日签订《粮食销售合同》(合同编号:YMZSJJY250186)，数量500吨，单价2410元/吨，该合同己累计交货499.49吨，(其中12月11日4车车号:C1715D，重量34.86吨车号:粤BGT302，重量35.49吨，车号:粤BFS784，重量35.87吨，车号:粤MA1287，重量39.53吨合计:145.75吨)到货玉米经检验杂质1.2%杂质和破碎粒超出合同约定指标(杂质≤1%),不符合客户接受指标针对该批次到厂不合格玉米，经双方友好协商处理后，退货转扣款接收"/>
        <s v="我司与海南省粮油产业有限公司于2025年11月3日签订的《粮食销售合同》（合同号：JCYMHN250088-1），合同数量1500吨，合同单价2257元/吨，截止目前共计执行1487.7吨，执行完毕。该批货物在接卸过程中客户反水分及不完善粒超标等质量问题，我司现场人员范闻超和工厂品管人员共同抽样检测，检测结果事实存在，现场检测水分15.1-15.3%，不完善粒11.7-11.8%不等，合计数量1487.7吨。经双方友好协商，此批玉米按20元/吨进行扣价接收，合计扣款¥29754元。以上扣款具体执行航次为：2025年11月30日抵达马村港“益嘉9/2528”玉米轮执行430.12吨，8602.4元；2025年12月8日抵达马村港“炜业福星/2525”玉米轮执行1057.58吨，扣款21151.6元。"/>
        <s v="我司与三明海大饲料有限公司于 2025 年11月5日签订《粮食销售合同》（合同编号：JZXYMFJFZ250081），数量800吨，单价2330元/吨。该合同已累计提货788.73吨，客户2025年11月27日-2025年11月30日接收的100.74吨玉米存在毒素超标等情况。所提货物匹配计划号：YHSZ-25-092324，宏泰源库、新誉库。_x000a_明细如下：到厂日期 车号 重量/吨 备注_x000a_2025/11/27 TLLU3079330 10.14 1500ppb_x000a_2025/11/27 ZGXU3005031 27.28 1170ppb_x000a_2025/11/28 ZGLU3210656 27.34 1110ppb_x000a_2025/11/28 ZGXU3032042 8.45 1710ppb_x000a_2025/11/30 ZGLU3138757 27.53 1120ppb_x000a_ 经双方友好协商，三明海大饲料有限公司对该批次货物进行折价接收，以上情况合计产生扣款1971.90元（大写：人民币壹仟玖佰柒拾壹元玖角），该批次累计提货788.73吨，折单吨扣款2.5元/吨，合同签订保呕吐毒素，前期已加价15元/吨进行销售，可涵盖扣款损失._x000a__x000a_     以上扣款是否可行，烦请领导批示，谢谢。"/>
        <s v="苏州穗满德国际贸易有限公司，2025年11月19日签订的《粮食销售合同》(合同编号:JCYMZSJQY250029-2)合同数量2000吨，合同单价2297.5元/吨，提货麻涌港东星海泰/078，二车到厂检测杂质分别为1.71%、2.98%出合同约定的标准，合计64.92吨，申请分别扣款538与1472元，合计扣款2010元"/>
        <s v="1.计划号：YHSZ-25-092303；2.计划号：YHSZ-25-092332； 3.计划号：YHSZ-25-102206；_x000a_以上计划号共计33柜产生滞期费（具体费用明细如下），11月19日至11月23日苏湾共计到货215柜，_x000a_同时其他贸易商也有陆续到货，由于苏湾港港拆作业能力有限，加上仓容不足需仓内货源周转后才能做拆箱作业_x000a_，导致未在期限内拆柜，产生滞期费，合计4446元，现申请以上费用由我司承担。"/>
        <s v="11 月 14 日（周五）我司销售给贵港万千饲料有限公司，合同号为_x000a_ JZXYMGXXJ250069，七天无保证金，共计 386.48 吨。此合同为配送合同，11_x000a_月 17 日开始物流招标，1、由于销售端配合应标物流供应商不足；2、招标_x000a_系统也有 1-2 天的瘫痪问题；3、物流供应商保证金支付较慢，耽误一定时_x000a_间。导致 11 月 21 日物流合同才签订完毕。其中计划号：YHSZ-25-101107，_x000a_运单 Q087140992 有 4 个柜子共计 109.3 吨，超期 8 天，共计产生 4368 元滞_x000a_箱费。由于签订配送合同在可配送后五天内客户全部接完，产生的 4368 元_x000a_滞箱费用申请由我司承_x000a_担。"/>
        <s v="我司于 2025 年 11 月 26 日与韶关市漓源饲料有限公司签订内贸玉米合_x000a_同，编号 YMZSJDKHLY250195，数量 1000 吨，单价 2400 元/吨。_x000a_客户于麻涌港东星海泰/079 提货，提单号 MCDXHT07925039，因工厂到_x000a_厂抽样检测发现 200.04 吨玉米杂质检测均值在 1.82%，达不到合同指标_x000a_≤1% 。 因 对 客 户 成 品 以 及 口 碑 造 成 影 响 ， 扣 价 10 元 / 吨 ， 需 扣_x000a_价:200.04*10=2000.4 元。"/>
        <s v="我司与成都德康动物健康技术服务有限公司于 2025 年11月13 日签订的《粮食销售合同》，合同号 YMZSJQY250234,单价 2320 元/吨,数量 2350 吨,于2025年11月 21日放货南沙港,船名东星海泰/077,放货编号: NSDXHT7725031 客户于2025年11月22 日提货一船，共计 999.02吨，驳船名富航8398,于11月 30 日在码头汽运，粤WG7526 提货47.02.吨、粤 WJ2200 提 45.66 吨、粤 WV6007提 45.14吨、粤 W10831 提 45.3 吨。到厂后发现玉米有出现较严重的板结、发霉情况，不符合客户原料验收标准，我司销售人员与现场物流人员去现场查看后，确认情况属实，客户无法使用，经过双方友好协商，决定对汽运到厂的四车以及船上剩余货物进行退货处理，以上四车及富航 8398提货退货产生的费用本次德康拉运费用共计 35766.22 元，其中我司承担 15000 元，其余费用客户自己承担。同时，该批货物已经转码头销售，转运的运费由成都德康替我司垫付，共计11680.56元，我司在下游销售合同单价增加每吨12元(1000 吨)，对应的销售合同为:YMZSJQY250268广东广弘力源饲料有限公司(单价 2392元/吨，合同量:1000吨)"/>
        <s v="双胞胎（集团）股份有限公司，2025年12月2日签订的《粮食销售合同》(合同编号:JZXYMZSJQY250113)合同数量400吨,合同单价 2470 元/吨,客户提货外采合同号JZXYMSZCG250092，运单号JZ21JZLX1454A，柜号FTAU1999604，到厂检测结果水分15.38，呕吐毒素1161，超出合同约定的标准，申请扣款35元/吨，26.93吨*35=942.55元。"/>
        <s v="我司与海南胜飞贸易有限公司于2025年11月21日签订的《粮食销售合同》（合同号：JZXYMHN250170），合同数量550吨，合同单价2400元/吨，质量标准：容重≥700g/L，水分≤15%，杂质≤1.0%，霉变粒≤2.0%，不完善粒≤8%，呕吐毒素≤1000ug/kg。截止目前共计执行547.55吨，执行完毕。该批货物在接卸过程中发现箱号为CSNU3002368发运重量27.11吨，呕吐毒素1480.15ug/kg，不符合合同约定质量标准。经双方友好协商，此批玉米收货重量共计27.21吨，按30元/吨进行扣价接收，合计扣款¥816.3元。_x000a_以上扣款货物为对应发运计划编号YHSZ-25-102202，对应装箱库点：营口雨荷库"/>
        <s v="2025年11月17日签订的的集装箱合同，潘钟明，合同号JZXYMYXMM250805（322吨，2370元每吨）；_x000a_客户在提货中发现提单号ASMWGSU250802497A，箱号：HJLU1340302；北方磅装货一组总数56.32吨。_x000a_该箱在码头转运过程中爆箱撒漏，12月3日到货后确认柜体侧面漏洞，撒漏，保险第三方已经处理，经双方协商，本合同扣款金额为4.26吨*2370元/吨=10096.2元。"/>
        <s v="茂名海维饲料有限公司JKDMYXZJ250048在合同执行期间，在大麦鼎晋船总计产生堆存费17185.806元。现客户提出申请用海大集团北部湾玉林产生的扣款进行抵扣。（目前余额631726.02）"/>
        <s v="司与成都德康动物健康技术服务有限公司于2025年12月10日签订的&lt;&lt;粮食销售合同&gt;&gt;(赊销),合同号JCYMZSJQY250011-1,单价2361元/吨,数量2000吨。客户于2025年12月16日开单我司麻涌港大船:国家能源/2512轮货物共计1000吨，实际装货:996.818吨，提货驳船粤鼎湖货0388于12月19日到厂后发现有杂质超标情况，经检测杂质达3.43%，合同第二条:质量标准中约定:杂质2%，考虑到杂质检测方法尚存争议，且考虑到双方长期以来的友好合作关系，经双方友好协商，申请对12月19日开始提货到厂的996.818货物扣款23556.96元(折合单吨扣款四舍五入后为23.63元)。"/>
        <s v="提货杂质大，7车做 25 元/吨扣款，数量 311.46 吨，金额为 7786.5 元。"/>
        <s v="联系单号:YHSZ-25-111427、YHSZ-25-111429销售广州顺泽粮食贸易有限公司，2025年12月5日签订的《粮食销售合同》(合同编号:JZXYMLCYDG251207)合同数量2500 吨，合同单价 2482元/吨。该合同交货过程中2柜因水湿粘底,杂质破碎杂质大,扣款 20-30 元/吨让步接收,车上粘住卸不下来的 0.36吨客户拒收退回码头仓库 600元/吨让步接收，合计扣款2011.22元"/>
        <s v="2025年11月11日，受台风天气影响，巨象运输代理（深圳）有限公司在给龙岩市养宝饲料有限公司和漳州港苏州市吴江区勤穗粮油贸易有限公司送货后因漳州港码头已经封港，导致柜子无法还箱，产生2000元的压箱费用。"/>
        <s v="关于茂名正辉有限公司与我司签订了原料采购合同(合同编号:YMYXMM250863)，合同数量500吨，合同约定质量标准：容重≥690g/L，水分≤15%，杂质≤1%，霉变粒≤2%，不完善粒≤10%。客户共有两个合同共1000吨在该条船上提货。客户于1月2日在茂名市长晟码头世恒2仓“炜业68V2507“轮提货3车(98.85吨)发现玉米杂质达到4%，呕吐毒素达到2150ug/kg,客户为生产猪料工厂，杂质及呕吐毒素超标只能降级使用，经友好商务沟通，客户同意折价接收，现申请如下：_x000a_3车申请扣款20元/吨，共98.85吨，共计扣款1979元"/>
        <s v="广 州 顺 泽 粮 食 贸 易 有 限 公 司 ， 2025 年 9 月 8 日 签 订 的 《 粮 食 销 售 合 同 》 ( 合 同 编_x000a_号:JZXYMZSJJM25040)合同数量 540 吨，合同单价 2460 元/吨，该合同签订为按照乙方工厂磅单_x000a_结算，工厂磅重 537.78 吨，但结算时，按照集装箱北方发运数 538.805 吨进行了结算，差额为_x000a_1.025 吨，折合 2460*1.025 吨=2521.5 元，因 JZXYMZSJJM25040 已结算完毕关闭合同，申请_x000a_在后续合同 YHYMZSJXS251113002 中扣除该笔货款。"/>
        <s v="我司与成都东方希望农业有限公司于 2025 年11月18日签订《粮食销售合同》（合同编号：JZXYMFJFZ250084），数量400吨，单价2440元/吨。该合同已累计提385.33吨，客户2025年12月4日-2025年12月12日接收有3柜出现呕吐毒素超标情况。所提货物匹配计划号：YHSZ-25-092324，新誉库。_x000a_经双方友好协商，成都东方希望农业有限公司对该批次货物进行折价接收，以上情况合计产生扣款2345.24元（大写：人民币贰仟叁佰肆拾伍元贰角肆分），该批次累计提货385.33吨，折单吨扣款6.08元/吨，因合同签订保呕吐毒素，前期已加价15元/吨进行销售，可涵盖扣款损失。"/>
        <s v="2025年12月5日我司与大余温氏畜牧有限公司订内贸玉米转让协议，合同号:YMZSJDKHWS250040-2，数量2000吨，单价2380元/吨，客户提涌港东星海泰078，报 488.7 吨货物杂质( 1.32-1.43)超标，属于折价接收范围，单吨扣价 10元，合计扣款4887 元."/>
        <s v="2025年12月2日我司与大余温氏畜牧有限公司签订内贸玉米转让协议，协议号:YMZSIDKHWS250038-5，数量1000吨，单价2330元/吨。客户提新港东亿603货物报360.04吨货物杂质(1.36-2.2)超标，属于折价接收范围，单吨扣价10元，合计扣款3600.4元。"/>
        <s v="2025年12月8日我司与广西温氏畜牧有限公司签订内贸玉米合同，协议号YMZSJDKHWS250041-2,数量1650吨，单价2400 元/吨。客户提麻涌港 国家能源 610/2512货物，报375.14吨货物赤霉烯酮(317-1137ppb)超标和水分(15.38-15.41)，属于折价接收范围，单吨扣价 30元，合计扣款 11254.2元"/>
        <s v="前期在 2025 年 12 月 8 日与宾阳通威饲料有限公司签署的内贸玉米合同，对应合同号YMGXXJ250144，单价 2465 元/吨，数量 800 吨。于 2025 年 12 月 27 日至 2026 年 1 月 4 日在白沙港“鸿丰 9678”上完成交付（珠三角大船名：国家能源 610/2512），交货数量 779.27 吨。  在实际交货中存在杂质超标情况，其中较为严重的有 5 车，抽检结果为：3-3.3%，通威集团原规定杂质超 2%需供方退货处理，经过友好协商后对这五车做 20 元/吨扣款，数量 199.63 吨，金额为3992.6 元。折算整合同为 5.12 元/吨。 "/>
        <s v="前期在2025年11月17日与南宁通威生物科技有限公司签署的内贸玉米合同，对应合同号_x000a_YMGXXJ250134，单价2360元/吨，数量1500吨。于2025年12月23日至2025年12月27日发散船&quot;谢圩6878&quot;配送到厂完成交付(珠三角大船名：国家能源610/2512)，交货数量1492.08吨。_x000a_在实际交货中存在水分超标的情况，我司与客户场抽样并邮寄第三方检测机构，实际检测水分为15.69%。经过友好协商后对实际交货数量做17元/吨扣款，数量1492.08吨，金额为25365.36元。"/>
        <s v="我司与三明海大饲料有限公司于 2025 年11月6日签订《粮食销售合同》（合同编号：YMFJFZ250159），数量500吨，单价2245元/吨。该合同已累计提货494.5吨，客户2025年11月20日-2025年11月22日接收的120.61吨玉米存在毒素超标等情况。所提货物匹配船号：弘泰612/2524。_x000a_明细如下：_x000a_到厂日期 车号 重量/吨 备注_x000a_2025/11/20 闽HB3996 39.16 1906ppb_x000a_2025/11/22 闽GA2988 41.30 1350ppb_x000a_2025/11/20 闽GA2988 40.15 2406.2ppb_x000a__x000a_     经双方友好协商，三明海大饲料有限公司对该批次货物进行折价接收，以上情况合计产生扣款6195.04元（大写：人民币陆仟壹佰玖拾伍元零角肆分），该批次累计提货120.61吨，折单吨扣款51元/吨。折整批单吨扣款为12.5元/吨，合同签订保呕吐毒素，加价15元/吨。可覆盖扣款。（该订单11月16日申请，当期先款价格2230元/吨，申请2245元/吨签订保毒素交付）_x000a_以上扣款是否可行，烦请领导批示，谢谢。"/>
        <s v="我司与深圳市凌念网络科技有限公司于 2025 年10月23日签订《粮食销售合同》（合同编号：YMFJFZ250134），数量1000吨，单价2260元/吨，约定指标杂质≤1%，呕吐毒素≤1mg/Kg，福州军航码头自提；客户已累计提货985.31 吨。_x000a_客户于12月17日-12月19日提货的散粮，存在呕吐超标、杂质超标的情况，合计产生扣款7516.1元（大写：人民币柒仟伍佰壹拾陆元陆角），产生商务扣款货物共计248.53吨，折单吨扣款30.42元/吨。所提货物匹配船名：正海3/2506。（10月23日申请该订单时指导价格为先款2245元/吨，11月马尾港自提）。我司已加价15元/吨进行保毒素销售，溢价可覆盖扣款。_x000a__x000a_以上扣款是否可行，烦请领导批示，谢谢。"/>
        <s v="与广西园丰牧业集团股份有限公司签订的《粮食销售合同》，合同号：YMGXQZ250316，数量1000吨，单价2415元/吨，提“长峰98/2526”轮散装玉米，其中有6车共200.6吨水分指标远超出合同约定标准15%（合同提前预留有5元/吨商务），客户原则上拒收。经双方协商同意，工厂做商务扣款让步接收，合计扣款金额2679.00元，折合单吨扣款2.68元，溢余2.32元/吨对我司有利。（附商函）"/>
        <s v="联系单号 YHSZ-25-111428 销售蚌埠丰盛饲料贸易有限公司，2025年12月29 日签订的《粮食销售合同》(合同编号:JZXYMLCYDG251212)合同数量440 吨，合同单价 2450 元/吨。该合同送货过程中-柜运单号ZG25129672602箱号ZGLU3255732杂质偏多，客户需要增加过筛一遍才能处理，经友好协商该柜扣款 20 元/吨让步接收处理"/>
        <s v="合同号：YMGXQZ250315，数量600吨，单价2420元/吨，提“长峰98/V2526”轮散装玉米，其中有3车共99.68吨呕吐毒素超出双方约定标准1500（合同多预留有5元/吨商务），客户原则上拒收。经双方协商同意，工厂做商务扣款让步接收，合计扣款金额1324.20元，折合单吨扣款2.20元，溢余2.80元/吨对我司有利。（客户出有商函及检测报告）"/>
        <s v="，2025 年 12 月 11 日签订的《粮食销售合同（赊销）》(合同编号:YMZSJJY250195)_x000a_合同数量 1000 吨，合同单价 2415 元/吨，客户提货国翔 3/2540，提货重量 270.82 吨，经检测三车共计 126_x000a_吨杂质超出合同约定不符合合同约定标准（杂质≤1.0%），我司承担该批次下超标杂质 126 吨折合货款 1260 元。_x000a_经双方友好协商处理后，退货转扣款接收，合计扣款 1260 元 折合 10 元/吨。"/>
        <s v="2025年12月5日我司与   富川广东温氏畜牧有限公司  签订内贸玉米转让协议，合同号YMZSJDKHWS250045 ，数量1000 吨，单价2460元/吨。客户提麻涌港 国家能源610/2512货物，报374.62吨货物赤霉烯酮( 280-483ppb)超标，属于折价接收范围，单吨扣价30元，合计扣款11238.6元。"/>
        <s v="2025年12月5日 我司与  连州温氏畜牧有限公司 签订内贸玉米合同，协议号：YMZSJDKHWS250046，数量1000吨，单价2460元/吨。客户提麻涌港 国家能源610/2512货物，报192.64吨货物杂质( 1.62)超标，属于折价接收范围，单吨扣价10元，合计扣款1926.4元。"/>
        <s v="我司于 2026 年 1 月 5 日与广东嘉好农产品有限公司签订内贸玉米合同，编号 YMZSJXXW260001，数量 1000 吨，单价 2400 元/吨。_x000a_客户于南沙港东星海泰/80 提货，提单号 NSDXHT8026021，因工厂检测水分偏高，综合平均水分 15.71%。因对客户成品以及口碑造成影响，扣价_x000a_10 元/吨，需扣价:999.38*10=9993.8 元。"/>
        <s v="我司与 赣州联多利饲料科技有限公司  于 2025年12月12日 签订内贸合同，合同号：YMZSJHD250050，合同数量：600吨，单价：2370元/吨。客户于2026年1月18日 提新沙港 国家能源610/2513 货物，反馈该批货物黄曲毒素达100以上，达拒收标准，该批64.56吨货物由赣州联多利饲料科技有限公司退至新沙港，退货期间所产生费用均由客户承担。"/>
        <s v="我司于2025年12月31日与阳江市阳东温氏畜牧有限公司签订了玉米内贸合同YMYXYJ250250-1，签订主体为中粮贸易（深圳）有限公司。合同总量为1000吨，单价为2430元/吨，实际执行量为1013.12吨。大船名：益嘉88/2528。合同约定标准：水分≤15%，赤霉烯酮≤200ppb。1.6-1.9日客户提取了一批玉米（猪料），经检测，其中有330.02吨水分在15.65-15.66之间，赤霉烯酮达到240ppb,不符合合同约定的标准。考虑到双方后期的长期友好合作，对该批货物进行15元/吨的折价处理，折价金额为4950.3元,在货款中扣除。"/>
        <s v="我司于2025年12月31日与阳江市阳东温氏畜牧有限公司签订了玉米内贸合同YMYXYJ250250-3，签订主体为中粮贸易（深圳）有限公司。合同总量为1000吨，单价为2430元/吨，实际执行量为1002.32吨。大船名：益嘉88/2528。合同约定标准：水分≤15%，赤霉烯酮≤200ppb，黄曲霉毒素B1（ppb）≤30。1.7-1.8日客户提取了一批玉米（猪料），经检测，其中有317.6吨水分在15.39-15.66之间，赤霉烯酮在318-597之间，黄曲霉毒素达到51，不符合合同约定的标准。考虑到双方后期的长期友好合作，对该批货物进行20元/吨的折价处理，折价金额为6352元，在货款中扣除。"/>
        <s v="丰顺县海新饲料有限公司，2025年 12月 18 日签订《粮食销售合同》(合同编号:YMZSJY250201)，数量500 吨,单价 2390 元/吨,该合同已累计交货497.09 吨,提货锦航佰福/2532(其中1月2日6车车号:粤 BGT302重量 32.02 吨,车号: CC8777,重量 32.23 吨,车号:豫 PU7705,重量 32.26 吨,车号: C4M573,重量 33.14吨，车号:粤 MR7785，重量 33.230 吨，车号:赣 COP948，重量 34.91 吨合计:197.79 吨)到货玉米经检验杂质.2%杂质和破碎粒超出合同约定指标(杂质&lt;1%)，不符合客户接受指标针对该批次到厂不合格玉米。经双方友好协商处理后，退货转扣款接收。合计产生扣款 1977.9元。折合10元/吨"/>
        <s v="YHSZ-25-111425，台山市向星饲料有限公司，2025年12月11日签订的《粮_x000a_食销售合同》(合同编号：YMZSJDGJZX250427)合同数量1080吨，合同单价2472元/吨，_x000a_结算数量 1082.09 吨 ，其中10柜，总共267.9吨，因工厂检测抽检发现水份15.19%至_x000a_15.62%偏高。不符合合同约定的标准。经过双方友好协商，该10柜按减价4元/吨结算处_x000a_理使用，即总共扣款267.9吨*4元/吨=1071.6元"/>
        <s v="与钦州播恩生物技术有限公司签订的《粮食销售合同》，合同号：YMGXQZ250317，数量800吨，单价2425元/吨，提“长峰98/V2526”轮散装玉米，其中有9车共283.06吨呕吐毒素超出双方约定1500（客户多预留5元/吨商务），工厂原则上拒收。经双方协商同意，决定做商务扣款让步接收，合计扣款金额3108.20元，折合单吨扣款3.88元，溢余1.12元/吨对我司有利。（客户出有商函及检测报告）"/>
        <s v="YHSZ-25-121919、开平市绿皇农牧发展有限公司，2026年1月6日签订的《粮食销售合同》（合同编号：JZXYMZSJJM26001）合同数量1030吨，合同单价2450元/吨，结算数量1018.14，其中3柜，总共76.53吨，因工厂仓库收货开柜后发现玉米有霉味的现象，经过协商沟通，进行扣款处理。（1）车号:湘U6955,柜号:XYLU1191171，来货实收重量:21.55吨。（2）车号:湘MJ9132,柜号:XYLU1178631，来货实收重量:27.98吨。（3）车号:湘LD6811,柜号:XYLU1313449，来货实收重量:27吨。合计:76.53*20=1530.6元"/>
        <s v="关于广东凤凰饲料有限公司与我司签订了原料采购合同(合同编号:YMYXMM250904)，合同数量900吨，合同签订指标:容重&gt;690g,呕吐毒素&lt;1000ugkg,水分&lt;15%,杂质&lt;1%,霉变粒&lt;2%,不完善粒&lt;10%未约定的其它质量标准按实际交货品质标准执行。于1月14日及1月19日在茂名市远海码头“中恒顺丰/2533“轮提货配送2车均发现玉米霉变及呕吐毒素超标，实测霉变4.1%、4.8%、呕吐毒素1270、1301。经友好商务沟通，客户同意折价接收，现申请如下：_x000a_其中桂KB3339、粤K87698 车辆申请扣款20元/吨，共61.15吨，共计扣款1223元；合同签订有做溢价10元销售，可覆盖扣款金额。"/>
        <s v="南宁金陵力源饲料有限公司 YMGXNN260007 玉米散粮合同（2000 吨，赊销 2460 元/吨,钦州港自提)_x000a_于 1 月 25 钦州港自提“三水 809/2601”三车，其中两车出现较严重水分，杂质超标现象（NE1717/34.12_x000a_吨，NB9809/32.78 吨），客户拒收。经与客户友好协商，以上两车退回钦州港诚峰库，运费由客户承_x000a_担"/>
        <s v="我司与河南牧原粮食贸易有限公司于2025年12月3日签订的《粮食销售合同》（合同号： YMHN250338），合同数量1000吨，合同单价2470元/吨（送到厂价）。该合同已执行完毕，到厂数量979.4吨，但该合同货物在接卸过程中客户发现部分货不符合合同约定标准。扣重2车的执行数量为65.14吨，杂质每超0.01%减重0.01%，合计减重2.65%（0.867吨），此合同实际结算重量变更为978.533吨；扣款具体执行航次为：2026年1月3日抵达马村港“炜业福星/2527”玉米轮执行193.02吨，扣款2256.8元；2026年1月11日抵达马村港“锦富航69/2601”玉米轮执行97.08吨，扣款970.8元。综上，该合同合计扣重0.867吨，扣款3227.6元。"/>
        <s v="我司与成都德康动物健康技术服务有限公司于2025年10月31日签订的《粮食销售合同》(赊销)，合同号YMZSJQY250182，单价2220元/吨，数量5000吨。于2025年10月31日签订的《粮食销售合同》(赊销)，合同号YMZSJQY250189单价2220元/吨，数量5000吨。现有如下情况:YMZSJQY250189合同于2025年12月24日开单我司南沙港大船:国远707/2526轮，于1月3日开始到货。提货驳船名:贵港东旺6178，提货1470.62吨，汽运到厂后取样综合样有1467.65吨出现杂质超标情况，经工厂检测，取样后杂质平均达2.98%，YMZSJQY250182合同于2026年1月7日开始提货我司南沙港大船:东星海泰/080轮，桂远航838轮提货2098.902吨，汽运到厂后取样综合样有1916.81吨出现杂质超标情况，取样后杂质平均达2.47%，大福8658轮提货1397.264吨，汽运到厂后取样综合样有1395.56吨出现杂质超标情况，取样后杂质平均达2.16%，共计有4958.95吨货物杂质超过合同约定的杂质≤2%的指标，我司与客户沟通要求汽运到厂后进行二次采样检测，经过双方友好协商，对杂质在1%-2%之间的不合格货物扣款5元/吨，对杂质在2%-2.5%之间的货物扣款10元/吨，对杂质在2.5%-3%之间的货物扣款20元/吨，对杂质超过3%的货物扣款30元/吨。"/>
        <s v="我司与郴州大北农饲料科技有限公司于2025年12月12日签订的《粮食销售合同》，合同号YMZSJQY250280，单价2420元/吨，数量1000吨。客户于1月8日开始提货我司外采大船:南方地采-谷润/25200，共计提货387.2吨，到厂后检测该批玉米存在不同程度的水分超标(合同约定水分≤15%)，共计13台车共计387.2吨货物出现水分超标情况，经与品种线沟通，客户提货外采大船不合格的部分扣款由上游京粮承担，共计扣款8873.9元"/>
        <s v="2026我司与南宁大北农饲料科技有限责任公司于2025年12月26日签订的《粮食销售合同》，合同号YMZSJQY250293，单价2385元/吨，数量1000吨。客户于1月7日开始提货我司南沙港大船:东星海泰/80，共计提货998.98吨，到厂后检测该批玉米存在水分、杂质超标(合同约定水分≤15%，杂质≤1%)，检测结果取平均值:水分15.6、杂质1.37，经过双方友好协商，决定对该批货物按照15元/吨的方案进行扣款，共计扣款998.98吨*15元/吨=14984.7元"/>
        <s v="现有贵港湘大骆驼饲料有限公司与我司于2025年12月17日签订的内贸玉米合同YMZSJQY250284，数量1000吨，单价2380元/吨，客户于1月9日提货我司南沙港大船:东星海泰/80，(驳船名:贵港兴泰5288，提货998.69吨)到厂后检测有水分超标情况，超出合同质量签订标准:水分≤15%的约定，申请对水分超标的驳船扣款5元/吨。"/>
        <s v="兹有我司与成都东方希望农业有限公司司签订《粮食销售合同》(合同号:YMFJFZ250183)，合同数量1500吨，单价2410元/吨，配送到厂，合同约定容重(g/L)≥710，水分≤15%，呕吐毒素≤1000ppb。该合同于2025年11月17日-2026年1月9日提货玉米，其中137.97吨，结果检验指标不符合合同标准(毒素超标，毒素在1400ppb-1500ppb)，扣款5244元。该合同累计收货1499.43吨，折扣款3.5元/吨。所提货物匹配计划号:YHSZ-25-092324、YHSZ-25-102222。_x000a_该合同在销售时已按保毒素价格加价15元/吨销售，以上扣款是否可行，请领导批示。"/>
        <s v="兹有我司与双胞胎（集团）股份有限公司签订《粮食销售合同》（合同号：YMFJFZ250188）合同数量1000吨，单价2425元/吨，合同约定呕吐毒素≤1000ppb。该合同于2025年12月30日前执行完毕，共计执行989.1吨，在提货过程中,出现部分车次呕吐毒素超标问题,扣款20元/吨，扣款金额为1506.6元,"/>
        <s v="兹有我司与贵司于2025年11月18号签定《粮食销售合同》（合同编号：YHYMZSJXS251118002），数量1000吨，单价2365元/吨，该合同已累计到货991.72吨，我司检测杂质超出合同约定的0.5%，检测杂质为0.73347%，不符合我司接收标准，贵司承担该批次筛下杂质2.308吨折合货款5458.42元，另有：水分超出合同约定2.619吨折合扣货款6193.93元，霉变不合格扣款2687.28元。目前情况合计产生扣款14339.63元（大写：壹万肆仟叁佰叁拾玖元陆角叁分）"/>
        <s v="2026年1月7日我司与温氏集团下属子公司签订内贸玉米合同，合同号:YMZSJDKHWS250048-1，客户提新沙港国家能源610/2513货物，报1197.12吨货物杂质（1.49-2.04）超标，属于折价接收范围."/>
        <s v="2026年1月7日我司与温氏集团下属子公司签订内贸玉米合同，合同号:YMZSJDKHWS250049-3，客户提新沙港国家能源610/2513货物，报1197.12吨货物杂质（1.11-2.69）和赤霉烯酮（264-1884）超标，属于折价接收范围."/>
        <s v="饲料原料部、物流仓储部:_x000a_贵港瑞康饲料有限公司，2025年9月9日签订的《粮食销售合同》(合同编号:YMZSJMYX25052)合同数量4000 吨,合同单价2420元/吨;2025 年9月15 日签订的《粮食销售合同》(合同编号:YMZSJMYX25057)合同数量5000吨，合同单价2475元/吨;2025年9月5日签订的《粮食销售合同》(合同编号:YMZSJMYX25050)合同数量3000吨，合同单价2380元/吨。_x000a_上述合同原计划2025年9月18日计划派船提货，因货源紧张，需等大船国家能源610抵港才有货物交付，期间耽误约4 天。后因台风桦加沙登陆影响未能按期发运且台风过后又发生跑船换船，直至9月28日装出1500吨。又有国庆假期面临放假，同时台风影响西江上游发生洪涝，预期国庆期间西江航道面临停航风险，为保障供应安全，经双方协商同意贵港瑞康委派物流进行在新沙港、湛江港、桂平启用汽运提货，发生的物流费用合计247396.05元。_x000a_具体费用对比明细如下：_x000a_一、YMZSJJMYX25052，单价2420元/吨，合同数1000吨，收货数966.56吨_x000a_1、原计划：新沙港—白沙港—瑞康，船+汽运，我司配送，配送费40元/吨。_x000a_2、变更后：新沙港—瑞康，改为汽运，运费124.3元/吨。_x000a_3、费用增加情况：每吨运费客户承担84.3元，共计增加81481.01元。_x000a_二、YMZSJJMYX25057，单价2475元/吨，合同数1000吨，收货数954.32吨_x000a_1、原计划：新沙港—白沙港—瑞康，船+汽运，我司配送，配送费40元/吨。_x000a_2、变更后：湛江—瑞康，改为汽运，运费120元/吨。_x000a_3、费用增加情况：每吨运费客户承担80元，共计增加76345.60元。_x000a_三、YMZSJJMYX25052，单价2420元/吨，合同数500吨，收货数500.21吨_x000a_1、原计划：新沙港—白沙港—瑞康，船+汽运，我司配送，配送费40元/吨。_x000a_2、变更后：新沙港—桂平港—瑞康，改为汽运，运费80元/吨。_x000a_3、费用增加情况：每吨运费客户承担40元，共计增加20008.40元。_x000a_四、YMZSJJMYX25057，单价2475元/吨，合同数1000吨，收货数997.21吨_x000a_1、原计划：新沙港—白沙港—瑞康，船+汽运，我司配送，配送费40元/吨。_x000a_2、变更后：新沙港—桂平港—瑞康，改为汽运，运费80元/吨。_x000a_3、费用增加情况：每吨运费客户承担40元，共计增加39888.40元。_x000a_五、YMZSJJMYX25050，单价2380元/吨，合同数3000吨，卸船数3002.525，运输收货数3002.225_x000a_1、原计划：新沙港—白沙港—瑞康，船+汽运，我司配送，配送费40元/吨。_x000a_2、变更后：新沙港—苏湾港—瑞康，台风因素在桂平港卸货，费用49元/吨。_x000a_3、费用增加情况：每吨费用客户承担9元，共计增加27020.925元，详情如下：_x000a_码头费：3元/吨，新增费用3002.525x3=9007.575元_x000a_汽运费：6元/吨，新增费用3002.225x6=18013.35元_x000a_六、YMZSJJMYX25052，单价2420元/吨，合同300吨，卸船数294.635，运输收货数294.635_x000a_1、原计划：新沙港—白沙港—瑞康，船+汽运，我司配送，配送费40元/吨。_x000a_2、变更后：新沙港—苏湾港—瑞康，台风因素在桂平港卸货，费用49元/吨。_x000a_3、费用增加情况：每吨费用客户承担9元，共计增加2651.715元，详情如下：_x000a_码头费：3元/吨，新增费用294.635x3=883.905元_x000a_汽运费：6元/吨，新增费用294.635x6=1767.81元_x000a_以上变更产生的费用共计：81481.01+76345.60+20008.40+39888.40+27020.925+2651.715=247396.05_x000a_此次费用分到YMZSJM26007合同开票结算时扣除，具体金额247396.05元(附扣款商函)_x000a_请领导批示。"/>
        <s v="贵港瑞康饲料有限公司，2025年12月27日签订的《粮食销售合同》（合同编号：YMZSJJM25103）合同数量2000吨，合同单价2400元/吨。_x000a_2026年01月21-26日送货至工厂的贵港兴泰55船玉米，经质检部门检测，该船杂质超标，该船玉米共入库1996.19吨，其中杂质49.62吨，杂质占比例2.49%。按原合同质量标准杂质≤1%;则杂质超标扣款合计:1996.19吨*(2.49%-1%)*2,400元/吨=71383.75元，在开票结算时扣除。"/>
        <s v="我司与双胞胎（集团）股份有限公司于2025年11月21日签署生效的《粮食销售合同（赊销）》（合同编号：YMFJZZ250304)，合同数量5000吨，合同单价2350元/吨，该合同累计提货5009.52吨，客户于2025年12月30日至2026年1月8日提货批次玉米存在水分、杂质均超标等问题（水分检测为15.17%至15.54%，杂质超1%），对应船名：浙洋97/2537"/>
        <s v="我司与正大贸易（中国）有限公司于2025年12月22日签署生效的《粮食销售合同（赊销）》（合同编号：YMFJZZ250315)，合同数量3000吨，合同单价2425元/吨，该合同累计提货2985.66吨，客户于2026年1月6日至1月12日提货2985.66吨玉米存在杂质超标、破损较大问题，对应船名：浙洋97/2537 ；"/>
        <s v="我司与南平华农恒青农牧有限公司于 2026 年1月7日签订《粮食销售合同》（合同编号：YMFJFZ260006），数量400吨，赊销，单价2410元/吨，合同约定水分≤15%，杂质≤1%，呕吐毒素≤1000ppb。该合同已累计提货399.66吨，客户2026年1月13日-2026年1月19日接收209.04吨玉米，存在提货杂质超标、呕吐超标的情况。所提货物匹配船名：轩祥3/2535。 经与客户多次协商沟通，客户对该批玉米扣款接收，其中209.04吨玉米产生商务扣款6371.22元（人民币陆仟叁佰柒拾壹元贰角贰分），折单吨扣款30.48元/吨（整笔合同折单吨扣款15.9元/吨）。我司在1月7日销售时，当日赊销指导价格2388元/吨，我司已加价20元/吨，可覆盖扣款。_x000a_     以是否可行，烦请领导批示，谢谢。"/>
        <s v="我司与福州海龙生物科技有限公司于 2026 年1月6日签订《粮食销售合同》（合同编号：YMFJFZ260002），数量500吨，赊销，单价2400元/吨，合同约定水分≤15%，杂质≤1%。该合同已累计提480.79吨，客户2026年1月13日接收的110.08吨玉米，存在提货杂质超标情况。所提货物匹配船名：轩祥3/2535。 经与客户多次协商沟通，其中110.08吨玉米客户扣款接收，产生商务扣款2201.6元(人民币贰仟贰佰零壹元陆角），折单吨扣款20元/吨（整笔合同折单吨扣款4.5元/吨）。我司在1月7日销售时，当日赊销指导价格2375元/吨自提，我司已加价5元/吨，可覆盖扣款。_x000a_     以是否可行，烦请领导批示，谢谢。"/>
        <s v="联系单号：YHSZ-25-111427，广州顺泽粮食贸易有限公司，2026年1月6日签订的《粮_x000a_食销售合同》(合同编号：JZXYMDG26003)合同数量1000吨，合同单价2432元/吨，结算_x000a_数量 1080.34 吨_x000a_该合同在1月22日交货过程中1柜产生质量问题，经过双方友好协商，1柜霉变超标按照_x000a_40元/吨扣款结算，即总共扣款27.57吨*40元/吨=1102.8元"/>
        <s v="播恩集团股份有限公司，2026 年 1 月 16 号 于 南 沙 港 东 星 海 泰 /80 提 货 ， 提 单 号_x000a_NSDXHT8026008，因工厂检测抽检，其中 224.78 吨玉米呕吐毒素为_x000a_1550ppb-1660ppb，不符合合同约定的标准。经过双方友好协商，按 10 元/_x000a_吨扣款接收，其中一车呕吐毒素检测为 1660ppb，按 20 元/吨扣款接收，_x000a_即总共扣款 193.36 吨*10 元/吨+31.42 吨*20 元/吨=2562 元"/>
        <s v="播恩集团股份有限公司，2025 年 12 月 18 号于麻涌港国家能源 610/2512 提货，提单号_x000a_GJNY6101225011，因工厂检测抽检，其中 31.76 吨玉米毒素为 1550ppb，_x000a_不符合合同约定的标准。经过双方友好协商，按 10 元/吨扣款接收，即总_x000a_共扣款 31.76 吨*10 元/吨=317.60 元"/>
        <s v="广东泰德饲料有限公司 于 南 沙 港 东 星 海 泰 /80 提 货 ， 提 单 号_x000a_NSDXHT8026002，因工厂检测抽检，平均水份为 15.22%，不符合合同约定_x000a_标准，经过双方友好协商，超出水分 0.22%*2370 元/吨=5.2 元/吨，即总_x000a_共扣款 1498.032 吨*5.2 元/吨=7789.77 元"/>
        <s v="我司于2026年1月16日和深圳市中佳粮食有限公司签订粮食销售合同JZXYMDG26007(合同量:800吨、单价:2430元/吨),对应运单号:Q089668881:由于运单号:Q089668881，柜号:00LU0108760，出现漏玉米预计少1.325吨，已报保险处理，现申请该组柜子按照工磅单结算，即25.19吨(北方重量26.515吨)"/>
        <s v="联系单号：YHSZ-25-121503，广州顺泽粮食贸易有限公司，2025年12月8日签订的《_x000a_粮食销售合同》(合同编号：JZXYMLCYDG251208)合同数量2500吨，合同单价2482元/吨_x000a_，结算数量2366.84吨_x000a_该合同在1月14号交货过程中，5柜水分检测超标，经过双方友好协商，5柜工厂检测平_x000a_均水份为15.41%，不符合合同约定标准，按约定比例扣重 0.35338吨，即总共扣款_x000a_0.35338吨*2482元/吨=877.09元"/>
        <s v="联系单号：YHSZ-25-121503，广州顺泽粮食贸易有限公司，2025年12月8日签订的《_x000a_粮食销售合同》(合同编号：JZXYMLCYDG251209)合同数量2500吨，合同单价2482元/吨_x000a_，结算数量2366.42吨_x000a_该合同在1月13号交货过程中，其中2柜存在发热、霉味问题，另有14柜水分检测超标，_x000a_经过双方友好协商，2柜发热有霉味按照40元/吨扣款处理，14柜工厂检测平均水份为_x000a_15.23%，不符合合同约定标准，按约定比例扣重 1.06166吨，即总共扣款26.82吨*40元_x000a_/吨+1.06166吨*2482元/吨=3707.84元"/>
        <s v="河南牧原粮食贸易有限公司YMGXNN250144玉米散粮合同（5000吨，现金2400元/吨,珠三角自提)于1月9日至11日期间，珠三角自提“东星海泰/80”4996.054吨，出现水分超出合同标准情况。客户原则上拒收，经过沟通，要求整体扣款30元/吨，后再次沟通，客户要求扣款20元/吨并发出商函，最终经反复多次沟通，本着长远战略友好合作出发，客户让步同意对该合同整体进行15元/吨扣款接收，合计扣款：74940.81元。"/>
        <s v="前期与南宁海大生物科技有限公司签约的内贸玉米合同，合同号YMGXQZ250329，数量600吨，合同单价2370元/吨，签约时间2025年12月19日。_x000a_该合同执行于2026年1月23日-1月26日完成了该批次的提货，提货大船为长峰98/2526，提货地点钦州，执行数量为583.86吨。在接货过程中出现杂质超标情况，经我部到现场抽样检测后，其检测结果最低为2.04%，最高2.94%。_x000a_经过多次沟通后最终决定将项下的377.26吨做单吨5元扣款处理，扣款金额为1886.3元。"/>
        <s v="隆安县扬翔饲料有限公司，于2025年12月12日签订的《粮食销售合同(赊销)》合同编号:JCYMZSJJM25006-4)。合同数量1500吨,合同单价2352元/吨，提货大船为麻涌港的国家能源610/2512。_x000a_隆安县扬翔饲料有限公司于2025年12月15日派桂平鸿达1689船舶提该合同玉米，提货数量1498.166吨。到货检测该批玉米检测综合样杂质1.7%，超出合同标准(合同标准杂质≤1%).隆安县扬翔饲料有限公司现提出对该船玉米进行扣重处理，即扣重为1498.166吨*(1.7%-1%)=10.487吨,按合同单价换算扣款金额为10.487吨*2352元/吨=24665.42元(人民币大写:贰万肆仟陆佰陆拾伍元肆角贰分)。_x000a_因JCYMZSJJM25006-4合同已经开发票，该笔扣款将在玉米合同YMZSJM25101中扣减。"/>
        <s v="南宁扬翔农牧有限公司，于2025年11月26日签订的《粮食销售合同》合同编号:YMZSJJM25084)，合同数量5000吨，合同单价2340元/吨。提货大船为麻涌港的国家能源_x000a_610/2512.南宁扬翔农牧有限公司于2025年12月15日贵港兴泰828船舶提该合同玉米，提货数量2395.88吨。到货检测该批玉米检测综合样杂质1.9%，超出合同标准(合同标准杂质≤1%)。南宁扬翔农牧有限公司现提出对该船玉米进行扣重处理，即扣重为2395.88吨*(1.9%-1%)=21.563吨,按合同单价换算扣款金额为21.563吨*2340元/吨=50457.42元(人民币大写:伍万零肆佰伍拾柒元肆角贰分)。_x000a_因YMZSJJM25084合同已经开发票，该笔扣款将在玉米合同YMZSJJM25100中扣减。"/>
        <s v="我司与正大原料供应有限公司于 2025 年12月11日签订《粮食销售合同》（合同编号：YMFJFZ250210），数量 1500 吨，单价2425元/吨，合同约定杂质≤1%，不完善粒≤8%，呕吐毒素≤1000ug/kg。 客户于2026年1月4日-1月16日提货的1453.96吨玉米存在杂质、水分超标情况，合计产生扣款24282.25元（大写：人民币贰万肆仟贰佰捌拾贰元贰角伍分），折单吨扣16.71元/吨。所提货物匹配船名：轩祥3/2535提货986.86吨，福兴9/2538提货467.1吨。合同约定交付期2026年1月，2025年12月11日对1月交付的指导价格2385元/吨（扣除补偿阿根廷高粱问题10元/吨，实际溢价30元/吨），溢价可覆盖扣款。_x000a_      以上扣款请领导批示，谢谢。"/>
        <s v="    兹有我司与正大原料供应有限公司2025年12月29日签署生效的《粮食销售合同》（合同编号：YMFJZZ250316)，合同数量1500吨，合同单价2425元/吨，截止至2026年01月21日，该合同累计提货1491.92吨，客户于2026年1月14日至1月20日提货玉米经检测杂质超标，破碎大，对应船名：同庆18/2539 "/>
        <s v="福建经营部通过延伸粮源池采购的散船玉米“炜业19”轮（航次号：2511），发运至漳州港，发运数量19541.03吨，实际卸货数量19499.46吨。该船于2025年12月23日靠泊漳州港并启动卸货，12月25日卸货工作全部完成。_x000a_卸货期间，经营部物流工作人员现场监卸发现该批玉米存在水分、杂质超标问题。经华正检测，玉米水分含量在15.2%-15.5%区间，超出标准0.2%-0.5%，部分杂质指标亦未达到规定要求。针对上述品质问题，福建经营部第一时间报告饲料原料部及上游供应商进行反馈，客户在接货过程中，亦反馈该批玉米存在相同品质问题。_x000a_为妥善处置该问题，福建经营部与饲料原料部、客户充分沟通协商，确定按正常商务流程给予扣款，并同步推进货物提货工作。截至2026年1月21日，该批玉米已全部出库，累计出库数量19440.36吨"/>
        <s v="广东粮品农产品经营有限公司，2025年1月7日签订的《粮食销售合同》(合同编号:JZXYMZSJJM26002)合同数量400吨，合同单价2430元/吨，提货港为新会新港。_x000a_计划号：YHSZ-25-111430-1，运单号：Q089492200，箱号00LU0694125，卸货净重27.44，杂质超标1.7%，扣款金额478.27元。_x000a_计划号：YHSZ-25-111430-1，运单号：Q089492200，箱号FCIU3159167，卸货净重27.4，杂质超标1.7%，扣款金额477.58元。_x000a_合计扣款金额为:955.85元。"/>
        <s v="广东粮品农产品经营有限公司，2025年1月23日签订的《粮食销售合同》(合同编号:JZXYMZSJJM26009)合同数量380吨，合同单价2430元/吨，提货港为新会新港。_x000a_计划号：YHSZ-25-121923，运单号：Q089671463，箱号CSNU3235781，卸货净重27.32，杂质超标1.5%，扣款金额341.5元。_x000a_计划号：YHSZ-25-121923，运单号：Q0896714630，箱号CSNU3031290，卸货净重9.86_x000a_，杂质超标3.1%，扣款金额517.65元。_x000a_    计划号：YHSZ-25-121923，运单号：Q0896714630，箱号CSNU3077942，卸货净重27.6，_x000a_杂质超标1.7%，扣款金额483元。_x000a_合计扣款金额为:1342.15元。"/>
        <s v="与金钱农牧（广西）有限公司签订的《粮食销售合同》，合同号：YMGXQZ250335，数量300吨，单价2390元/吨，提“三水809/2601”轮散装玉米，其中有6车共199.16吨水分指标远超出合同约定标准15%，客户原则上拒收。经双方协商同意，做商务扣款让步接收，合计扣款金额1991.60元，合同折合单吨扣款6.63元。"/>
        <s v="与广西柯特农业发展有限公司签订的《粮食销售合同》，合同号：YMGXQZ250314，数量1000吨，单价2410元/吨，提“长峰98/V2526”轮散装玉米，其中有21车共704.54吨水分指标远超出合同约定标准15%，客户原则上拒收。经双方协商同意，做商务扣款让步接收，合计扣款金额7045.40元，整合同折合单吨扣款7.04元。"/>
        <s v="我司于2025年12月16日与贵港市源饲料有限公司签订内贸玉米合同，编号YMZSJDKHLY250202，数量1500吨，单价2350元/吨。_x000a_客户于2026年1月13日在新沙港国家能源610/2513提货，提单号GJNY61025130031。因工厂检测水分偏高，综合平均水分15.5%。因对客户成品以及口碑造成影响，扣价15元/吨，需扣价:1499.88*15=22498.2元"/>
        <s v="我司于2024年12月16日与北流市响亮饲料有限公司签订内贸玉米合同，编号YMZSJDKHLY250206，数量1500吨，单价2350元/吨。_x000a_客户于南沙港东星海泰/80提货，提单号NSDXHT8026031，因工厂检测杂质超标，平均值达3.03%(合同签订指标:杂质≤1.0%)。因对客户成品以及口碑造成影响，扣价25元/吨，需扣价:1496.97*25=37424.25元"/>
        <s v="贵我双方于 2025 年 12 月 30 日签订 2000 吨玉米《粮食销售合同》_x000a_（合同编号：YMZSJJY250204），单价 2380 元/吨，合同约定以港口外_x000a_磅结算。2026 年 1 月 8 日—2026 年 1 月 17 日收到贵司港口外磅共计_x000a_1951.44 吨玉米。经我司品管检测，此批玉米杂质 1.5%，超出约定标准_x000a_1%，影响使用，我司系统扣款 23319.7 元。经双方协商，另按 10 元/吨_x000a_扣款，即按 1951.44 吨*10 元/吨=19514.4 元做扣款接收处理。综上合计_x000a_扣款 19514.4+23319.7=42834.1 元。"/>
        <s v="兹有我司与正大贸易（中国）有限公司于2026年01月16日签署生效的《粮食销售合同（赊销）》（合同编号：YMFJZZ260004)，合同数量3000吨，合同单价2435元/吨，截止至2026年02月05日，该合同累计提货2999.56吨，客户于2026年1月23日至2月6日提货批次玉米经检测杂质超标，对应船名：中安89/2601"/>
        <s v="兹有我司与正大原料供应有限公司于2026年01月19日签署生效的《粮食销售合同（赊销）》（合同编号：YMFJZZ260019)，合同数量2000吨，合同单价2430元/吨，截止至2026年02月04日，该合同累计提货2000.08吨，客户于2026年1月22日至2月4日批次提货批次玉米检测杂质超标，对应船名：弘泰625/2601；"/>
        <s v="我司与将乐温氏家禽有限公司于 2025 年11月26日签订《粮食销售合同》（合同编号：JZXYMFJFZ250086），数量1000吨，赊销，单价2450元/吨到厂，合同约定水分≤15%，杂质≤1%。该合同已累计提货970.5吨，其中客户2025年12月3日-2026年1月3日接收的528.75吨玉米，存在破碎粒、杂质粉尘较多、水分超标的情况。所提货物匹配船名：福兴9/2538（水分超标）、华源盛/2531（提货到仓底，粉尘与破碎超标）。    _x000a_     客户原需对于该批有质量问题的货物扣款50元/吨接收，经与客户多次协商沟通，对破碎粒、杂质粉尘超标的586.2吨玉米客户按扣款25元/吨接收，产生商务扣款13218.75元（人民币壹万叁仟贰佰壹拾捌元柒角伍分），整笔合同折单吨扣款13.62元/吨。"/>
        <s v="我司于 2026 年 1 月 30 日与金钱饲料（东莞）有限公司签订内贸玉米合同，编号 YMZSJDG26010 ，合同数量 2000 吨，结算数量 1991.3 吨，单价_x000a_2346 元/吨。客户 2026 年 1 月 30 号于新沙港长鑫 86 提货，提单号 XSCX8625003，因工厂检测抽检，其中 1292.42 吨平均水分为 15.49%，平均杂质为 4.19%，不符合合同约定标准，经过双方友好协商，按 10 元/吨扣款接收，即总共扣款 1292.42 吨*10 元/吨=12924.20 元"/>
        <s v="联系单号：YHSZ-25-121920，中山市福大生物科技有限公司，2026年1月28日签订的_x000a_《粮食销售合同(赊销）》(合同编号：JZXYMDG26016)合同数量225吨，合同单价2445_x000a_元/吨，结算数量222.214吨_x000a_该合同在2月1号交货过程中，7柜产生质量问题，经过双方友好协商，其中222.24吨工_x000a_厂检测平均水份为15.47%，不符合合同约定标准，经过双方友好协商，按10元/吨扣款_x000a_接收，即总共扣款222.24吨*10元/=2222.4元"/>
        <s v="我司与广州市禾润兴饲料有限公司与 2026 年 1 月 8 日签订的《粮食销售合同》，合同号 YMZSJDG26001， 单价 2370，数量 2000 吨，自提合同，于 2026 年 2 月 6 日提货 2 车散粮玉米，(提货车号:赣CQ9426、粤 SF3536)共 51 吨因粉尘杂质过大，无法正常使用。经双方协商一致，51 吨货物申请退货处理"/>
        <s v="我司与将乐温氏家禽有限公司于 2026年1月6日签订《粮食销售合同》（合同编号：YMFJFZ260003），数量1500吨，赊销，单价2465元/吨，合同约定水分≤15%，杂质≤1%。该合同已累计提货1499.88吨，客户2026年1月13日接收的159.87吨玉米，存在杂质粉尘超标。所提货物匹配船名：轩祥3/2535。    _x000a_     经与客户多次协商沟通，对杂质破碎超标的159.87吨玉米客户扣款5元/吨接收，产生商务扣款799.35元（人民币柒佰玖拾玖元叁角伍分），整笔合同折单吨扣款0.5元/吨。该批次提货出现提货到杂质集中部位，后续将加强对码头存粮与出货作业的管理。"/>
        <s v="我司与将乐温氏家禽有限公司于 2025 年12月24日签订《粮食销售合同》（合同编号：YMFJZZ260010），数量1000吨，赊销，单价2360元/吨，合同约定水分≤15%，杂质≤1%。该合同已累计提货973.28吨，客户2026年1月1日-2026年1月9日接收的586.2吨玉米，存在破碎粒、杂质粉尘较多情况。所提货物匹配船名：浙洋97/2537。    _x000a_     原定对于存在商务的货物按扣款30元/吨接收，经与客户多次协商沟通，对杂质破碎超标的586.2吨玉米，客户扣款减半按15元/吨接收，产生商务扣款8793元（人民币壹万柒仟伍佰捌拾陆），整笔合同折单吨扣款9元/吨。"/>
        <s v="现有清远大北农生物科技有限公司与我司于2025年12月26日签订的内贸玉米合同YMZSJQY250294，数量1500吨，单价2385元/吨，客户于1月23日提货我司新沙港大船:国家能源610/2513，到厂后有两台车呕吐毒素检测超出合同质量签订标准:呕吐毒素≤1200的约定，申请对以下提货毒素超标的两车扣款5元/吨。"/>
        <s v="广州顺泽粮食贸易有限公司于2025年9月10日签订国产内贸合同(合同号JZXYMZSJQY250069,合同量270吨，单价2450元/吨)，该合同已结算完毕。由于上次扣款时，由保险方承担的CSLU1499746柜子扣款的5218元未在之前的合同扣除，申请在我司与广州顺泽粮食贸易有限公司签订的JZXYMZSJQY260002合同中扣除(签订时间2026年1月21日，数量1070吨，单价2432元/吨)，请领导批示"/>
        <s v="联系单号:YHSZ-25-121921，广州顺泽粮食贸易有限公司，2025年12月8日签订的《粮食销售合同》(合同编号:JZXYMLCYDG251210合同数量2500吨，合同单价2482元/吨，结算数量2389.511吨)_x000a_该合同在1月27号交货过程中，1柜存在杂质破碎严重超标，工厂退货，经过双方友好协商，27.3吨因质量问题导致的直接损失由工厂承担，该批货物往返所产生的运输费用由我司承担，申请在JZXYMLCYDG251210销售合同中扣除，即总共扣款1550元(附扣款商函)"/>
        <s v="2026年1月7日和2025年11月12日我司与双胞胎集团签订内贸玉米合同合同号:YMZSJDKHSBT260001、YMZSJDKHSBT250017，单价分别为2390、2290元/吨。客户提新沙港 国家能源 610/2513和国远 86货物，报 490.96 和 358.93 吨货物呕吐毒素和赤霉希酮超标，属于折价接收范围，扣款明细如下:"/>
        <s v="2026年1月7日和2025年11月12日我司与双胞胎集团签订内贸玉米合同合同号:YMZSJDKHSBT260001、YMZSJDKHSBT250017，单价分别为2390、2290元/吨。客-提新沙港 国家能源 610/2513和国远 86货物，报 490.96 和 358.93 吨货物呕吐毒素和赤霉希酮超标，属于折价接收范围，扣款明细如下:"/>
        <s v="我司于2025年11月25日与正大康地阳江饲料有限公司签订了玉米内贸合同YMYXYJ250218，签订主体为中粮贸易（深圳）有限公司，大船:益嘉88/2528。签订主体:中粮贸易(深圳)有限公司，合同量2000吨，合同单价2402元/吨，执行量1983.62吨，其中该批货物999.86吨水分检测在15.3-15.8之间，赤霉260-500。不符合合同约定标准。考虑到双方后期的长期友好合作，对该批货物做折价10元/吨处理，总计9998.60元，在货款中扣除。"/>
        <s v="我司于2025年12月3日与正大康地阳江饲料有限公司签订了玉米内贸合同YMYXY250225，签订主体:中粮贸易(深圳)有限公司，大船:益嘉88/2528，合同量2000吨，合同单价2442元/吨，执行量1980.12吨，其中该批货物980.56吨水分检测在15.3-15.5之间，赤霉238-624。不符合合同约定标准。考虑到双方后期的长期友好合作，对该批货物做折价10元/吨处理，总计9805.60元，在货款中扣除。"/>
        <s v="2026年1月7日 我司与  温氏集团下属子公司 签订内贸玉米合同，合同号：YMZSJDKHWS250049-2，单价分别为2350元/吨。客户提新沙港 国家能源610/2513货物，报194.4吨货物赤霉烯酮超标，属于折价接收范围"/>
        <s v="“中恒顺丰/2602“轮提货配送1车，到厂客户检测发现玉米霉变及呕吐毒素超标，实测霉变3.7%、3.8%、呕吐毒素1370、1501。"/>
        <s v="“中伟顺/2603“轮提货1车，到厂客户检测发现玉米赤霉毒素超标，实测赤霉毒素514、608。经沟通，客户不同意接收"/>
        <s v="联系单号:YHSZ-25-121922，深圳市中佳粮食有限公司，2026年1月21日签订的《粮食销售合同》(合同编号:JZXYMDG26014合同数量1080吨，合同单价2420元/吨，结算数量1074.753吨)_x000a_该合同在2月6号交货过程中，AYLZAXV260013424B运单2柜产生质量问题，其中53.35吨工厂检测杂质超标，TELU2283128(26.58吨)杂质为2.86%，GCXU2171181(26.77吨)杂质为3.05%，不符合合同约定标准，经过双方友好协商，TELU2283128按55元/吨扣款接收，GCXU2171181按61元/吨扣款接收，即总共扣款26.58吨*55元/吨+26.77吨*61元吨=3094.87元"/>
        <s v="我司与海南省粮油产业有限公司于2026年1月30日签订的《粮食销售合同》（合同号：JCYMHN260002-1），合同数量1500吨，合同单价2441元/吨，截止目前共计执行1499.4吨，执行完毕。该批货物在接卸过程中客户反馈不完善粒及杂质超标等质量问题，我司现场人员范闻超和工厂品管人员共同抽样检测，检测结果事实存在，现场检测不完善粒11.75%，杂质1.2%，合计数量1499.4吨。经双方友好协商，此批玉米按20元/吨进行扣价接收，合计扣款¥29988元。"/>
        <s v="广西辽大农业科技股份有限公司YMGXNN250131玉米散粮合同（2000吨，现金2405元/吨,钦州港自提)于1月8日至31日期间，钦州港提“长峰98/V2526”1986.82吨，出现水分超出合同标准情况。客户原则上拒收，经过沟通，要求整体扣款15元/吨，后经反复多次沟通，客户要求扣款5元/吨并发出商函，最终沟通后，本着长期友好合作理念，客户让步同意对该合同整体进行4元/吨扣款接收，合计扣款：7,947.28元"/>
        <s v="现有赣州湘大骆驼饲料有限公司与我司于2026年1月26日签订的内贸玉米合同YMZSJQY260016，数量1500吨，单价2320元/吨，客户于2月5日开始提货我司新沙港大船：长鑫86，共计提货980.4吨，到厂后有部分车辆水分检测超出合同质量签订标准：水分≤ 15%的约定，经过双方友好协商，申请对以下提货水分超标的车辆共计扣款8059.68元（单吨扣款约8.22元/吨）"/>
        <s v="2026年1月7日我司与温氏集团下属子公司签订内贸玉米合同，合同号YMZSJDKHWS250048-2、YMZSJDKHWS250048-3.单价为2360 元/吨。客户提新沙港国家能源 610/2513 货物，报 2259.88吨货物破碎粒、杂质、水分、赤霉烯酮等超标，属于折价接收范围"/>
        <s v="梅州大北农生物科技有限公司，2026 年 1 月 29 日签订的《粮食销售合同（赊销）》(合同编号:YMZSJJY250224)_x000a_合同数量 1000 吨，合同单价 2425 元/吨，客户提货航安顺/2603，共计提货重量 994.92 吨，经检测三车 199.38_x000a_吨水分分别为 15.22%、15.43%、15.43%超出合同约定不符合合同约定标准（水分≤15%），我司承担该批次下_x000a_超标水分 199.38 吨折合货款 1740.59 元。"/>
        <s v="我司于 2025 年 12 月 12 日与佛山播恩生物科技有限公司签订内贸玉米_x000a_合同，编号 JCYMZSJDG25051-1 ，合同数量 500 吨，单价 2378 元/吨。_x000a_客 户 2026 年 2 月 1 号 于 南 沙 港 东 星 海 泰 /80 提 货 ， 提 单 号_x000a_NSDXHT8026064，因工厂检测抽检，其中 32.72 吨毒素为 1654ppb，不符合_x000a_合同约定标准，经过双方友好协商，按 10 元/吨扣款接收，即总共扣款 32.72_x000a_吨*10 元/吨=327.2 元"/>
        <s v="兹有我司与福州海龙生物科技有限公司司签订《粮食销售合同》（合同号：YMFJFZ250158），合同数量1200吨，单价2265元/吨，配送到厂，合同约定容重（g/L)≥685，霉变≤2%，水分≤15%，热损≤2%，呕吐毒素≤1000ppb。该合同于2025年11月14日-2026年1月20日提货玉米，共计提货1185.85吨，接货1183.97吨，其中部分到货检测结果不符合合同标准（呕吐毒素超标，在1200ppb-1800ppb，杂质超标，霉变超标等情况），扣款15213.7元（明细详见商函），折合12.8元/吨。该合同考虑为不保毒素玉米中挑选出货，在销售时已考虑扣款因素加价15元/吨销售，加价可涵盖扣款。_x000a_以上扣款是否可行，请领导批示"/>
        <s v="我司于 2025 年 10 月 30 日与佛山播恩生物科技有限公司签订内贸玉米_x000a_合同，编号 YMZSJDG250412 ，合同数量 1500 吨，单价 2220 元/吨。_x000a_客户 2025 年 12 月 14 号于麻涌港国家能源 610/2512 提货，提单号_x000a_GJNY6101225003，因工厂检测抽检，其中 31.38 吨毒素为 1820ppb，不符_x000a_合合同约定标准，经过双方友好协商，按 30 元/吨扣款接收，即总共扣款_x000a_31.38 吨*30 元/吨=941.4 元"/>
        <s v="通过实地抽样及多轮复测后，整体杂质多超过合同约定的≤1%的指标，_x000a_平均杂质在2.5-2.8%之间，经过多次沟通后计划扣款25018.07元，折合单吨_x000a_6.26元/吨。由于年前涉及到部分合同货款到期，为避免逾期货款产生故在春_x000a_节前做了部分结算，对于该扣款金额折到YMGXXJ250149合同上结算。"/>
        <s v="我司于2025年12月26日与正大康地(广州番禺)有限公司签订内贸玉米合同，编号YMZSJDG250500 ，合同数量3000吨，单价2370元/吨。_x000a_客户2026年2月7号于南沙港东星海泰/82提货，提单号NSDXHT8226003，因工厂检测抽检，其中278.14吨平均水分为15.2%，不符合合同约定标准，经过双方友好协商，按6元/吨扣款接收，即总共扣款278.14吨*6元/吨=1668.84 元"/>
        <s v="联系单号：YHSZ-25-121922，广州顺泽粮食贸易有限公司，2026年2月3日签订的《粮_x000a_食销售合同》(合同编号：JZXYMDG26018)合同数量377吨，合同单价2430元/吨，结_x000a_算数量376.585吨_x000a_该合同在2月7号交货过程中，2柜工厂检测杂质超标，不符合合同约定标准，经过双方_x000a_友好协商，按照20元/吨扣款接收，即总共扣款52.52吨*20元/吨=1050.4元"/>
        <s v="我司与南平华农恒青农牧有限公司于 2026 年1月20日签订《粮食销售合同》（合同编号：YMFJFZ260012），数量400吨，赊销，单价2450元/吨，合同约定水分≤15%，杂质≤1%，呕吐毒素≤1000ppb。该合同已累计提货405.12吨，客户2026年2月9日接收100.17吨玉米，存在提货杂质超标的情况。所提货物匹配船名：铭宏发展/2603。    经与客户多次协商沟通，客户对该批玉米扣款接收，其中100.17吨玉米产生商务扣款2161.58元（人民币贰仟壹佰陆拾壹元伍角捌分），折单吨扣款21.6元/吨（整笔合同折单吨扣款5.3元/吨）。我司在1月20日销售时，当日赊销指导价格2435元/吨，我司已加价15元/吨，可覆盖扣款。_x000a_     以是否可行，烦请领导批示，谢谢。"/>
        <s v="江门市英海饲料有限公司，2026年1月19日签订的《粮食销售合同》(合同编号:JZXYMZSJJM26005)合同数量610 吨,合同单价2430元/吨，提货港为新会新港。_x000a_江门市英海饲料有限公司于1月29日收到3个柜子，经检验发现水分整体超标约0.4%-0.5%，超过合同约定的水分≤15.0%，经双方协商同意，做商务扣款让步接收。总卸货数为44.78吨，扣款为10元/吨，具体明细如下：_x000a_计划号YHSZ-25-121923，运单号Q089671468，箱号CSNU1470499，卸货数8.58吨，水分15.4%，扣款为10元/吨，扣款金额8.58x10=85.8元。_x000a_计划号YHSZ-25-121923，运单号Q089613601，箱号CSNU1612612，卸货数9.07吨，水分15.5%，扣款为10元/吨，扣款金额9.07x10=90.7元。_x000a_计划号YHSZ-25-121923，运单号Q089810130，箱号CSLU2246130，卸货数27.13吨，水分15.4%，扣款为10元/吨，扣款金额27.13x10=271.3元。_x000a_总扣款金额为85.8+90.7+271.3=447.8元"/>
        <s v="我司进口大麦船“丰收女神”轮，经检疫发现存在小麦线条花叶病毒，于2025年11月10日放行。该船与漳州温氏农牧有限公司于2025年6月6日签订的进口大麦合同，对应合同编号为JKDMFJFZ250006，合同数量为4000吨，单价为2120元/吨。另，与莆田温氏家禽有限公司2025年6月6日签订的进口大麦合同，合同编号为JKDMFJFZ250007，合同数量为1000吨，单价为2120元/吨，免堆存期为25天(免堆期截止日期:2025年12月4日)。_x000a_因病毒原因，流向至莆田温氏家禽有限公司被关区外海关禁止调入，因此转由漳州温氏农牧有限公司接收，对应合同号JKDMFJFZ250007-2。故漳州温氏农牧有限公司执行该船5000吨合同。_x000a_1.合同JKDMFJFZ250006中，货物于2025年11月10日放行，免堆存期为30天(免堆期截止日期:2025年12月9日)。但客户于2026年1月1日提货完毕，超期23天。期间，因大麦存储筒仓与进口大豆同时出库，导致出库时间错峰，从而产生了8311.07元的超期堆存费。_x000a_2.合同JKDMFJFZ250007-2，因转流向于2025年12月10日放行，免堆存期为25天(免堆期截止日期:2026年1月3日)。客户提货时间于2026年1月28日提货完毕，超期25天。这1000吨大麦属于额外生产需求，导致工厂加工承压，延长了出库时间，产生了7758.02元的超期堆存费。_x000a_鉴于我司我司进口大麦病毒以及工厂生产压力等因素，现恳请对漳州温氏农牧有限公司的进口大麦提货期限进行延长5天。原应收超期堆存费总计16069.09元，若提货期延长5天，则实际应收费用将为11263.42元，减免4805.67元。_x000a_综上情况，现申请上述份合同提货期延长申请，是否可行，请领导批示。"/>
        <s v="我司于2026年1月6日与永州市漓源饲料有限公司签订内贸玉米合同，编号YMZSJDKHLY260001，数量1100吨，单价2330元/吨。_x000a_客户于南沙港东星海泰/81与东方祥通/2518提货，提单号NSDXHT8126028与NSDFXT2518030，因工厂检测杂质偏高，综合平均杂质4.29%。因对客户成品以及口碑造成影响，扣价30元/吨，需扣价:1099.48*30=32984.4元。_x000a_请领导批示。"/>
        <s v="我司于2025年12月16日与梧州柳新农牧科技有限公司签订内贸玉米合同，编号YMZSJDKHLY250204，数量2000吨，单价2350元/吨。_x000a_客户于2026年1月10日在南沙港东星海泰/80提货，提单号NSDXHT8026026，驳船名:广通0819。因工厂检测赤烯酮与杂质偏高综合平均赤霉烯酮326.75ppb，杂质平均值4.56%。因对客户成品以及口碑造成影响，扣价40元/吨，需扣价:1999.706*40=79988.24元。_x000a_请领导批示。"/>
        <s v="兹有我司与福建圣农发展（浦城）有限公司签订YMFJFZ250164号《粮食销售合同》，合同数量2000吨，单价2390元/吨，截止2月28日，该合同实际送货1949.73吨，接货1949.64吨，质量扣款23183元，折合扣款11.85元/吨，该扣款为圣农杂质及不完善粒固定扣款，在销售合同时已进行加价15元/吨进行销售，实际无损失。_x000a_以上扣款，是否可行，请领导批示。"/>
        <s v="兹有我司与圣农发展（政和）有限公司签订YMFJFZ250165号《粮食销售合同》，合同数量1000吨，单价2390元/吨，截止2月28日，该合同实际送货954.42吨，接货953.99吨，质量扣款12839.3元，折合扣款13.46元/吨，该扣款为圣农杂质及不完善粒固定扣款，在销售合同时已进行加价15元/吨进行销售，实际无损失。_x000a_以上扣款，是否可行，请领导批示。_x000a_"/>
        <s v="我司于2026年2月2日和深圳市中佳粮食有限公司签订粮食销售合同JZXYMDG26017(合同量:587吨、单价:2420元/吨),对应运单号:Q090050033;由于运单号:Q090050033、柜号:CSNU1256790在中转码头撒漏玉米，出现少重情况报保险处理，现申请该组柜子按照工厂磅单结算，即14.53吨(北方重量26.7875吨)"/>
        <s v="我司于2026年1月23日和深圳市中佳粮食有限公司签订粮食销售合同JZXYMDG26015(合同量:1650吨、单价:2430元/吨),对应运单号:ZG26019808062-B，Q090050032由于运单号:ZG26019808062-B、柜号:ZGXU2827614出现少重情况，报保险处理，现申请该组柜子按照工厂磅单结算，即23.92吨(北方重量27.06吨)运单号Q090050032，柜号CSLU2018167出现少重情况，报保险处理，现申请该组子按照工厂磅单结算，即25.12吨(北方重量27.8375吨)"/>
        <s v="兹有我司与南平海大生物科技有限公司司签订《粮食销售合同》（合同号：YMFJFZ250189）及《补充协议》（协议号：YMFJFZ250189-1），合同数量500吨，单价2370元/吨，配送到厂，合同约定容重（g/L)≥685，霉变≤2%，水分≤15%，热损≤2%。该合同原为军航码头散粮出货，与客户沟通交付南平港集装箱玉米，对应福满仓及禹泰库。该合同总计提货495.14吨，因提货过程中有玉米发霉、水分超标、发热情况，经双方友好沟通扣款15134.5元，折30.56元/吨。_x000a_以上扣款是否可行，请领导批示。"/>
        <s v="YMYXYJ260001-2，阳春市温氏畜牧有限公司，签订主体:中粮贸易(深圳)有限公司，合同量1500吨，单价2430元/吨，执行量1491.94吨，合同签订标准：玉米赤霉烯酮&lt;200μg/kg，水分≤15%，经检验，该批货物有702.2吨赤霉在368-407之间，水分在15.2-15.51之间，不符合合同约定标准，考虑到双方后期的长期友好合作，对该批货物做15元/吨折价处理，扣款10533元，在货款中扣除。"/>
        <s v=" YMYXYJ260004-2，阳江市阳东温氏畜牧有限公司，签订主体:中粮贸易(深圳)有限公司，大船：锦鑫6/2601，合同量1000吨，单价2415元/吨，执行量1002吨，同签订标准：玉米赤霉烯酮&lt;200μg/kg，杂质≤1%，经检验，该批货物有529.76吨赤霉在349-597之间，杂质在1.15-1.93之间，不符合合同约定标准，考虑到双方后期的长期友好合作，对该批货物做15元/吨折价处理，扣款7946.4元，在货款中扣除。"/>
        <s v="YMYXYJ260013-2，阳江市阳东温氏畜牧有限公司，签订主体:中粮贸易(深圳)有限公司，大船：锦鑫6/2601，合同量1000吨，单价2350元/吨，执行量983.44吨，合同签订标准：玉米赤霉烯酮&lt;200μg/kg，杂质≤1%，经检验，该批货物有114.02吨赤霉烯酮在273-311之间，杂质在1.17-2.68之间，不符合合同约定标准，考虑到双方后期的长期友好合作，对该批货物做15元/吨折价处理，扣款1710.3元，在货款中扣除。"/>
        <s v="现有于与广东嘉豪签署的内贸玉米合同JCYMGXQZ260002-1，数量2000吨，在2026年2月6日-13日期间在执行过程中因水分不符产生了相应的商务问题，执行大船为钦州港“三水809/2601”，执行数量1990.86吨，在抽检过程中水分高点在15.45%，中间值平均在15.2%左右，与客户多次沟通协商后按照扣款3564.89元进行接收，折算到单吨为1.79元/吨。"/>
        <s v="YMYXYJ260013-3，阳西温氏禽畜有限公司，签订主体:中粮贸易(深圳)有限公司，大船：锦鑫6/2601，合同量1000吨，单价2350元/吨，执行量981.08吨，合同签订标准：不完善粒≤10%，经检验，该批货物有216.3吨不完善粒在11.3-16.1，不符合合同约定标准，考虑到双方后期的长期友好合作，对该批货物做5元/吨折价处理，扣款1081.5元，在货款中扣除。"/>
        <s v="YMYXYJ260013-1，阳春市温氏畜牧有限公司，签订主体:中粮贸易(深圳)有限公司，大船：锦鑫6/2601，合同量1000吨，单价2350元/吨，执行量1005.48吨，合同签订标准：杂质≤1%，经检验，该批货物有397.22吨杂质为2.28，不符合合同约定标准，考虑到双方后期的长期友好合作，对该批货物做15元/吨折价处理，扣款5958.3元，在货款中扣除。"/>
        <s v="茂名通威生物科技有限公司JCYMYXMM260005-1(合同量1000吨，单价2440元)，签订日期2026年2月3日。该合同共执行999.67吨。2026年2月8日客户在中心船“中伟顺/2603&quot;轮提货过程中，反馈到货的3车共84.58吨玉米存在水分超标的质量问题，经饲料厂人员取样检测并复查，玉米水分达15.3%，超合同规定标准。经我部与客户多次协商，秉承长期友好合同原则，共申请扣款592.06元，单吨扣款7元/吨。"/>
        <s v="现有清远加乐饲料有限公司与我司于2025年12月17日签订的内贸玉米合同YMZSJQY250282，数量1000吨，单价2380元/吨，客户于2月4日于深粮码头开始提货我司外采粮源:南方地采-谷润/25197合同货物，到厂后有4车杂质检测超出合同质量签订标准:杂质≤2%的约定，经过双方友好协商，决定对杂质超标的货物进行扣款，申请对以下提货杂质超标的4车扣款30元/吨。扣款由上游京粮承担"/>
        <s v="我司与福建省金同星汇贸易有限公司（福建傲农集团重整投资方）于 2025年12月22日分别签订《进口粮食销售合同》合计数量 2000吨，单价2060元/吨按照公司有关规定，进口品种不允许与贸易商合作，福建经营部现将该两笔合同做终止审批处理，按照风控部要求，合同终止需请示品种线同意，妥否，请批示。"/>
        <s v="苏州穗满德国际贸易有限公司YMYXMM260016(合同量600吨，单价2400元)，签订日期2026年1月7日。该合同共执行590.84吨。2026年1月23日客户在中心船&quot;益嘉98/2534”轮提货过程中，反馈到货的2车共62.94吨玉米杂质超标的质量问题，经饲料厂人员取样检测并复查，玉米杂质达1.91%，超合同规定标准。经我部与客户多次协商，秉承长期友好合同原则，共申请扣款1258.8元，单吨扣款20元/吨。"/>
        <s v="现有于与钦州海大桂柳生物科技有限公司的内贸玉米合同YMGXQZ260018，_x000a_数量650吨，在2026年2月10日-13日期间在执行过程中因水分不符产生了相应的_x000a_商务问题，执行大船为钦州港“三水809/2601”，执行数量638.7吨。在抽检过程中水分高点在15.46%，中间值平均在15.3%左右，与客户多次_x000a_沟通协商后按照单吨5元/吨进行扣款接收。"/>
        <s v="我司与广西参皇养殖集团有限公司于 2025 年 6 月 19 日签订《进口粮食销售合同》(合同编_x000a_号:JKGLZSJJM25005)，数量 9500 吨，单价 2380 元/吨，提货港为麻涌港，大船为“浙海 2”，合同_x000a_约定免堆期为 20 天，对应产生堆存费合计 190674.07 元。_x000a_因在合同签订时，双方约定由广西参皇按 9500 吨合同数量，协助我司凑齐整船销售数量；其后_x000a_又因我司清理“浙海 2”剩余库存需求，委托客户额外提货 125 吨，且该部分清仓高粱存在发热、霉_x000a_味、感官偏暗、杂质偏大等质量问题。_x000a_鉴于客户积极配合我司凑船和清仓工作，且分担部分质量欠佳货物，为维护长期稳定合作关系、_x000a_体现合作诚意，现申请对该客户的免堆期延长至 40 天，共计减免堆存费 133471.07 元，实际收取客_x000a_户堆存费 57203 元。"/>
        <s v="兹有我司与漳浦县海新饲料科技有限公司于2025年12月30日签署生效的《粮食销售合_x000a_同》（合同编号：YMFJZZ250325)，合同数量1000吨，合同单价2420元/吨，截止至2026_x000a_年01月15日，该合同累计提货1031.03吨，客户于2026年1月4日至1月6日提货158.85吨，_x000a_经检测杂质、水份超标，对应船名：浙洋97/2537，该船在卸船时已向品种线报备杂质超_x000a_、部分水分异常的情况。"/>
        <s v="广西兴安县扬翔饲料有限公司，2026年1月27日签订的《粮食销售合同》(合同编号:JCYMZSJJM25007-4)合同数量2500 吨,合同单价2394.7元/吨，提货大船名：东星海泰082。_x000a_广西兴安县扬翔于2月12日派桂平安运138船舶到南沙港的东星海泰082提货，提货数量 1497.048 吨。客户检测该批玉米检测综合样杂质1.53%，超出合同标准（合同标准杂质≤1%）。现 _x000a_双方友好协商该船玉米扣款10元/吨，扣款金额1497.048吨*10元/吨=14970.48元。"/>
        <s v="与钦州播恩生物技术有限公司签订的《粮食销售合同》，合同号：YMGXQZ260004，数量1500吨，单价2425元/吨，提“长峰98/V2526”轮散装玉米，其中有9车共295.26吨水分指标远超出合同约定标准15%，客户原则上拒收。经双方协商同意，做商务扣款让步接收，合计扣款金额1538.22元，合同折合单吨扣款1.025元，该合同预留有5元/吨商务，溢余3.975元/吨，于我司有利。"/>
        <s v="现有于南宁通威生物科技有限公司签署的内贸玉米合同在执行过程中因_x000a_杂质不符产生了相应的商务问题，具体如下：JCYMGXXJ260003-1合同在执行钦州港最后一公里配送的三水809/2601中_x000a_因水分超标产生了其商务纠纷，经多次协商抽取水分较高的13车428.84吨做_x000a_扣款2144.2元接收处理（详细见附件一），对应扣款吨数折合单吨5元/吨。"/>
        <s v="YMGXXJ250157合同在执行珠三角最后一公里配送的东方详通/18中因水分_x000a_超标产生了其商务纠纷，经多次协商抽取水分较高的3车139.07吨做扣款_x000a_695.35元接收处理（详细见附件二），对应扣款吨数折合单吨5元/吨。"/>
        <s v="现有韶关海大生物科技有限公司我司于2026年2月11日签订的内贸集装箱玉米合同JZXYMZSJQY260019,数量500吨，单价2465元/吨,客户于2月14日开始接货我司集装箱玉米(计划号:YHSZ-25-121915,运单号:Q090134490、Q090134491)，到厂后，有4车水分检测超出合同质量签订标准:水分≤15%的约定，经过双方友好协商，决定对水分超标的货物进行扣款。"/>
        <s v="现有广州顺泽粮食贸易有限公司我司于2026年3月2日签订的内贸集装箱玉米合同JZXYMZSJQY260022，数量220吨，单价2472元/吨，客户于3月4日接货我司集装箱玉米，计划号:YHSZ-26-011509,运单号:WBYNA262X0055。客户于3月4日接货的TEMU0253426柜存在柜子破洞，漏水情况，该柜底部货物水湿结块严重，有5.36吨货物受损，已经向保险公司报险理赔，保险公司同意对结块粘底货物扣款1000元/吨，共计扣款5360元，已经沟通保险，由保险公司承担该部分费用"/>
        <s v="我司于2026年1月8日与广州市禾润兴饲料有限公司签订内贸玉米合编号 YMZSJDG26001，合同数量 2000 吨，单价 2370 元/吨。同，_x000a_客户 2026年3月2号于新沙港长鑫86 提货，提单号 XSCX8625039因工厂检测抽检，其中 62.74 吨杂质为 2.5%，不符合合同约定标准，经过双方友好协商,按 30 元/吨扣款接收,即总共扣款62.74吨*30 元/吨=1882.2元"/>
        <s v="我司于2026年1月8日与金钱饲料(东莞)有限公司签订内贸玉米合同，编号 YMZS.JDG26002，合同数量 2500 吨，单价 2406 元/吨。客户2026年2月27号于新沙港安丰 09/2604 提货，提单号XSAF0926006,因工厂检测抽检,其中2498.42吨杂质为 3.45%,水分 15.65%,不符合合同约定标准，经过双方友好协商，按10元/吨扣款接收，即总共扣款 2498.42 吨*10 元/吨=24984.2元"/>
        <s v="双胞胎（集团）股份有限公司 YMYXMM250880（合同量 6000 吨，单价 2360 元），签订日期为 202_x000a_5 年 12 月 23 日，合同约定杂质≤1%。该合同执行 5965.74 吨，2026 年 2 月 2 日-2026 年 2 月 5 日在中心_x000a_大船“中恒顺丰/2602”轮提货，862.65 吨杂质 1.43-1.67%超标，不符合同规定。经我司业务人员核实，检_x000a_测结果确实存在。秉承长期友好合同原则，经我部与客户多次友好协商后，862.65 吨申请扣款 10 元/吨，申_x000a_请扣款金额合计 8626.5 元。"/>
        <s v="双胞胎（集团）股份有限公司 YMYXMM250880（合同量 6000 吨，单价 2360 元），签订日期为 202_x000a_5 年 12 月 23 日，合同约定水分≤15%、杂质≤1%。该合同执行 5965.74 吨，2026 年 1 月 7 日-2026 年 1_x000a_月 9 日在外采大船“锦江河/2523”轮提货，67.33 吨水分 15.18-15.6%超标；461.44 吨水分 15.18-15.6%_x000a_且杂质 1.2-1.4%超标，不符合同规定。经我司业务人员核实，检测结果确实存在。秉承长期友好合同原则，_x000a_经我部与客户多次友好协商后，67.33 吨申请扣款 10 元/吨，461.44 吨申请扣款 20 元/吨，申请扣款金额合_x000a_计 9902.1 元。该扣款情况已报备饲料原料部，由饲料原料部向供应方扣款弥补我司损失。"/>
        <s v="丰顺县海新饲料有限公司，2026 年 1 月 22 日签订的《粮食销售合同（赊销）》(合同编号:YMZSJJY250221)_x000a_合同数量 2000 吨，合同单价 2425 元/吨，数量 1000 吨，单价 2430 元/吨，客户提货鑫泰 128/2604，该合同_x000a_已累计交货 976.79 吨，(其中 2 月 14 日 1 车车号:粤 VT7065，重量 33.1 吨，2 月 25 日 3 车车号:粤 V34913，_x000a_重量 32.54 吨，车号:粤 D03333，重量 32.62 吨，车号:粤 MA1287，重量 33.86 吨，合计:132.12 吨)到货玉米_x000a_经检验杂质 1.2%杂质和破碎粒超出合同约定指标(杂质≤1%)，不符合客户接受指标。针对该批次到厂不合格玉_x000a_米，经双方友好协商处理后，退货转扣款接收。"/>
        <s v="梅州双胞胎饲料有限公司，2026 年 2 月 3 日签订的《粮食销售合同（赊销）》(合同编号:YMZSJJY250228)_x000a_合同数量 1500 吨，合同单价 2420 元/吨，客户提货航安顺/2603，提货重量 1494.03 吨，经检测十四车共计 520.87_x000a_吨水分超出合同约定不符合合同约定标准（水分≤15%），一车 43.11 吨赤霉毒素超过合同约定标准（赤霉≤_x000a_200ppb）我司承担该批次下超标水分、赤霉 563.98 吨折合货款 8926.81元。"/>
        <s v="我司与海口金长城饲料有限公司于2026年1月26日签订的《粮食销售合同》（合同号：JZXYMHN260011），合同数量550吨，合同单价2480元/吨。截止目前共计执行553.705吨，执行完毕。该批货物在接卸过程中客户发现玉米水分超过合同约定标准，我司现场人员范闻超和工厂品管人员共同抽样，样品邮寄北方复测后，确认结果事实存在，复测水分15.2-15.5%。经双方友好协商，此批玉米共305.84吨，客户计划扣款7246.9元，经与客户协商，扣款5000元，折合单吨扣款16.35元/吨。"/>
        <s v="我司与南平华农恒青农牧有限公司于 2026 年2月10日签订《粮食销售合同》（合同编号：YMFJFZ260029），数量400吨，赊销，单价2450元/吨，合同约定水分≤15%，杂质≤1%，呕吐毒素≤1000ppb。该合同已累计提货397.25吨，客户2026年2月28日接收174.67吨玉米，存在提货杂质超标的情况。所提货物匹配船名：正海3/2601。_x000a_  经与客户多次协商沟通，客户对该批玉米扣款接收，其中174.67吨玉米，原产生商务扣款11608.13元，经双方多次协商扣款5804.06元（人民币伍仟捌佰零肆元零角陆分），折单吨扣款33.2元/吨（整笔合同折单吨扣款14.6元/吨）。我司在2月10日销售时，当日赊销指导价格2430元/吨，我司已加价20元/吨，可覆盖扣款。_x000a_     以是否可行，烦请领导批示，谢谢。"/>
        <s v="兹有我司与福建省金华龙饲料有限公司于2026年1月19日签订《粮食销售合同》，合同号:JCYMFJFZ250017-1，合同数量500吨，单价2378元/吨，该合同截止2月10日共计提货515.32吨，检测水分超标(合同约定水分≤15.9%，实测结果15.11%~15.5%)，已超出合同约定标准，经双方友好协商按15元/吨扣款，以上质量扣款合计7729.8元。_x000a_以上扣款对应兆丰6/2601(一体化粮源，经华正检验重新复测水分整体超标)，以上扣款是否可行，请领导批示。"/>
        <s v="兹有我司与福建省福清华龙饲料有限公司于2025年11月28日签订《粮食销售合同》，合同号:YMFJFZ250196，合同数量500吨，截止3月4日提货完毕，共计提货517.52吨，其中2026年1月19日至2026年1月29日提货397.59吨，其中提货165.6吨检测水分霉变超标(合同约定水分≤15.0%，霉变≤2%，实测结果15.54%~16.2%)，已超出合同约定标准，经双方友好协商按25元/吨扣款，以上质量扣款4140元;其中188.78吨检测水分霉变超标(合同约定水分≤15.0%，实测结果15.1%~15.5%)，已超出合同约定标准，经双方友好协商按15元/吨扣款，以上质量扣款2831.7元，该合同共计扣款6971.7元。折合合同扣款13.47元/吨。以上扣款玉米，实际对应兆丰6/2601(一体化粮源，经华正检验重新复测水分整体超标)以上扣款是否可行，请领导批示。"/>
        <s v="与广西诚轩粮汇贸易有限公司签订的《粮食销售合同》，合同号:JZXYMGXQZ260007，数量300吨，单价2490元/吨。客户于3月4日到3月5日提货到厂的以下箱号玉米水分超标，不符合合同质量标准，检测指标在15.4-15.9区间。发运计划号：JZXYMSZCG260008；运单：ZG26025109096；ZG26025109104；ZG26015060048，共10箱，301.80吨。经双方协商扣款让步接收，标准为8元/吨，合计金额2414.40元。"/>
        <s v="广西忠昇饲料有限公司 YMLDW2603033001玉米集装箱合同（1000吨，现金2490元/吨,钦州港自提)于3月4日至6日期间提货到厂出现水分超出合同标准情况（15.3-16.4）。发运计划号：JZXYMSZCG260008，运单：ZG26015060118,ZG26015060036,ZG26015060106,ZG26015060098,ZG26015060086,ZG26015060074,ZG26015060062,ZG26015060050,ZG26010008536共34箱，合计1023.42吨。客户原则上拒收，经过沟通，要求整体扣款27428.79元（折单吨27元/吨）并发出商函，经最终沟通后，本着长期友好合作理念，客户让步同意对该合同整体进行5元/吨扣款接收，合计扣款：5117.1元。"/>
        <s v="北流市响亮饲料有限公司 YMYXMM260008-1（合同量 3000 吨，单价 2420 元），签订日期为 2026_x000a_年 1 月 19 日，合同约定容重≥685g/L，呕吐毒素≤2000ug/kg，水分≤15.0%，杂质≤1.0%，霉变粒≤2.0%，_x000a_不完善粒≤10%，黄曲霉毒素 B1≤20μg/kg，玉米赤霉烯酮≤200μg/kg。该合同执行 2991.4 吨，2026 年 1_x000a_月 27 日-2026 年 1 月 31 日在中心大船“益嘉 98/2534”轮提货，711.58 吨呕吐毒素超标，在 2004.27pp_x000a_b-2135.38ppb，不符合同规定。经我司业务人员核实，检测结果确实存在。秉承长期友好合同原则，经我部_x000a_与客户多次友好协商后，申请扣款 20 元/吨，申请扣款金额合计 14231.6 元。成交时预留 5 元/吨溢价处理质_x000a_量扣款，预留价差可覆盖扣款。"/>
        <s v="北流市响亮饲料有限公司 YMYXMM260008-1（合同量 3000 吨，单价 2420 元），签订日期为 2026_x000a_年 1 月 19 日，合同约定容重≥685g/L，呕吐毒素≤2000ug/kg，水分≤15.0%，杂质≤1.0%，霉变粒≤2.0%，_x000a_不完善粒≤10%，黄曲霉毒素 B1≤20μg/kg，玉米赤霉烯酮≤200μg/kg。该合同执行 2991.4 吨，2026 年 1_x000a_月 23 日-2026 年 1 月 26 日在外采大船“锦江河/2523”轮提货，784.12 吨水分 15.21-15.46%，杂质 1.12_x000a_-1.38%，不符合同规定。经我司业务人员核实，检测结果确实存在。秉承长期友好合同原则，经我部与客户_x000a_多次友好协商后，申请扣款 20 元/吨，申请扣款金额合计 15682.4 元。该扣款情况已报备饲料原料部。"/>
        <s v="2026年2月10日签订的《粮食销售合同（赊销）》(合同编号:YMZSJJY250230)合同数量2000吨，合同单价2410元/吨，客户提货鑫泰128/2604，提货重量693.43吨，经检测十三车共计459.7吨赤霉烯酮（266-1099）、呕吐毒素(2300)超出合同约定不符合合同约定标准（赤霉烯酮≤200ppb、呕吐毒素≤2000ppb），我司承担该批次下超标水分459.7吨折合货款 9194元。"/>
        <s v="2026年1月7日签订的《粮食销售合同》(合同编号:YMZSJJY250216)合同数量5000吨，合同单价2400元/吨，客户提货国翔3/2540、锦航佰福/2532，该合同已累计交货4945.39吨，(其中1月26日4车车号:赣C1715D,重量34.26吨，车号:粤VT7065，重量34.47吨，车号:赣C2186D，重量35.75吨，车号:赣C3535D，重量38.12吨，1月27日2车车号:CU2823，重量33.1吨，车号:粤MA1287,重量35.36吨,2月10日4车车号:粤MR7785,重量34.55吨，车号:粤D28948，重量36.46吨，车号:粤VR5572，重量37.42吨，车号:赣C88710，重量42.57吨合计:362.06吨)到货玉米经检验杂质1.2%杂质和破碎粒超出合同约定指标(杂质≤1%)，不符合客户接受指标。针对该批次到厂不合格玉米，经双方友好协商处理后退货转扣款接收。_x000a_目前情况合计产生扣款3620.6元"/>
        <s v="2026年1月7日签订的《粮食销售合同》(合同编号:YMZSJJY250227)合同数量1000吨，合同单价2425元/吨，客户提货鑫泰128/2604，该合同己累计交货988.43吨，(其中2月26日3车车号:粤D28948，重量34.73吨，车号:赣COP948，重量34.72吨，车号:C7N331，重量36.2吨，3月8日2车车号:粤VZ1486，重量30.47吨，车号:C5615D，重量32.47吨，合计:168.59吨)到货玉米经检验杂质1.2%杂质和破碎粒超出合同约定指标(杂质≤1%)，不符合客户接受指标。针对该批次到厂不合格玉米，经双方友好协商处理后，退货转扣款接收。目前情况合计产生扣款1685.9元"/>
        <s v="苏州穗满德国际贸易有限公司，2026 年 1 月 27 日签订的《粮食销售合同》(合同编_x000a_号:JCYMZSJQY250043-2)合同数量 800 吨,合同单价 2439 元/吨,客户提货大船东星海泰/82（一_x000a_体化粮源），3.9 日，客户提货到厂，检测结果霉变、杂质超标，超出合同约定标准，申请扣款 19_x000a_元/吨，合计扣款 15041.16 元，由一体化承担。"/>
        <s v="运单AGGQQKE260083767(36柜)和AJTFTYA260089162(9柜),共计45柜销售给开江门市领宝饲料有限公司(ZXYMZSJM26022、1250吨、单价2470元)，合同签订日期3月5日。客户于3月6日回款，于3月11日完成提货，历时5天，期间产生堆存费1848元，现申请由我司承担。_x000a_请领导批示!"/>
        <s v="一、运单 ASNJNSN250754887, 箱号 TELU2369392、TEMU1234924 和 GCXU2010844,该3个柜子，原先计划卖给开平市绿皇农牧发展有限公司(JZXYMZSJM25059、560、单价2280元)，合同签订日期2025年10月29日。因质量问题，绿皇退回给港口后，转卖给广州市天伟生物科技有限公司(JZXYMZSJM25069、84吨、单价1800元)，合同签订日期2025年11月13日。期间3个柜子共产生滞期费180*3=540元，当时由客户先行帮忙垫付以便接收柜子。因当时临近年末结算，不便冲销发票重新开票，双方经协商后，此费用在后续的JZXYMZSJM26026合同结算_x000a_中扣除。二、运单AQMHQKE260081920A，箱号ATHU1228154，原先计划卖给开平市绿皇农牧发展有限公司(ZXYMZSJM26017、535、单价2460元)，合同签订日期2025年3月3日。因质量问题，绿皇退回给港口后，转卖给广州市天伟生物科技有限公司(JZXYMZSJM26026、17.5吨、单价2200元)，合同签订日期2026年3月11日。_x000a_期间该柜子产生了重出重回的运费，共计780元，当时由客户先行帮忙垫付以便接收柜子，此费用在后续结算中扣除。_x000a_综上，共计540+780=1320元，现申请由我司承担，在JZXYMZSJM26026合同结算中扣除。"/>
        <s v="贵 港 瑞 康 饲 料 有 限 公 司 ， 于 2025 年 11 月 26 日 签 订 的 《 粮 食 销 售 合 同 》 （ 合 同 编_x000a_号:YMZSJM25083、合同数量 10000 吨、合同单价 2380 元/吨，配送船只分别为贵港航泰 3698、桂_x000a_平飞达 246、桂远航 8 9 8 和航凯 508，其中有 1 条船只存在超期费用:_x000a_桂平飞达 246,12 月 17 号 19 点回到白沙，28 号 17 点半卸轻，存在超期费用，按超期 22 小时来_x000a_算，滞期费总共为 2287.09 元_x000a_此费用双方协商后，由贵港瑞康饲料有限公司全部承担。"/>
        <s v="我司与广东华农温氏畜牧股份有限公司2025年06月05日签订内贸玉米合同(合同号:YMZSJDKHWS250009,合同数量20000吨,单价2430元/吨),2025年7月14日转让至分工厂执行，后变更为配送合同.该批合同由广州市生生物流有限公司进行配送到中转码头，配送后，因工厂接货能力不足，以下4船到达中转码头后未能及时卸货,产生17704.10元,为了维护客户，由客户与珠三角经营部各承担8852.05元，该笔费用由物流仓储部支付给广州市生生物流有限公司，因该合同已进行结算，客户需承担的该部分费用申请在后续合作中通过合同扣款或合同加价补偿回，同时订单留底备案。"/>
        <s v="2026年2月6日我司与双胞胎集团签订内贸玉米合同，合同号:YMZSJDKHISBT2600017，单价分别为2400元/吨。客户提南沙港东星海泰/82货物，报32.06屯货物杂质超标，属于折价接收范围，单吨扣价10元"/>
        <s v="2026年2月11日我司与海大集团下属子公司签订内贸玉米合同，合同号:YMZSJHD260076,单价为2380元/吨。客户提南方地采-谷润/25199货物,报1096.92吨货物水分超标，在货物中挑拣出石块86.1KG，单吨扣价10元"/>
        <s v="合同在执行苏湾码头最后一公里配送的集改散玉米中因霉变超标产生了其商务纠纷，经多次协商对本合同执行的 2 车(桂R01608D、桂 R02918D)84.4 吨做扣款 422 元接收处理。另一车桂 R05931D 霉变指标较高，退回苏湾仓库。"/>
        <s v="JCYMGXXJ260002-1 合同在执行珠三角的福顺 338 中因杂质超标产生了_x000a_其商务纠纷，经多次协商对本合同执行的 12 车 455.47 吨，总计扣款 2277.4_x000a_元接收处理"/>
        <s v="JCYMGXXJ260004-2 合同在执行白沙码头最后一公里配送的长鑫 86 中_x000a_因水分超标产生了其商务纠纷，经多次协商对本合同执行的 15 车 748.82 吨_x000a_做扣款 3744.1 元接收处理（详细见附件一），对应扣款吨数折合单吨 5 元/_x000a_吨"/>
        <s v="我司与南平海大生物科技有限公司于 2026 年1月6日签订《粮食销售合同》（合同编号：YMFJFZ260005），数量540吨，单价2390元/吨，合同约定水分≤15%，杂质≤1%。该合同已累计提货537.54吨，客户2026年1月20日-2月11日接收288.03吨玉米，存在提货杂质超标严重的情况，部分水分超标。所提货物来源船名：兆丰6/2601。_x000a_经与客户多次协商沟通，客户对该批玉米扣款接收，共计288.03吨玉米，产生商务扣款14401.5元，（人民币壹万肆仟肆佰零壹元伍角），折单吨扣款50元/吨。该船玉米已与第三方检测人员一同检测，同时对于客户反馈的商务第一时间与第三方检测人员到工厂核实情况。客户原需退货处理，经多次协商，客户同意扣款接收。_x000a_     以是否可行，烦请领导批示，谢谢。"/>
        <s v="兹有我司与龙岩大北农生物科技有限公司于2026年02月04日签署生效的《粮食销售合同(赊销)》(合同编号:YMFJZZ260043)，合同数量300吨，合同单价2410元/吨，截止至2026年03月08日，该合同累计提货282.4吨，其中客户于2026年3月1日提货批次对应2车合计65.46吨玉米经检测水分超标，经双方友好协商，该批次货物由退货转扣款接收。以上情况合计产生扣款566.35元。"/>
        <s v="丰顺温氏家禽有限公司， 2026 年 2 月 5 日签订的《粮食销售合同（赊销）》(合同编号:YMZSJJY250229)_x000a_合同数量 2000 吨，合同单价 2410 元/吨，客户提货鑫泰 128/2604、航安顺/2603，提货重量 1981.94 吨，提_x000a_货时间2026年2月11日至3月9日，经检测二十六车共计 938.91 吨杂质、赤霉烯酮、黄曲霉毒素超出合同约定不_x000a_符合合同约定标准（赤霉烯酮≤200ppb 、黄曲霉毒素≤30ppb、杂质≤1） ，我司承担该批次下超标杂质、赤霉_x000a_烯酮、黄曲霉毒素 938.91 吨折合货款 28167.3 元"/>
        <s v="揭阳海大饲料有限公司，2026 年 1 月 27 日签订的《粮食销售合同》(合同编号:JCYMZSJJY250155-1)合同_x000a_数量 3000 吨，合同单价 2412.51 元/吨，客户提货鑫泰 128/2604，提货重量 2990.64 吨，经检测两车赣 DK8181、_x000a_赣 FC0156 共计 69.78 吨水分分别为 15.24%、15.18%超出合同约定不符合合同约定标准（水分≤15%），我司_x000a_承担该批次下超标水分 69.78 吨折合货款 348.9 元。"/>
        <s v="兹有我司与福建圣农发展（浦城）有限公司签订YMFJFZ260021号《粮食销售合同》，合同数量500吨，单价2550元/吨，截止3月15日，该合同实际送货509.74吨，接货509.96吨，质量扣款6400.5元，折合扣款12.55元/吨，该扣款为圣农杂质及不完善粒固定扣款，在销售合同时已预留12元/吨溢价进行销售，实际无损失。_x000a_以上扣款，是否可行，请领导批示。_x000a_"/>
        <s v="贵港瑞康饲料有限公司，于2026年1月28日签订的《粮食销售合同》(合同编号:YMZSJM26013、合同数量5000吨、合同单价2370元/吨，提货大船为南沙港的东星海泰/82。2026年3月3日送货至工厂的驰海5599船玉米，经客户质检部门检测，该船杂质超标:该船玉米共入库1598.06 吨，其中 836.36吨杂质占比例2.08%,不符合原合同质量标准杂质≤1%.杂质超标扣款合计:836.36 吨*(2.08%-1%)*2,370元/吨=21407.47元。此费用双方协商后，该笔扣款在结算时扣减，总扣减金额为21407.47元。"/>
        <s v="我司与南平华农恒青农牧有限公司于 2026 年2月24日签订《粮食销售合同》（合同编号：YMFJFZ260034），数量500吨，赊销，单价2475元/吨，合同约定水分≤15%，杂质≤1%，呕吐毒素≤1000ppb。该合同已累计提货507吨，客户2026年3月3日-3月13日接收362.22吨玉米，存在提货杂质超标的情况。所提货物匹配船名：正海3/2601。   经与客户多次协商沟通，客户对该批玉米扣款接收，其中362.22吨玉米，原产生商务扣款10385.18元，经双方多次协商扣款7269.63元（人民币柒仟贰佰陆拾玖元陆角叁分），折单吨扣款20元/吨（整笔合同折单吨扣款14.33元/吨）。我司在2月24日销售时，当日赊销指导价格2453元/吨，我司已加价22元/吨，可覆盖扣款。"/>
        <s v="我司与将乐温氏家禽有限公司于 2026年1月21日签订《粮食销售合同》（合同编号：YMFJFZ260011），数量1000吨，赊销，单价2515元/吨，合同约定水分≤15%，杂质≤1%。该合同已累计提货982.37吨，客户2026年3月1日-3月11日接收的230.02吨玉米，存在杂质粉尘超标。所提货物匹配船名：兆丰6/2601。    _x000a_     经与客户多次协商沟通，对杂质破碎超标的230.02吨玉米客户原定扣款25元/吨接收转为扣款15元/吨接收，产生商务扣款3450.3元（人民币叁仟肆佰伍拾元叁角），整笔合同折单吨扣款3.5元/吨。该船货物北方第三方检测人员一同到福州作卸船检测，相应的杂质超标情况已及时反应北方。"/>
        <s v="兹有我司与福州市农益森农业发展有限公司签订YMFJFZ260030号《粮食销售合同》，合同数量2000吨，单价2420元/吨，截止3月15日，该合同实际提货2098.58吨，在接货过程中，其中873.54吨存在杂质及水分超标情况(水分检验15.3-16%，杂质2-4%)，质量扣款21838.5元，折合扣款25元/吨，该部分数量对应兆丰6、炜业99，(2船检验报告均有杂质超标和水分超标检验报告)。"/>
        <s v="广东比利美英伟生物科技有限公司，2026 年 1 月 23 日签订的《粮食销售合同》(合同编_x000a_号 :JZXYMZSJQY260008) 合 同 数 量 500 吨 , 合 同 单 价 2470 元 / 吨 , 客 户 提 货 外 采 合 同 号_x000a_JZXYMSZCG260012，运单号 ZG26025090442_A、ZG26020055030，我司 3.2-3.5 日配送到厂，_x000a_其中 6 柜到厂检测呕吐毒素超标（合同约定呕吐毒素≤1000ppb），经与客户协商后，客户扣款接_x000a_收，明细如下，合计扣款 1950.42 元，经与品种线沟通，该部分扣款由上游承担。"/>
        <s v="兹有我司与南平鑫华港饲料有限公司于2025年11月28日签订《粮食销售合同》，合同号:YMFJFZ250194，合同数量2000吨，截止3月24日提货完毕，共计提货2000.09吨，其中2026年1月20日至2026年2月12日提货1392.02吨，其中检测水分、杂质超标(合同约定水分≤15.0%，实测结果15.21%~16.2%;合同约定杂质≤1%，实测结果2.1%~3.2%)，已超出合同约定标准，经双方友好协商按20元/吨扣款，以上质量扣款27840.4元。_x000a_以上扣款玉米，实际对应兆丰6/2601(一体化粮源，经华正检验重新复测水分整体超标)以上扣款是否可行，请领导批示。"/>
        <s v="清远加乐饲料有限公司于2026年2月10日签订的《粮食销售合同》(合同编号:JZXYMZSJQY260018)合同数量330吨,合同单价 2460 元/吨,客户提货外采合同号JZXYMSZCG260012，运单号ZG26025090454，我司配送到厂，其中10柜到厂检测呕吐毒素、水分超标，(合同约定呕吐毒素≤1000ppb,水分≤15%)经与客户协商后，客户扣款接收，合计扣款9787.76元，已经沟通品种线，该部分扣款由上游承担。"/>
        <s v="我司于2025年11月4日与广东正钱饲料有限公司签订内贸玉米合同，编号YMZSJDKHLY250166，数量2000吨，单价2190元/吨。_x000a_客户于新沙港安丰09/2604提货，提单号XSAF0926007，因工厂卸货时其中一车到货30.74 吨卸出砖块，砖块称重共0.026吨。因对客户成品以及口碑造成影响，将该部分重量折合扣价0.026*2190=56.94元，剩余30.714吨玉米按 10 元/吨处理费扣价30.714*10=307.14元，合计需扣价:56.94+307.14=364.08元。"/>
        <s v="我司于2025年11月4日与清远正清源畜牧实业有限公司签订内贸玉米合同，编号YMZSJDKHLY250168，数量2000吨，单价2190元/吨。客户于新沙港长鑫86提货，提单号XSCX8625041，共计提货四车122.74吨。因工厂检测呕吐毒素偏高，综合平均呕吐毒素1928.94ppb。因对客户成品以及口碑造成影响，扣价10元/吨，需扣价: 122.74*10=1227.4元。"/>
        <s v="我司与正大原料供应有限公司于 2025 年1月22日签订《粮食销售合同》（合同编号：YMFJFZ260017），数量 500 吨，单价2460元/吨，合同约定杂质≤1%，不完善粒≤8%，呕吐毒素≤1000ug/kg。 客户于2026年2月5日-3月10日提货的498.09吨玉米存在杂质、水分、呕吐毒素超标情况。其中第二批接货83.83吨，合计产生扣款1295.28元。_x000a_整批合同提货的498.09吨玉米存在杂质、水分、呕吐毒素超标情况，共计扣款11793.57元（大写：人民币壹万壹仟柒佰玖拾叁元伍角柒分），折单吨23.67元。所提货物匹配船名：兆丰6/2601。_x000a_2026年1月22日的指导价格2437元/吨，有23元/吨的溢价销售，同时对于兆丰6/2601的玉米，北方第三方检测华正已派人到现场进行共同检测，该批到货玉米实际存在杂质、水分超标的情况。_x000a_      以上扣款请领导批示，谢谢。"/>
        <s v="我司于2026年2月9日与正大康地(广州番禺)有限公司签订内贸玉米合编号YMZSJDG26016,合同数量2500吨,单价2405元/吨。客户于2026年3月18号-21号于新港南方地采-首裕/26010提货，提单号NFDCSY2601002,因工厂检测抽检,其中414.66 吨水分为15.31%-15.49%不符合合同约定标准，经过双方友好协商，其中128.98 吨水分为15.31%，按9元/吨扣款接收，水分为15.49%的285.68吨，按14元/吨扣款接收。即总共扣款128.98吨*9元/吨+285.68吨*14元/吨=5158.66元"/>
        <s v="我司于2026年1月16日与佛山市顺德区利宝饲料有限公司签订内贸玉米合同，编号 YMZSJDG26011，合同数量 4000吨，单价2345元/吨该合同为配送合同，结算数为3847.815吨，提单号NSDXHT8126027和NSDXHT8226002按照港口磅单结算。提单号NSDXHT8126027，损耗989.458吨*千分之 2=1.979 吨，我司承担16.345 吨，结算数 973.113 吨;提单号NSDXHT8226002，损耗958.93吨*千分之 2=1.918吨，我司承担 40.434 吨结算数为 918.496 吨。"/>
        <s v="我司于2026年1月30日与广州番禺灵川饲料有限公司签订内贸玉米合同，编号 YMZSJDG26050，合同数量700吨，单价2338元/吨。_x000a_客户2026年3月13号于麻涌港南方地采-谷润/25199提货，提单号NFDCGR26019，码头实装数598.30吨，我实收数596.45吨，差异1.85吨，损耗率0.3%，超出0.1%损耗(即0.6吨*2338元/吨=1402.8元)。因该合同为配送合同，申请在货款中扣除1402.8元(附扣款商函(备注:其中1402.8元损失，烦请物流仓储部在与物流公司结算中扣_x000a_除)"/>
        <s v="我司与漳州市海扬饲料有限公司于2026年02月03日签署生效的《粮食销售合同（赊销）》（合同编号：YMFJZZ260035)，合同数量1300吨，合同单价2420元/吨，截止至2026年03月18日，该合同累计提货1282.36吨，客户于2026年3月11日至3月17日提货批次玉米经检测杂质超标（均超出合同约定标准），合计提货1282.36吨，对应船名：信耀/2604；"/>
        <s v="我司与漳州市海力饲料有限公司于2026年02月03日签署生效的《粮食销售合同（赊销）》（合同编号：YMFJZZ260036)，合同数量700吨，合同单价2420元/吨，截止至2026年03月17日，该合同累计提货686.68吨，其中客户于2026年3月04日至3月17日提货玉米杂质严重超标（均超出合同约定标准），合计质量扣款5704.780元，对应船名：信耀/2604"/>
        <s v="清远大北农生物科技有限公司，2026年1月23日签订的《粮食销售合同》(合同编号:YMZSJQY260021)合同数量1500吨,合同单价2445元/吨,客户提货大船国家能源611/2603,3.7-3.8日，客户提货到厂，其中五车(161.86吨)检测杂质超标，超出合同约定标准2%,经与客户协商后，客户扣款接收，明细如下，协商后，合计扣款1618.6元"/>
        <s v="我司与广东新粮实业有限公司新粮饲料厂于2026年3月23日签订的《粮食销售合同》，合同号YMZSJM26024，销售单价2510元/吨，合同数量1000吨，于2026年3月27日放货，新沙港，船名国远701，采购合同号YMSZCG260003，放货编号NFDCGR26037。_x000a_客户于2026年4月1日提货一船，999.64吨，驳船名粤新会货8137，经检测后发现该船玉米存在霉变粒超标和赤霉超标的情况，现已送第三方检测。其中，霉变粒第一次检测达5%，第二次复测达4.75%，合同签订霉变粒≤2.0%;玉米赤霉烯酮第一次检测超5000ppb，第二次复测达3480.5ppb。该霉变粒指标不符合与客户签订的合同标准，客户无法使用，现申请退货处理。_x000a_请领导批示。"/>
        <s v="合同号：JKDMSZJDKHSBT25001、JKDMSZJDKHSBT25002，双胞胎（集团）股份有限公司，数量分别是 3 万吨、1.5 万吨，进口大麦，2025 年 3 月船期，在外轮 “安娜格” 轮上执行；两份合同合计 4.5 万吨进口大麦，在执行过程中产生港口堆存费合计 18476.66 元。本次堆存费为多重客观不可控因素叠加导致，非客户主观履约延误：1、货量集中到港，超出客户月度消化峰值：两份合同 4.5 万吨货物同时发出、同时到港，超出客户每月 3 万吨的最大用量峰值，且到货期恰逢新季国产玉米大量上市，客户仓储、接卸、分拨承压巨大，经全力协调后仍产生超期；2、恰逢国庆超长假期，期间无法安排开单、码头作业，无作业条件，申请延长8天免堆存期；3、客户按合同约定以银行承兑汇票付款，因我方月底关帐，暂不予承兑，导致货款无法如期到账、无法开单；4、客户主动配合我方完成码头尾量清仓，规避了进口粮核销流程的合规隐患，确保了进口粮食全程合法合规合理。"/>
        <s v="我司与贵港瑞康饲料有限公司签订的三份粮食销售合同，因货物配送船只超期产生滞期费用，经双方协商确定由贵港瑞康饲料有限公司全额承担，具体明细如下：_x000a_1、合同YMZSJJM25107，是于2025年12月30日签订的《粮食销售合同》（合同数量2500吨，合同单价2460元/吨），配送船只为海华838。该船于2026年1月17日17:22抵达货港，2026年1月29日16:35卸轻，产生滞期费5000.50元。_x000a_2、合同YMZSJJM26007，是于2026年1月7日签订的《粮食销售合同》（合同数量5000吨，合同单价2430元/吨），配送船只分别为桂平宏泰5668和桂平海宏6689。其中：_x000a_（1）桂平宏泰5668于2026年1月19日7:40抵达货港，2026年2月1日23:18卸轻，产生滞期费7494.81元。_x000a_（2）桂平海宏6689于2026年1月20日7:25抵达货港，2026年2月2日7:53卸轻，产生滞期费7403.82元。本合同合计滞期费14898.63 元。_x000a_3、合同YMZSJJM26005，是于2026年1月6日签订的《粮食销售合同》（合同数量5000吨，合同单价2360元/吨），配送船只为桂平飞达636和桂平宏泰6668。其中：_x000a_桂平飞达636于2026年1月25日16:33抵达货港，2026年2月8日6:44卸轻，产生滞期费 8737.72 元。_x000a_上述三份合同滞期费用经我司与贵港瑞康饲料有限公司协商一致，确定由贵港瑞康饲料有限公司全额承担，总滞期费用合计28636.85元。后续我司将按各合同对应滞期费金额，分别开具3张发票交付至贵港瑞康饲料有限公司。"/>
        <s v="黄敏杰，于2025年11 月25日签订的《玉米销售合同》(合同编号:JZXYMZSJJM25078,同数量330吨、合同单价2415元/吨，柜子数为18柜，提货港口为四会永泰港。因四会永泰港口的要求，每个柜子的过磅费为10元/柜，一共产生了10x18=180元的过磅费，该费用由黄敏杰进行代付。因当时临近年末结算，不便冲销发票重新开票，双方经协商后，此费用在后续的JZXYMZSJJM26037合同结算中扣除。"/>
        <s v="我司与广州市禾润兴饲料有限公司于2026年3月3日签订《玉米销售合同》(合同号JZXYMZSJM26018合同吨数420吨，销售单价2455元)。该批货物对应运单号ZG26020024768，货物于2026年2月12日到港，享受压年免滞期21天政策，免滞期截止日期为2026年3月4日。_x000a_同期四会南江货物集中到港，客户于2026年3月6日(周五)下午16:24才完成回款并提交放货申请。因申请提交时间为周五下午，恰逢周末，放货相关手续流程无法正常办理，货物直至3月9日(周一)才完成放行，客户于3月10日将货物全部提离。上述客观情况叠加，导致该批货物产生超期滞期费用，合计3024元。现特申请由我司承担该笔滞期费，并支付至上海中谷新良物流有限公司。"/>
        <s v="饲料原料部、物流仓储部：_x000a_广州市禾润兴饲料有限公司，2026 年 4 月 7 日签订的《粮食销售合同》(合同编号:JZXYMZSJJM26040)合同数量 1000_x000a_吨,合同单价 2490 元/吨，客户提货计划号 YHSZ-26-020925-1，提货为四会南江港。_x000a_该运单号 Q091390933，货物于 2026 年 3 月 27 日到港，免滞期截止日期为 2026 年 4 月 7 日。由于下游需求不好，_x000a_经过双方协商，给予客户 5 天的提柜时间。现客户提离后，该运单号 Q091390933 已滞期 2 天，产生滞期费 156 元。_x000a_现特申请由我司承担该笔滞期费，并支付至华南中远海运集装箱运输有限公司肇庆分公司"/>
        <s v="广东粮品农产品经营有限公司，2026 年 3 月 3 日签订的《粮食销售合同》(合同编号:JZXYMZSJJM26019)_x000a_合同数量 1233 吨,合同单价 2480 元/吨，客户提货计划号 JZXYMSZCG260002，运单号 ABUYTYN260093508、_x000a_ABUYTYN260093508A，ABUYTYN260096852、AQMHLXY260081936 和 AQMHLXY260081936B，共计_x000a_46 箱，港杂费 30 元/箱，该批港杂费共计 46 X 30=1380 元。_x000a_广东粮品农产品经营有限公司，2026 年 3 月 4 日签订的《粮食销售合同》(合同编号:JZXYMZSJJM26020)_x000a_合同数量 112 吨,合同单价 2480 元/吨，客户提货计划号 YHSZ-26-011511，运单号 AJTFTYN260094448 和_x000a_Q090754080，共计 4 箱，港杂费分别为 30 元/箱和 20 元/箱，该批港杂费共计 2 X 30+2 X 20=100 元。_x000a_广东粮品农产品经营有限公司，2026 年 3 月 19 日签订的《粮食销售合同》(合同编号:JZXYMZSJJM26033)_x000a_合同数量 510 吨,合同单价 2540 元/吨,客户提货计划号 YHSZ-26-020913-1，运单号 AQLLGHW260142065，_x000a_共计 18 箱，港杂费 30 元/箱，该批港杂费共计 18 X 30=540 元。_x000a_综上，港杂费共计 1380+100+540=2020 元，现特申请由我司承担该笔港杂费。经双方协商，此费用在_x000a_JZXYMZSJJM26033 合同结算中扣除。"/>
        <s v="广东粮品农产品经营有限公司，2026年3月6日签订的《粮食销售合同》(合同编号:JZXYMZSJJM26021)合同数量745吨,合同单价 2470 元/吨,客户提货计划号YHSZ-26-011508，运单号AJTFTYA260089162A,柜号XYLU1329297，柜子有漏洞漏水，造成内部有14.74吨的货物发热有霉味，客户折价2200元/吨收。已报保险处理赔付14.74*(2470-2200)元=3979.8元，在结算中扣除，由保险公司承担。"/>
        <s v="兹有我司与南平市丰源饲料有限公司于2026年1月19日签订《粮食销售合同》，合同号:YMFJFZ260008，合同数量1000吨，单价2370元/吨，该合同累计提货995.33吨，其中139.58吨检测杂质、水分超标(合同约定杂质≤1%，实测结果2%-4%;合同约定水分≤15%，实测结果15.39%-15.42%)，已超出合同约定标准，经双方友好协商按30元/吨扣款，以上质量扣款合计4187.4元。以上扣款玉米，实际对应兆丰6/2601(一体化粮源，经华正检验重新复测水分整体超标)以上扣款是否可行，请领导批示。"/>
        <s v="兹有我司与宁德鑫华港饲料有限公司于2026年1月23日签订《粮食销售合同》，合同号:YMFJFZ260013,合同数量1000吨，单价2405元/吨，该合同累计提货923.59吨，对应船名:兆丰6/2601，其中449.88吨检测杂质、水分超标(合同约定杂质≤1%，实测结果2%-4.1%;合同约定水分≤15%，实测结果15.39%-15.78%)，已超出合同约定标准，经双方友好协商按20元/吨扣款，以上质量扣款合计8997.6元。_x000a_以上扣款玉米，实际对应兆丰6/2601(一体化粮源，经华正检验重新复测水分整体超标)以上扣款是否可行，请领导批示。"/>
        <s v="兹有我司与圣农发展（政和）有限公司签订YMFJFZ260063号《粮食销售合同》，合同数量1000吨，单价2630元/吨，截止3月25日，该合同实际送货962.74吨，接货961.35吨，质量扣款12893.4元，折合扣款13.41元/吨，该扣款为圣农杂质及不完善粒固定扣款，在销售合同时已预留10元/吨溢价进行销售，实际扣款3.41元/吨。"/>
        <s v="兹有我司与福建省金华龙饲料有限公司于2026年2月24日签订《粮食销售合同》，合同号:YMFJFZ260035，合同数量600吨，单价2450元/吨，该合同截止3月25日共计提货622.69吨，检测杂质、水分超标(合同约定≤1%，实测结果1.8%-3.01%杂质，合同约定水分≤15%，实测结果15.11%-16.07%)，已超出合同约定标准，经双方友好协商按25.43元/吨扣款，以上质量扣款合计15835元。以上扣款对应兆丰6/2601(一体化粮源，经华正检验重新复测杂质、水分整体超标)，以上扣款是否可行，请领导批示。"/>
        <s v="2026年3月23日我司与广东新粮实业有限公司新粮饲料厂签订内贸玉米合同，合同号:YMZSJJM26024,单价为2510元/吨。客户提新沙港国家能源608/2607货物，报996.588吨货物杂质超标，属于折价接收范围，以上扣款涉及商务扣款数量996.588吨。总扣款金额为9965.88元，折单吨扣款为10元。"/>
        <s v="我司与赣州联多利饲科科技有限公司于2026年2月28日签订内贸合同,合同号:YMZSJHD260078-8,合同数量:1000吨，单价:2380元/吨。客户于2026年3月30日提麻涌港国家能源608/2060货物，反馈该批货物黄曲毒素偏高,达拒收标准，该批64.5吨货物由赣州联多利饲料科技有限公司退至新沙港，退货期间所产生费用均由客户承担。"/>
        <s v="我司与广东新粮实业有限公司睦洲饲料厂于2026年3月23日签订&lt;&lt;粮食销售合同&gt;&gt;合同号JZXYMZSJM26035合同吨数1600吨，销售单价2530元)。其中14柜对应的运单号ZG26035315920，有12柜于2026年3月27日到港剩余2柜于2026年3月31日到港，免用箱期为14天。原计划分两批交付集装箱，因货物集中到港，已与客户沟通，于2026年4月7日放货，2026年4月14日已协调客户全部接收，期间产生堆存费:530元，超期费:320元，合计850元。现特申请由我司承担该费用，并支付至上海中谷物流股份有限公司"/>
        <s v="我司与广东新粮实业有限公司睦洲饲料厂于2026年3月23日签订&lt;&lt;粮食销售合同&gt;&gt;合同号JZXYMZSJJM26035合同吨数1600吨，销售单价2530元)。其中11柜对应的运单号ABUGWBX260162013，于2026年3月30日到港，免用箱期为14天。原计划分两批交付集装箱，因货物集中到港，已与客户沟通，于2026年4月7日放货，2026年4月14日已协调客户全部接收，期间产生堆存费:5元，滞箱费:480元，合计485元。现特申请由我司承担该费用，并支付至泉州安通物流有限公司。"/>
        <s v="我司与 广州市禾润兴饲料有限公司 于2026年4月3日签订《粮食销售合同》合同号JZXYMZSJJM26038，合同吨数450吨，销售单价2490元)。其中7柜对应的计划号YHSZ-26-020926，运单号Q091432570，于2026年3月31日到港，其中3柜免用箱期起始时间为2026年3月31日，剩下4柜起始时间为2026年4月1日，免用箱期为12天。该批货物存在质量问题（热损和赤霉超标），客户工厂拒收，经与客户友好协商，2026年4月15日已全部接收，期间产生滞期费：1872元。现特申请由我司承担该费用，并支付至华南中远海运集装箱运输有限公司江门分公司"/>
        <s v="兹有我司与福建省邵武市华龙饲料有限公司于2026年1月30日签订《粮食销售合同》，合同号:YMFJFZ260020，合同数量1000吨，单价2390元/吨，该合同截止3月15日共计提货999.92吨，其中413.34吨检测杂质、71吨水分超标(合同约定杂质≤1%，实测结果1.7%-3.6%，合同约定水分≤15%,实测结果15.41%-15.72%),已超出合同约定标准，经双方友好协商质量扣款合计12073.69元。"/>
        <s v="兹有我司与福建省金华龙饲料有限公司于2026年1月28日签订《粮食销售合同》，合同号:YMFJFZ260018，合同数量1300吨，单价2420元/吨，交货期截止2026年3月31日。该合同截止3月20日共计提货1364.83吨,其中524.42吨检测杂质、水分超标(合同约定杂质≤1%，实测结果1.7%-2.98%，合同约定水分≤15%，实测结果15.54%-16.11%)，已超出合同约定标准，经双方友好协商按25元/吨扣款，以上质量扣款合计13135.5元。_x000a_以上扣款对应炜业99/2604(一体化粮源，经华正检验重新复测杂质、水分整体超标)，以上扣款是否可行，请领导批示。"/>
        <s v="我司与福建省莆田市新兴达饲料有限公司签订《粮食销售合同》（合同编号：JZXYMFJFZ250092），数量1650吨，单价2535元/吨，合同约定呕吐毒素≤1000ug/kg。该合同已累计接货1598.16吨，客户2026年1月22日-1月23日接收两柜玉米，经检测存在呕吐毒素超标。经与客户多次协商沟通，客户对毒素超标的两柜玉米扣款接收，产生商务扣款1593.45元（人民币壹仟伍佰玖拾叁元肆角伍分），折价约1元/吨，该合同在销售时已加价保毒素15元/吨，可覆盖扣款，以上是否可行，烦请领导批示，谢谢。"/>
        <s v="与钦州播恩生物技术有限公司签订的《粮食销售合同》，合同号：YMGXQZ260030，数量1500吨，单价2510元/吨，3月18－31日提“大禹长航/V2607”轮散装玉米，其中有14车共466.96吨呕吐毒素指标超出合同约定标准1500，客户原则上拒收。经双方协商同意，做商务扣款让步接收，合计扣款金额2679.28元，合同折单吨扣款1.78元，客户有预留5元/吨商务，溢余3.22元/吨。（附商函及检测报告已收悉）"/>
        <s v="于 2026 年 3 月 3 日签订 2000 吨粮食销售合同（合同编号：YMZSJJY250232）_x000a_合同单价 2506 元/吨，2026 年 3 月 18 日-2026 年 4 月 15 日,提货数量 1971.46 吨，提货鑫泰_x000a_128/2604、锦航奋进/2605。经客户品管检测，此批玉米杂质 1.4-2 超出合同约定标准（杂质≤1）。其中 2026_x000a_年 4 月 15 日最后一车玉米水分 15.46，超出合同指标（水分≤15），影响使用。经双方协商， 一致统一做扣_x000a_款处理。合计扣款 41388.13 元。该合同签订已预留 11 元/吨作扣款处理。_x000a_经双方友好协商处理后，退货转扣款接收，合计扣款 41388.13 元 折合 20.99 元/吨"/>
        <s v="我司与圣农发展（政和）有限公司于 2026年4月10日签订《粮食销售合同》（合同编号：YMFJFZ260116），数量 2000吨，单价2600元/吨。合同约定霉变≤2%，杂质≤1%，水分≤15%。_x000a_客户于4月23日提货玉米，车号闽G71973，净重57.71吨，因政和圣农检验不完善超标，不完善粒达12.4%，尝试调整至浦城圣农（化验较政和宽松），浦城圣农仍检验不完善粒超标，现计划转至南平海大，交付合同YMFJFZ260108。我司配送至浦城圣农运费109元/吨，压车费500元/天（共计压车两天），退货至南平海大运费60元/吨，南平海大按码头自提承担45元/吨的运费。合计物流运费损失8156.04元，折整笔单吨4元。对应海轮：恒顺达8/2607"/>
        <s v="我司与圣农发展（政和）有限公司于 2026年4月10日签订《粮食销售合同》（合同编号：YMFJFZ260116），数量 2000吨，单价2600元/吨。合同约定霉变≤2%，杂质≤1%，水分≤15%；与福建圣农发展（浦城）有限公司于2026年4月10日签订《粮食销售合同》（合同编号：YMFJFZ260115），数量 2000吨，单价2600元/吨，合同约定霉变≤2%，杂质≤1%，水分≤15%。_x000a_客户于4月27日提货玉米，圣农检验水分超标、不完善超标，不完善粒达12.1%，现计划转至南平海大，交付合同YMFJFZ260108。军航码头至政和圣农运费99元/吨，政和圣农转南平海大运费50元/吨，军航码头至浦城圣农运费109元/吨，浦城圣农转海大运费60元/吨；南平海大承担军航码头至南平海大工厂的运费45元/吨。因为前期过筛位置只剩恒顺达8，存在部分点位杂质和水分超标，因此按正常过筛速度无法过筛干净导致不完善粒超标。目前已经通知码头调慢过筛速度，保障过筛品质。共计需补贴运费14720.44元（军航至圣农运费13658.69元、圣农转南平海大补运费1061.75元），政和圣农YMFJFZ260116合同整笔折单吨4.93元；浦城圣农YMFJFZ260115合同整笔折单吨2.42元。所提货物匹配：恒顺达8/2607"/>
        <s v="于 2026 年 3 月 6 日签订《粮食销售合同》(合同编号:YMZSJJY250234)，数_x000a_量 2000 吨，单价 2485 元/吨，该合同于 2026.3.22-3.27 己累计交货 1994.54 吨，提货鑫泰 128/2604，(其中_x000a_3 月 26 日 1 车 车号:赣 CR0596，重量 34.84 吨，3 车号:赣 CR0596，重量月 27 日 7 车车号:粤 V75300，_x000a_重量 33.03 吨，35.44 吨， 车号:粤 VN1708，重量 35.74 吨，车号:赣 C6068W，重量车号:赣 C2668D，重_x000a_量 36.13 吨，车号:赣 K65118，重量 36.85 吨，36.92 吨，车号:闽 FB9509，重量 37.04 吨，合计:285.99 吨)_x000a_到货玉米经检验杂质 1.2%杂质和破碎粒超出合同约定指标(质≤1%)，不符合客户接受指标。针对该批次到厂不_x000a_合格玉米，经双方友好协商处理后，退货转扣款接收。合计扣款 2859.9 元 。"/>
        <s v="广东粮品农产品经营有限公司，2026 年 4 月 7 日签订的《粮食销售合同》(合同编号:JZXYMZSJJM26039)，合同数量_x000a_555 吨，合同单价 2490 元/吨。对应提货计划号：YHSZ-26-020926-1、YHSZ-26-020926 和 YHSZ-26-020914-2；运_x000a_单号：ABUGWBX260162013A、Q091390576、Q091432280 和 Q091432281，货物提货地点为新会新港。_x000a_该批次货物送达客户厂区后，经进厂检验反馈，货物霉变、热损指标超标，综合不合格占比超 5%。我司联合华正工_x000a_作人员共同赴现场开箱复检，核实质量异常问题属实，已不满足合同正常交付使用标准。_x000a_经双方友好沟通协商，现就本次质量问题达成扣款处理方案：该批货物实际卸货净重 549.685 吨，按 122.65 元 / 吨_x000a_标准进行扣款，合计扣款金额：67418.87 元。"/>
        <s v="广东粮品农产品经营有限公司，2026 年 4 月 21 日签订的《粮食销售合同》(合同编号:JZXYMZSJJM26046)，合同数_x000a_量 550 吨，合同单价 2460 元/吨。对应提货计划号：YHSZ-26-041713，运单号：AJSLYNF260198708A 和_x000a_AJSLYNF260204033A，货物提货地点为四会南江港。_x000a_合同质量指标为：容重≥710g/L，水分≤15.0%，杂质≤1.0%，霉变粒≤2.0%，不完善粒≤8%，热损≤2%。_x000a_货物送达客户厂区后，经第三方检测出具结果，共计 20 柜的综合样品查出水份测值为 16.31%-16.46%区间，超合同_x000a_约定限值，质量指标不达标。_x000a_经双方协商同意，做商务扣款让步接收，合计扣款金额 7164.75 元，合同折单价扣款 2.91 元。（已附扣款函及检测报_x000a_告已收悉）"/>
        <s v="我司与贺州市京基智农饲料有限公司签订进口大麦合同，执行NORTHERN VENTURE/北方勇士 船货物,合同号：JKDMZSJDG250031（3000吨，2050元/吨），实提数：2762.26吨；客户由于五一车队不好找导致有6车超堆存期提货产生463.45元堆存费。_x000a_由于实提数2762.26吨少于合同数量3000吨，本着双方长期友好合作，现申请给予463.45元堆存费免除。"/>
        <s v="我司与 广东新粮实业有限公司睦洲饲料厂 于2026年4月27日签订的《粮食销售合同》(合同编号:JZXYMZSJJM26054，合同数量615吨，合同单价2470元/吨），客户提货计划号YHSZ-26-041712。_x000a_该合同20柜对应的运单号为AJSLWCA260204350A和AJSLWCA260204350B，于2026年4月10日到港，免用箱期为14天。_x000a_因市场需求弱，前批次货物质量较差，且已上报品种线，接货进度减慢，导致销售进度慢，销售时已经和客户协商滞箱费由我司承担。_x000a_该合同于2026年4月29日放货，2026年5月5日已协调客户全部接收，期间产生堆存费:935元，滞箱费:8280元，合计9215元。现特申请由我司承担该费用，并支付至泉州安通物流有限公司。"/>
        <s v="我司与广东京基智农科技有限公司签订进口大麦合同，执行NORTHERN VENTURE/北方勇士 船货物,合同号：JKDMZSJDG250032（1000吨，2050元/吨），实提数：937.802吨；客户由于生产加工用量减少导致提货缓慢产生5439.25元堆存费。_x000a_由于我司在执行木薯合同JKMSZSJ250006（1000吨，1720元/吨）少交货，客户实际提货744.04吨，按合同下限少交155.96吨；_x000a_本着双方长期友好合作，现申请给予5439.25元堆存费免除。"/>
        <s v="双胞胎（集团）股份有限公司 YMYXMM260086（合同量 5000 吨，单价 2490 元），签订日期为 20_x000a_26 年 3 月 2 日，该合同共执行 4835.89 吨。2026 年 4 月 7 日-2026 年 4 月 19 日在中心一体化粮源大船“炜_x000a_业 58/2608”轮提货中反馈 1838.96 吨水分 15.29%-15.58%，平均 15.4%左右，合同约定水分≤15.0%，不_x000a_符合同规定。经我司业务人员核实，检测结果确实存在。秉承长期友好合同原则，经我部与客户多次友好协_x000a_商后，申请扣款 11.5 元/吨，申请扣款金额合计 21148.04 元"/>
        <s v="双胞胎（集团）股份有限公司 YMYXMM260095（合同量 3000 吨，单价 2510 元），签订日期为 20_x000a_26 年 3 月 6 日，该合同共执行 2983.72 吨。2026 年 4 月 1 日-2026 年 4 月 8 日在外采大船利泰朝阳/2606_x000a_（供应商：京粮（盘锦）港口物流有限公司）提货中反馈 988.46 吨水分实测在 15.11%-15.29%之间；2026_x000a_年 4 月 6 日-2026 年 4 月 16 日在中心一体化粮源大船“炜业 58/2608”轮提货中反馈 822.92 吨水分 15.30%_x000a_-15.56%，平均 15.4%左右，合同约定水分≤15.0%，不符合同规定。经我司业务人员核实，检测结果确实存_x000a_在。秉承长期友好合同原则，经我部与客户多次友好协商后，平均扣款 8 元/吨，（988.46+822.92）吨*8_x000a_元=14491.04 元，申请扣款金额合计 14491.04 元"/>
        <s v="广东新粮实业有限公司睦洲饲料厂，2026 年 3 月 23 日签订的《粮食销售合同》(合同编号:ZXYMZSJM26035)合同数_x000a_量 1600 吨，合同单价 2530 元/吨，客户提货计划号 YHSZ-26-020913-1。_x000a_运单号 ZG26035315920，柜号 ZGLU3163889，柜子侧壁破洞进水，造成玉米水湿，底部约有 5 厘米结块厚度。_x000a_已卸玉米共计 10.96 吨，客户折价 1300 元/吨收，剩余 16.25 吨玉米由保险拉走卖出。_x000a_运单号 ZG26030354086，柜号 ZGLU3194452，柜子侧壁破洞进水，造成玉米水湿，水湿玉米共计 16.4 吨，客户折_x000a_价 1700 元/吨收。_x000a_已报保险处理赔付 10.96*(2530-1300)+16.4*(2530-1700)=13480.8+13612=27092.8 元，在结算中扣除，由保险_x000a_公司承担。"/>
        <s v="开平市绿皇农牧发展有限公司，2026 年 4 月 25 日签订的《粮食销售合同》(合同编号:ZXYMZSJM26051)合同数量_x000a_550 吨，合同单价 2490 元/吨，客户提货计划号 YHSZ-26-041711，运单号 Q091989100 和 Q092055460。_x000a_该合同 20 柜货物，客户已于 2026 年 4 月 27 日足额回款，4 月 29 日完成全部提货。本次货物集装箱堆存费标_x000a_准为 14 元 / 箱 / 天，合计产生堆存费 1008 元，该笔费用已由物流车队广州欣佳物流有限公司先行垫付。_x000a_现申请该笔堆存费 1008 元由我司承担，直接支付给广州欣佳物流有限公司。"/>
        <s v="梅州海大生物科技有限公司，于 2026 年 1 月 27 日签订 2000 吨粮食销售合同（合同编号：_x000a_JCYMZSJJY250156-1）合同单价 2412.51 元/吨，2026 年 2 月 10 日-2026 年 3 月 14 日,提货数量_x000a_1972.81 吨，提货锦航发展/2602、锦航奋进/2605。经客户品管检测，此批玉米 17 车共计 624.16 吨水分超出_x000a_合同约定标准（水分≤15%），影响使用。经双方协商， 一致统一做扣款处理。合计扣款 3120.8 元。_x000a_经双方友好协商处理后，退货转扣款接收，合计扣款 3120.8 元 折合 5 元/吨"/>
        <s v="堆存费申请减免29230.26元，正常收取68000元"/>
        <s v="堆存费申请减免146.92元"/>
        <s v="堆存费申请抵扣15919.05元"/>
        <s v="箱号CSNU3066845，箱重27.21吨，客户提货到下游后发现烘伤粒、玉米霉变率过高死，霉味重，水份偏高同时伴有发热，下游退货回来，我方也到达现场取样查看，发现问题确实，后经沟通，客户让步接收，进行转卖，需要补回客户运费及作整箱扣款接收处理，每吨扣款80元处理，"/>
        <s v="一、我司与 广东新粮实业有限公司睦洲饲料厂 于2026年3月23日签订的《粮食销售合同》(合同编号:JZXYMZSJJM26035，合同数量1600吨，合同单价2530元/吨），客户提货计划号YHSZ-26-020913-1。_x000a_该批货物对应运单号为 ZG26030354086、ZG26035315920，于 2026 年 3 月 27 日到港，免用箱期 14 天。_x000a_我司原计划申报新会新港，该批货物实际发运至新会老港，因周边客户接货能力有限，经协商销售予广东新粮实业有限公司睦洲饲料厂，销售时已与客户约定，相关滞箱费由我司承担。_x000a_该合同货物于 2026 年 4 月 7 日放货，经协调，客户已于 2026 年 4 月 14 日完成全部货物接收。期间产生堆存费 595 元、滞箱费 320 元，合计 915 元。二、我司与 广州市禾润兴饲料有限公司 分别于 2026 年 4 月 7 日、4 月 13 日签订两份《粮食销售合同》：_x000a_合同编号 JZXYMZSJJM26040，数量 1000 吨，单价 2490 元 / 吨，提货计划号 YHSZ-26-020925-1；_x000a_合同编号 JZXYMZSJJM26042，数量 110 吨，单价 2480 元 / 吨，提货计划号 YHSZ-26-020925-1。_x000a_该批货物对应运单号为 ZG26035414378_A、ZG26035315906_B、ZG26035315906_C，于 2026 年 3 月 29 日到港，免用箱期 14 天。_x000a_我司原计划申报四会南江港，货物实际发运至四会永泰港，因周边客户接货能力有限，经协商销售予广州市禾润兴饲料有限公司，销售时已与客户约定，相关滞箱费由我司承担。_x000a_上述合同货物分别于 2026 年 4 月 14 日、4 月 16 日放货，经协调，客户已于 2026 年 4 月 22 日完成全部货物接收，期间产生滞箱费 5200 元。三、我司与 广东粮品农产品经营有限公司 于2026年4月24日签订的《粮食销售合同》(合同编号:JZXYMZSJJM26053，合同数量900吨，合同单价2400元/吨），客户提货计划号YHSZ-26-041712-1。_x000a_该批货物对应运单号为 ZG26035561338_D、ZG26035561338_F，于 2026 年 4 月 17 日到港，免用箱期 14 天。_x000a_该合同货物于 2026 年 4 月 27 日放货，经协调，客户已于 2026 年 4 月 29 日完成全部货物接收。期间产生堆存费 380 元。_x000a_综上结合，共计产生费用6495元，现特申请该笔费用由我司承担，并支付至上海中谷物流股份有限公司。"/>
        <s v="兹有我司与正大原料供应有限公司于2026年03月31日签署生效的《粮食销售合同（赊销）》（合同编号：YMFJZZ260057)，合同数量500吨，合同单价2560元/吨，， 经双方友好协商，正大对该批次货物进行折价接收，以上情况合计产生扣款4,589.52元。（人民币肆仟伍佰捌拾玖元伍角贰分），该批次累计提货489.75吨，合计折单吨扣款9.37元/吨。"/>
        <s v="兹有我司与漳州市海扬饲料有限公司（以下简称“漳州海扬”）于2026年03月20日签署生效的《粮食销售合同（赊销）》（合同编号：YMFJZZ260059)，合同数量2000吨，合同单价2510元/吨，与漳州市力饲料有限公司（以下简称“漳州海力”）于2026年03月20日签署生效的《粮食销售合同（赊销）》（合同编号：YMFJZZ260060），合同数量1000吨，合同单价2510元/吨； 漳州海扬、漳州海力对该批次货物进行折价接收，漳州海扬经过协商该批次最终扣款26,466.00元（单吨扣款约13.34元/吨），漳州海力经协商该批次最终扣款9,631.50元（单吨扣款约9.72元/吨），以上2笔商务总计产生扣款36,097.5元，折单吨扣款约12.13元/吨。"/>
        <s v=" 兹有我司与中牧（上海）粮油有限公司于2026年04月10日签署生效的《粮食销售合同》（合同编号：YMFJZZ260069)，合同数量1000吨，合同单价2460元/吨，截止至2026年05月05日，合同已提货完毕，客户于2026年4月30日至5月5日提货批次玉米713.38吨经检测杂质、水份超标，对应船名：德勤68/2611（外采粮源）"/>
        <s v="我司与 开平市绿皇农牧发展有限公司 于 2026 年 4 月 28 日签订的《粮食销售合同》(合同编号:JZXYMZSJJM26056，_x000a_合同数量 505 吨，合同单价 2490 元/吨），客户提货计划号 YHSZ-26-041712。_x000a_运单号 Q092257870，于 2026 年 4 月 27 日到港，免用箱期为 12 天。_x000a_运单号 Q092427770 和 Q092427771，于 2026 年 4 月 28 日到港，免用箱期为 12 天。_x000a_运单号 Q092257871，于 2026 年 4 月 29 日到港，免用箱期为 12 天。_x000a_货物集装箱到港后申请销售，客户存在逾期一天提货情况，已申请相关费用减免。本次为最后一公里配送业务，货物_x000a_需配送至工厂，三埠港免堆期仅为 7 天，相关费用已与客户协商一致，由我司承担。_x000a_该合同于 2026 年 5 月 6 日放货，2026 年 5 月 10 日已协调客户全部接收，期间产生堆存费:1386 元，滞箱费:624 元，_x000a_合计 2010 元。_x000a_现特申请由我司承担该费用，在物流合同结算时支付至广州欣佳物流有限公司"/>
        <s v="_x000a_饲料原料部：_x000a_广州市禾润兴饲料有限公司，2026 年 4 月 3 日签订的《粮食销售合同》(合同编号:JZXYMZSJJM26038)，合同数量_x000a_450 吨，合同单价 2490 元/吨，客户提货计划号 YHSZ-26-020926，运单号 Q091432570。合同质量标准为：容重≥710g/L，水分≤15.0%，杂质≤1.0%，霉变粒≤2.0%，不完善粒≤8%，热损≤2%。_x000a_该批次货物送达客户厂区后，经进厂检验反馈，货物热损指标超标，综合样品热损伤率达 4.7%。我司联合华正工作人_x000a_员共同赴现场开箱复检，核实质量异常问题属实，已不满足合同正常交付使用标准。_x000a_经双方友好沟通协商，现就本次质量问题达成扣款处理方案：该批货物实际卸货净重 446.5 吨，扣款金额为 45000，_x000a_合同折单价扣款 100.78 元。（已附扣款函及检测报告已收悉）_x000a_此次费用JZXYMZSJJM26038合同结算扣除15936元；JZXYMZSJJM26040合同结算扣除29064元。"/>
        <s v="2026年3月19日签订的的散粮合同，广东嘉好农产品有限公司，合同号 YMYXZJ260058（2000吨，单价2550元/吨），配送到厂合同，合同质量标准为：容重≥690g/L，水分≤15.0%，杂质≤1.0%，霉变粒≤2.0%，不完善粒≤10%。_x000a_其中在给客户配送合盛顺达/2607船货物时，车牌粤GH9239（30.82 吨，水分 15.30%）、粤G43055（30.5吨，水分15.14%），合计61.32吨，到厂后工厂反馈水分均超合同15%标准，由于合盛顺达/2607在到港时我方就发现水分超标，有石头子，并已报送过饲料部，同时对上游京粮扣款63957.24元，故客户反馈问题是属实存在的。_x000a_经双方友好沟通协商，客户让步接收，合计扣款346.1元。_x000a_请领导批示。"/>
        <s v="兹有我司与莆田温氏家禽有限公司于 2026 年 4 月 10 日签订《粮食销售合同_x000a_（赊销）》，合同号：YMFJFZ260113，合同数量 1000 吨，单价 2510 元/吨，该合_x000a_同截止 4 月 21日共计提货 991.96 吨，其中 482.62 吨检测水分、杂质超标(合同约_x000a_定水分≤15.0%，实测结果 15.13%-15.48%；合同约定杂质≤1.0%，实测结果 1.45_x000a_%-2.05%)，已超出合同约定标准，经双方友好协商扣款 20 元/吨，以上质量扣款_x000a_合计 9652.4 元。_x000a_以上扣款对应恒顺达 8/2607，以上扣款是否可行，请领导批示"/>
        <s v="高州市安佑生物科技有限公司 YMYXMM260109（合同量 500 吨，单价 2510 元），签订日期为 2026_x000a_年 3 月 11 日，该合同共执行 497.04 吨。2026 年 4 月 4 日-2026 年 4 月 8 日在外采大船“锦富航 69/2608”_x000a_（供应商：北京京粮谷润贸易有限公司）提货中，反馈 60.98 吨水分实测在 15.31%-15.54%之间、杂质实测_x000a_1.45%-1.58%，不符合同规定。经我司业务人员核实，检测结果确实存在。秉承长期友好合同原则，经我部_x000a_与客户多次友好协商后，申请扣款 30 元/吨，60.98 吨*30 元=1829.4 元，申请扣款金额合计 1829.4 元。该_x000a_扣款情况已跟饲料原料部报备，由饲料原料部向供应方扣款弥补我司损失。"/>
        <s v="兹有我司与圣农发展（政和）有限公司签订YMFJFZ260097号《粮食销售合同》，合同数量1000吨，单价2630元/吨，截止4月11日，该合同实际送货1023.8吨，接货1022.59吨，质量扣款13649.7元，折合扣款13.35元/吨，该扣款为圣农杂质及不完善粒固定扣款，在销售合同时已预留10元/吨溢价进行销售，实际扣款3.35元/吨。_x000a_以上扣款，是否可行，请领导批示。"/>
        <s v="兹有我司与福建圣农发展（浦城）有限公司签订YMFJFZ260062号《粮食销售合同》，合同数量3000吨，单价2610元/吨，截止4月11日，该合同实际送货2877.46吨，接货2873.33吨，质量扣款37401.3元，折合扣款13.02元/吨，该扣款为圣农杂质及不完善粒固定扣款，在销售合同时已预留10元/吨溢价进行销售，实际扣款3.02元/吨。_x000a_以上扣款，是否可行，请领导批示。"/>
      </sharedItems>
    </cacheField>
    <cacheField name="销售溢价是否覆盖扣款费用" numFmtId="0">
      <sharedItems containsBlank="1" count="4">
        <m/>
        <s v="能覆盖"/>
        <s v="是"/>
        <s v="否"/>
      </sharedItems>
    </cacheField>
    <cacheField name="费用原因分类" numFmtId="0">
      <sharedItems containsBlank="1" count="65">
        <s v="质量问题（霉变、霉味、生虫等）"/>
        <s v="品质不达标（容重、水分、毒素、蛋白等）"/>
        <m/>
        <s v="包装破损、水湿、短重等"/>
        <s v="流程手续问题"/>
        <s v="堆存费申请减免"/>
        <s v="发霉发热"/>
        <s v="杂质超标"/>
        <s v="质量问题（水湿粘底）"/>
        <s v="滞期费用"/>
        <s v="其他原因"/>
        <s v="杂质1.2%杂质和破碎粒超出合同约定指标"/>
        <s v="发运集中到货"/>
        <s v="水分≤15%，赤霉烯酮≤200ppb"/>
        <s v="水分≤15%，赤霉烯酮≤200ppb，黄曲霉毒素B1（ppb）≤30"/>
        <s v="杂质.2%杂质和破碎粒超出合同约定指标(杂质&lt;1%)"/>
        <s v="质量问题（霉变、霉味）"/>
        <s v="质量问题（呕吐/霉变）"/>
        <s v="质量问题（杂质、水分）"/>
        <s v="质量问题（不完善粒）"/>
        <s v="质量问题（杂质）"/>
        <s v="质量问题（毒素）"/>
        <s v="质量问题（呕吐毒素）"/>
        <s v="其他原因（运费）"/>
        <s v="质量问题（水分、杂质超标）"/>
        <s v="质量问题（杂质超标）"/>
        <s v="质量问题（杂质超标\、毒素）"/>
        <s v="其他原因，已报保险处理"/>
        <s v="质量问题（水分超标）"/>
        <s v="质量问题（水分、杂质）"/>
        <s v="品质不达标（杂质）"/>
        <s v="质量问题（发霉结块）"/>
        <s v="质量问题（水分）"/>
        <s v="质量问题（杂质、不完善）"/>
        <s v="质量问题（杂质/赤霉）"/>
        <s v="质量问题（赤霉、水分）"/>
        <s v="质量问题（赤霉）"/>
        <s v="质量问题（赤霉、杂质）"/>
        <s v="、"/>
        <s v="质量问题（霉变结块）"/>
        <s v="质量问题（水分/赤霉）"/>
        <s v="质量问题（水分/霉变）"/>
        <s v="质量问题（水分/杂质）"/>
        <s v="质量问题（杂质、霉变）"/>
        <s v="堆存费"/>
        <s v="超期滞期费"/>
        <s v="质量问题（霉变）"/>
        <s v="质量问题（杂质水分）"/>
        <s v="质量问题（杂质，水分）"/>
        <s v="质量问题（杂质,水分）"/>
        <s v="质量问题（毒素、水分）"/>
        <s v="其他问题"/>
        <s v="其他原因（损耗）"/>
        <s v="质量问题（霉变粒和赤霉素超标）"/>
        <s v="港杂费"/>
        <s v="保险费"/>
        <s v="质量问题（杂质、水分超标）"/>
        <s v="质量问题（毒素超标）"/>
        <s v="质量问题（不完善超标）"/>
        <s v="质量问题（不完善粒、水分超标）"/>
        <s v="质量问题（霉变、热损超标）"/>
        <s v="质量问题（霉变粒高、水分超标）"/>
        <s v="滞期费、堆存费"/>
        <s v="质量问题（水份、杂质超标）"/>
        <s v="质量问题（热损伤超标）"/>
      </sharedItems>
    </cacheField>
    <cacheField name="费用金额" numFmtId="0">
      <sharedItems containsBlank="1" containsNumber="1" containsMixedTypes="1" count="300">
        <n v="2099.7"/>
        <n v="11099.4"/>
        <n v="2704.76"/>
        <n v="2204.8"/>
        <n v="1071.4"/>
        <n v="11255"/>
        <n v="1782"/>
        <n v="10655.1"/>
        <n v="4698.52"/>
        <n v="936"/>
        <n v="311.4"/>
        <n v="1003.1"/>
        <n v="1535.9"/>
        <n v="23574.6"/>
        <n v="7965.9"/>
        <n v="3205.11"/>
        <n v="5451.6"/>
        <n v="6649"/>
        <n v="1344.8"/>
        <n v="1967.6"/>
        <n v="14134.8"/>
        <n v="21035.21"/>
        <n v="18983.6"/>
        <n v="4801.5"/>
        <m/>
        <n v="7791"/>
        <n v="14164.5"/>
        <n v="979.56"/>
        <n v="91846.45"/>
        <n v="29949.34"/>
        <n v="519.6"/>
        <n v="9482.4"/>
        <n v="7481.1"/>
        <n v="14221.2"/>
        <n v="8663.4"/>
        <n v="14747.1"/>
        <n v="11266.2"/>
        <n v="4800"/>
        <n v="12204"/>
        <n v="14578.5"/>
        <n v="24489"/>
        <n v="30382"/>
        <n v="34549"/>
        <n v="97622"/>
        <n v="32.32"/>
        <n v="9872.5"/>
        <n v="38576.65"/>
        <n v="5240.75"/>
        <n v="2224.53"/>
        <n v="6151.2"/>
        <n v="2030"/>
        <n v="39975.2"/>
        <n v="2439.9"/>
        <n v="14963.16"/>
        <n v="1617.6"/>
        <n v="1896.8"/>
        <n v="292"/>
        <n v="11542"/>
        <n v="8239.8"/>
        <n v="7560.3"/>
        <n v="35080.4"/>
        <n v="19919.16"/>
        <n v="5133.43"/>
        <n v="4898.7"/>
        <n v="324"/>
        <n v="21584.2"/>
        <n v="20202.8"/>
        <n v="10000"/>
        <n v="1457.5"/>
        <n v="29754"/>
        <n v="1971.9"/>
        <n v="2010"/>
        <n v="4446"/>
        <n v="4368"/>
        <n v="2000.4"/>
        <n v="26680.56"/>
        <n v="942.55"/>
        <n v="816.3"/>
        <n v="10096.2"/>
        <n v="17185.806"/>
        <n v="23556.96"/>
        <n v="7786.5"/>
        <n v="2011.22"/>
        <n v="2000"/>
        <n v="1979"/>
        <n v="2521.5"/>
        <n v="2345.24"/>
        <n v="4887"/>
        <n v="3600.4"/>
        <n v="11254.2"/>
        <n v="3992.6"/>
        <n v="25365.36"/>
        <n v="6195.04"/>
        <n v="7516.1"/>
        <n v="2679"/>
        <n v="547"/>
        <n v="1324.2"/>
        <n v="1260"/>
        <n v="11238.6"/>
        <n v="1926.4"/>
        <n v="9993.8"/>
        <n v="0"/>
        <n v="4950.3"/>
        <n v="6352"/>
        <n v="1977.9"/>
        <n v="1071.6"/>
        <n v="3108.2"/>
        <n v="1530.6"/>
        <n v="1223"/>
        <n v="3227.6"/>
        <n v="58749.55"/>
        <n v="387.2"/>
        <n v="998.98"/>
        <n v="4993.45"/>
        <n v="5244"/>
        <n v="1506.6"/>
        <n v="14339.63"/>
        <n v="5985.6"/>
        <n v="7535.4"/>
        <n v="247396.05"/>
        <n v="71383.75"/>
        <n v="2911.04"/>
        <n v="34281.64"/>
        <n v="6371.22"/>
        <n v="2201.6"/>
        <n v="1102.8"/>
        <n v="2562"/>
        <n v="317.6"/>
        <n v="7789.77"/>
        <n v="3219.75"/>
        <n v="877.09"/>
        <n v="3707.84"/>
        <n v="74940.81"/>
        <n v="1886.3"/>
        <n v="24665.42"/>
        <n v="50457.42"/>
        <n v="24282.25"/>
        <n v="4432.47"/>
        <n v="139419.11"/>
        <n v="955.85"/>
        <n v="1342.15"/>
        <n v="1991.6"/>
        <n v="7045.4"/>
        <n v="22498.2"/>
        <n v="37424.25"/>
        <n v="42834.1"/>
        <n v="28148.55"/>
        <n v="7028.2"/>
        <n v="13218.75"/>
        <n v="12924.2"/>
        <n v="2222.4"/>
        <n v="120870"/>
        <n v="799.35"/>
        <n v="8793"/>
        <n v="322.7"/>
        <n v="26.09"/>
        <n v="27.3"/>
        <n v="12296.1"/>
        <n v="19040.4"/>
        <n v="9998.6"/>
        <n v="9805.6"/>
        <n v="2916"/>
        <n v="704.16"/>
        <n v="1431.04"/>
        <n v="3094.87"/>
        <n v="29988"/>
        <n v="7947.28"/>
        <n v="8059.68"/>
        <n v="22926.3"/>
        <n v="10971.9"/>
        <n v="1740.59"/>
        <n v="327.2"/>
        <n v="15213.7"/>
        <n v="941.4"/>
        <n v="25018.07"/>
        <n v="1668.84"/>
        <n v="1050.4"/>
        <n v="2161.58"/>
        <n v="447.8"/>
        <n v="11263.42"/>
        <n v="4805.67"/>
        <n v="32984.4"/>
        <n v="79988.24"/>
        <n v="23183"/>
        <n v="954.42"/>
        <n v="29663.15"/>
        <n v="14233.725"/>
        <n v="495.14"/>
        <n v="10533"/>
        <n v="7946.4"/>
        <n v="1710.3"/>
        <n v="3564.89"/>
        <n v="1081.5"/>
        <n v="5958.3"/>
        <n v="592.06"/>
        <n v="3825.3"/>
        <n v="62.94"/>
        <n v="3193.5"/>
        <n v="57203"/>
        <n v="6881.5"/>
        <n v="2394.7"/>
        <n v="1538.22"/>
        <n v="2144.2"/>
        <s v="695.35元"/>
        <n v="505.6"/>
        <n v="5360"/>
        <n v="1882.2"/>
        <n v="24984.2"/>
        <n v="8626.5"/>
        <n v="528.77"/>
        <n v="1321.2"/>
        <n v="8926.81"/>
        <n v="5000"/>
        <n v="5804.06"/>
        <n v="7729.8"/>
        <n v="6971.7"/>
        <n v="2414.4"/>
        <n v="5117.1"/>
        <n v="14231.6"/>
        <n v="15682.4"/>
        <n v="9194"/>
        <n v="3620.6"/>
        <n v="1685.9"/>
        <n v="15041.16"/>
        <n v="1848"/>
        <n v="1320"/>
        <n v="2287.09"/>
        <n v="8852.05"/>
        <n v="320.6"/>
        <n v="11174.12"/>
        <n v="422"/>
        <n v="2277.4"/>
        <n v="3744.1"/>
        <n v="14401.5"/>
        <n v="566.35"/>
        <n v="28167.3"/>
        <n v="348.9"/>
        <n v="6400.5"/>
        <n v="21407.47"/>
        <n v="7269.63"/>
        <n v="3450.3"/>
        <n v="21838.5"/>
        <n v="1950.42"/>
        <n v="27840.4"/>
        <n v="9787.76"/>
        <n v="364.08"/>
        <n v="1227.4"/>
        <n v="11793.57"/>
        <n v="5158.66"/>
        <n v="1402.8"/>
        <n v="11885.25"/>
        <n v="5704.78"/>
        <n v="1618.6"/>
        <n v="18476.66"/>
        <n v="28636.85"/>
        <n v="180"/>
        <n v="3024"/>
        <n v="156"/>
        <n v="2020"/>
        <n v="3979.8"/>
        <n v="4187.4"/>
        <n v="8997.6"/>
        <n v="12893.4"/>
        <n v="15835"/>
        <n v="9965.88"/>
        <n v="850"/>
        <n v="485"/>
        <n v="1872"/>
        <n v="12073.69"/>
        <n v="13135.5"/>
        <n v="1593.45"/>
        <n v="2679.28"/>
        <n v="41388.13"/>
        <n v="8156.04"/>
        <n v="14720.44"/>
        <n v="2859.9"/>
        <n v="67418.87"/>
        <n v="7164.75"/>
        <n v="463.45"/>
        <n v="9215"/>
        <n v="5439.25"/>
        <n v="21148.04"/>
        <n v="14491.04"/>
        <n v="27092.8"/>
        <n v="1008"/>
        <n v="3120.8"/>
        <n v="29230.26"/>
        <n v="146.92"/>
        <n v="15919.05"/>
        <n v="2176.8"/>
        <n v="6495"/>
        <n v="4589.52"/>
        <n v="36097.5"/>
        <n v="14508.88"/>
        <n v="45000"/>
        <n v="346.1"/>
        <n v="9652.4"/>
        <n v="1829.4"/>
        <n v="13649.7"/>
        <n v="37401.3"/>
      </sharedItems>
    </cacheField>
    <cacheField name="费用对应吨数" numFmtId="0">
      <sharedItems containsBlank="1" containsNumber="1" containsMixedTypes="1" count="279">
        <n v="209.97"/>
        <n v="554.97"/>
        <n v="471.075"/>
        <n v="414.4"/>
        <n v="221.905"/>
        <n v="11255"/>
        <n v="1782"/>
        <n v="10655.1"/>
        <n v="4698.52"/>
        <n v="936"/>
        <n v="311.4"/>
        <n v="100.31"/>
        <n v="153.59"/>
        <n v="46.19"/>
        <n v="142.33"/>
        <n v="1148.35"/>
        <m/>
        <n v="98.38"/>
        <n v="706.74"/>
        <n v="62.723"/>
        <n v="949.18"/>
        <n v="160.05"/>
        <n v="389.55"/>
        <n v="472.15"/>
        <n v="2600"/>
        <n v="2994.934"/>
        <n v="0.3"/>
        <n v="316.08"/>
        <n v="249.37"/>
        <n v="474.04"/>
        <n v="288.78"/>
        <n v="491.57"/>
        <n v="375.54"/>
        <n v="160"/>
        <n v="406.8"/>
        <n v="485.95"/>
        <n v="816.3"/>
        <n v="1500"/>
        <s v="、"/>
        <n v="1952.44"/>
        <n v="161.6"/>
        <n v="233.08"/>
        <n v="477.09"/>
        <n v="505.74"/>
        <n v="196.3"/>
        <n v="102.52"/>
        <n v="209.155"/>
        <n v="699.62"/>
        <n v="162.66"/>
        <n v="997.544"/>
        <n v="161.76"/>
        <n v="189.68"/>
        <n v="29.2"/>
        <n v="1154.2"/>
        <n v="549.32"/>
        <n v="252.01"/>
        <n v="1754.02"/>
        <n v="995.958"/>
        <n v="167.16"/>
        <n v="164.39"/>
        <n v="32.4"/>
        <n v="3119.12"/>
        <n v="1914.88"/>
        <s v="\"/>
        <n v="145.75"/>
        <n v="1487.7"/>
        <n v="100.74"/>
        <n v="64.92"/>
        <n v="920"/>
        <n v="109.3"/>
        <n v="200.04"/>
        <n v="999.02"/>
        <n v="26.93"/>
        <n v="27.21"/>
        <n v="4.26"/>
        <s v="/"/>
        <n v="996.818"/>
        <n v="311.46"/>
        <n v="53.85"/>
        <n v="98.85"/>
        <n v="1.025"/>
        <n v="83.29"/>
        <n v="488.7"/>
        <n v="360.04"/>
        <n v="375.14"/>
        <n v="779.27"/>
        <n v="1492.08"/>
        <n v="120.61"/>
        <n v="248.53"/>
        <n v="200.6"/>
        <n v="27.35"/>
        <n v="99.68"/>
        <n v="126"/>
        <n v="374.62"/>
        <n v="192.64"/>
        <n v="999.38"/>
        <n v="0"/>
        <n v="330.02"/>
        <n v="317.6"/>
        <n v="197.79"/>
        <n v="267.9"/>
        <n v="283.06"/>
        <n v="76.53"/>
        <n v="61.15"/>
        <n v="66.9"/>
        <n v="290.1"/>
        <n v="4958.95"/>
        <n v="8873.9"/>
        <n v="14984.7"/>
        <n v="998.69"/>
        <n v="137.97"/>
        <n v="75.33"/>
        <n v="991.72"/>
        <n v="1197.12"/>
        <n v="753.54"/>
        <n v="10012.32"/>
        <n v="1996.19"/>
        <n v="5009.52"/>
        <n v="2985.66"/>
        <n v="209.04"/>
        <n v="110.08"/>
        <n v="27.57"/>
        <n v="224.78"/>
        <n v="31.76"/>
        <n v="1498.032"/>
        <n v="1.325"/>
        <n v="0.35338"/>
        <n v="27.88166"/>
        <n v="4996.054"/>
        <n v="377.26"/>
        <n v="10.487"/>
        <n v="21.563"/>
        <n v="1453.96"/>
        <n v="1491.92"/>
        <n v="19541.03"/>
        <n v="54.84"/>
        <n v="64.78"/>
        <n v="199.16"/>
        <n v="704.54"/>
        <n v="1499.88"/>
        <n v="1496.97"/>
        <n v="1951.44"/>
        <n v="2999.56"/>
        <n v="2000.08"/>
        <n v="586.2"/>
        <n v="1292.42"/>
        <n v="2222.4"/>
        <n v="51"/>
        <n v="159.87"/>
        <n v="64.54"/>
        <n v="5218"/>
        <n v="1550"/>
        <n v="358.93"/>
        <n v="490.96"/>
        <n v="999.86"/>
        <n v="980.56"/>
        <n v="194.4"/>
        <n v="29.34"/>
        <n v="33.28"/>
        <n v="53.35"/>
        <n v="1499.4"/>
        <n v="1986.82"/>
        <n v="980.4"/>
        <n v="1528.42"/>
        <n v="731.46"/>
        <n v="199.38"/>
        <n v="32.72"/>
        <n v="1185.85"/>
        <n v="31.38"/>
        <n v="3997.86"/>
        <n v="278.14"/>
        <n v="52.52"/>
        <n v="100.17"/>
        <n v="44.78"/>
        <n v="1099.48"/>
        <n v="1999.706"/>
        <n v="1949.64"/>
        <n v="12839.3"/>
        <n v="12.2575"/>
        <n v="5.8575"/>
        <n v="15134.5"/>
        <n v="702.2"/>
        <n v="529.76"/>
        <n v="114.02"/>
        <n v="1.79"/>
        <n v="216.3"/>
        <n v="397.22"/>
        <n v="84.58"/>
        <n v="127.51"/>
        <n v="1258.8"/>
        <n v="638.7"/>
        <n v="9625"/>
        <n v="1031.03"/>
        <n v="1497.048"/>
        <n v="1490.8"/>
        <n v="428.84"/>
        <n v="139.07"/>
        <n v="58.46"/>
        <n v="5.36"/>
        <n v="62.74"/>
        <n v="2498.42"/>
        <n v="862.65"/>
        <n v="9902.1"/>
        <n v="132.12"/>
        <n v="563.98"/>
        <n v="305.84"/>
        <n v="174.67"/>
        <n v="515.32"/>
        <n v="397.59"/>
        <n v="301.8"/>
        <n v="1023.42"/>
        <n v="711.58"/>
        <n v="784.12"/>
        <n v="459.7"/>
        <n v="362.06"/>
        <n v="168.59"/>
        <n v="791.64"/>
        <n v="1222.89"/>
        <n v="2498.63"/>
        <s v="-"/>
        <n v="32.06"/>
        <n v="1096.92"/>
        <n v="84.4"/>
        <n v="455.47"/>
        <n v="748.82"/>
        <n v="288.03"/>
        <n v="282.4"/>
        <n v="938.91"/>
        <n v="69.78"/>
        <n v="509.96"/>
        <n v="836.36"/>
        <n v="362.22"/>
        <n v="230.02"/>
        <n v="873.54"/>
        <n v="238.56"/>
        <n v="1392.02"/>
        <n v="270"/>
        <n v="30.74"/>
        <n v="122.74"/>
        <n v="498.09"/>
        <n v="414.66"/>
        <n v="0.6"/>
        <n v="9.27"/>
        <n v="8.31"/>
        <n v="161.86"/>
        <n v="999.64"/>
        <n v="1"/>
        <n v="7712.95"/>
        <n v="336.962"/>
        <n v="235.58"/>
        <n v="27.16"/>
        <n v="14.74"/>
        <n v="139.58"/>
        <n v="449.88"/>
        <n v="961.35"/>
        <n v="622.69"/>
        <n v="996.588"/>
        <n v="413.34"/>
        <n v="524.42"/>
        <n v="52.8"/>
        <n v="466.96"/>
        <n v="1971.46"/>
        <n v="57.71"/>
        <n v="134.01"/>
        <n v="285.99"/>
        <n v="549.685"/>
        <n v="540.52"/>
        <n v="185.38"/>
        <n v="937.802"/>
        <n v="27.36"/>
        <n v="9.3711"/>
        <n v="12.13"/>
        <n v="15.02"/>
        <n v="446.5"/>
        <n v="61.32"/>
        <n v="482.62"/>
        <n v="60.98"/>
        <n v="1022.59"/>
        <n v="2873.33"/>
      </sharedItems>
    </cacheField>
    <cacheField name="费用对应大船名" numFmtId="0">
      <sharedItems containsBlank="1" count="157">
        <m/>
        <s v="玉米出险对应扣款"/>
        <s v="呕吐毒素超标"/>
        <s v="杂质超标"/>
        <s v="杂质和破碎超标"/>
        <s v="容重不达标"/>
        <s v="恒通达/2529、锦航力鹏/2528"/>
        <s v="鑫顺弘盛/2537"/>
        <s v="箱子进水"/>
        <s v="FENG XIU HAI/丰秀海"/>
        <s v="吉林经营部发运"/>
        <s v="国家能源 610/2511"/>
        <s v="国远86、中瑞祥79"/>
        <s v="锦富航 69/2530"/>
        <s v="鑫晟奋发/2523、锦航万盛/2522"/>
        <s v="天台 19/2518"/>
        <s v="国远705"/>
        <s v="GREEN ITAJAI（鼎晋）/25002"/>
        <s v="天隆河/299S、延展228/043S、昌盛集 9/047S"/>
        <s v="东星海泰/077"/>
        <s v="TIAN XIU HE 340S"/>
        <s v="佳升56/2521"/>
        <s v="佳升56/2521、锦江河/2519、海腾炜业6/2508、锦江河/2521、利泰朝阳/2524"/>
        <s v="佳升56/2521、锦江河/2519"/>
        <s v="锦江河/2519"/>
        <s v="利泰朝阳/2524"/>
        <s v="集装箱"/>
        <s v="益嘉98/2528"/>
        <s v="三水809/2525"/>
        <s v="海百15/2523"/>
        <s v="宁兴18/2525"/>
        <s v="CSNU2898120_x000a_CSNU2889900_x000a_CSNU2906530_x000a_CSNU2821983_x000a_CSNU2806994"/>
        <s v="CSNU2904028、CSNU2895414"/>
        <s v="弘泰819"/>
        <s v="JZ21JZLX1454F7"/>
        <s v="东星海泰/078"/>
        <s v=" 国家能源610/2511"/>
        <s v="国家能源610/2511"/>
        <s v="鑫海城 1/2516"/>
        <s v="鑫海城 1/2516、远泰 99/2521"/>
        <s v="东星海泰/076、东星海泰/078"/>
        <s v="YHSZ-25-092324，宏泰源库；YHSZ-25-092311，禹泰库"/>
        <s v="YHSZ-25-092310，禹泰库"/>
        <s v="东耀海泰066"/>
        <s v="昌晟隆/2523、明金2号/2523"/>
        <s v="华源盛/2529"/>
        <s v="\"/>
        <s v="益嘉9/2528、炜业福星/2525"/>
        <s v="YHSZ-25-092324，宏泰源库、新誉库"/>
        <s v="1.计划号：YHSZ-25-092303；2.计划号：YHSZ-25-092332； 3.计划号：YHSZ-25-102206；"/>
        <s v="YHSZ-25-101107"/>
        <s v="东星海泰/079"/>
        <s v="JZXYMSZCG250092"/>
        <s v="发运计划编号YHSZ-25-102202，对应装箱库点：营口雨荷库_x000a_箱号为CSNU3002368发运重量27.11吨"/>
        <s v="ASMWGSU250802497A"/>
        <s v="国家能源/2512"/>
        <s v="国家能源610/2512"/>
        <s v="Q088864200,Q088894811"/>
        <s v="PASUQ087172260（CSLU1856720、FCIU4919747、DFSU1222897、OOLU2169785）"/>
        <s v="炜业68V2507"/>
        <s v="YHSZ-25-092324，新誉库"/>
        <s v="东亿603"/>
        <s v="国家能源 610/2512"/>
        <s v="弘泰612/2524"/>
        <s v="正海3/2506"/>
        <s v="“长峰98/2526”"/>
        <s v="“长峰98/V2526”"/>
        <s v="国翔 3/2540"/>
        <s v="东星海泰/080 "/>
        <s v="国家能源610/2513"/>
        <s v="益嘉88/2528"/>
        <s v="锦航佰福/2532"/>
        <s v="中恒顺丰/2533"/>
        <s v="三水809/2601"/>
        <s v="锦富航69/2601、炜业福星/2527"/>
        <s v="国远707/2526、东星海泰/80"/>
        <s v="南方地采-谷润/25200"/>
        <s v="东星海泰/80"/>
        <s v="YHSZ-25-092324、YHSZ-25-102222"/>
        <s v="华源盛/2531"/>
        <s v="国家能源610"/>
        <s v="浙洋97/2537"/>
        <s v="轩祥3/2535"/>
        <s v=" 东 星 海 泰 /80"/>
        <s v="国家能源 610/2512 "/>
        <s v="东 星 海 泰 /80"/>
        <s v="长峰98/2526"/>
        <s v="轩祥3/2535提货986.86吨，福兴9/2538提货467.1吨"/>
        <s v="同庆18/2539"/>
        <s v="炜业19/2511"/>
        <s v="“三水809/2601”"/>
        <s v="中安89/2601"/>
        <s v="弘泰625/2601"/>
        <s v="福兴9/2538（水分超标）、华源盛/2531（提货到仓底，粉尘与破碎超标）"/>
        <s v="国远86"/>
        <s v="中恒顺丰/2602"/>
        <s v="中伟顺/2603"/>
        <s v="鑫跨翔/2601"/>
        <s v="长峰98/V2526"/>
        <s v="长鑫86"/>
        <s v="航安顺/2603"/>
        <s v="弘泰612/2524、正海3/2506、华源盛/2531、福兴9/2538"/>
        <s v="国家能源610/2513_x000a_东星海泰/81"/>
        <s v="东星海泰/82"/>
        <s v="铭宏发展/2603"/>
        <s v="丰收女神"/>
        <s v="东星海泰/81与东方祥通/2518"/>
        <s v="弘泰612/2524、华源盛/2529、正海3/2506、华源盛/2531"/>
        <s v="轩祥3/2535、正海3/2601"/>
        <s v="锦鑫6/2601"/>
        <s v="南方地采-谷润/25197"/>
        <s v="浙海 2"/>
        <s v="东星海泰082"/>
        <s v="东方详通/18"/>
        <s v="鑫泰 128/2604"/>
        <s v="正海3/2601"/>
        <s v="兆丰6/2601"/>
        <s v="益嘉 98/2534"/>
        <s v="锦江河/2523"/>
        <s v="鑫泰128/2604"/>
        <s v="国翔3/2540"/>
        <s v="南方地采-供销/25216"/>
        <s v="-"/>
        <s v="南方地采-谷润/25199"/>
        <s v="福顺 338"/>
        <s v="长鑫 86"/>
        <s v="信耀/2604"/>
        <s v="兆丰6/2601、炜业99"/>
        <s v="JZXYMSZCG260012"/>
        <s v="安丰09/2604"/>
        <s v="南方地采-首裕/26010"/>
        <s v="东星海泰81"/>
        <s v="国家能源611/2603"/>
        <s v="国远701"/>
        <s v="安娜格"/>
        <s v="南方地采-谷润/25200、国家能源610/2513、东星海泰/81"/>
        <s v="华锦隆/2607"/>
        <s v="国家能源608/2607"/>
        <s v="国家能源608/2060"/>
        <s v="“大禹长航/V2607”"/>
        <s v="鑫泰128/2604、锦航奋进/2605"/>
        <s v="恒顺达8/2607"/>
        <s v="鑫泰 128/2610"/>
        <s v="炜业 58/2608"/>
        <s v="利泰朝阳/2606、炜业 58/2608"/>
        <s v="鼎晋/海星浩克"/>
        <s v="文德"/>
        <s v="星岛"/>
        <s v="集装箱计划编号YHSZ-26-041703"/>
        <s v="集装箱计划号YHSZ-26-020913-1、YHSZ-26-020925-1"/>
        <s v="弘泰818/2605"/>
        <s v="德勤68/2611"/>
        <s v="集装箱计划号YHSZ-26-041712"/>
        <s v=" 集装箱计划号YHSZ-26-020926"/>
        <s v="合盛顺达/2607"/>
        <s v="锦富航 69/2608"/>
        <s v="鑫远航6/2608"/>
      </sharedItems>
    </cacheField>
    <cacheField name="费用对应销售合同号" numFmtId="0">
      <sharedItems containsBlank="1" count="291">
        <m/>
        <s v="JZXYMGXXJ250003"/>
        <s v="JZXYMFJZZ250004"/>
        <s v="YMFJZZ250152"/>
        <s v="YMFJZZ250142"/>
        <s v="YMFJZZ250173"/>
        <s v="YMFJZZ250130"/>
        <s v="YHSZFJ250613XMX0001"/>
        <s v="YMZSJJY250170"/>
        <s v="YMZSIIY250177"/>
        <s v="JZXYMZSJJM25047"/>
        <s v="JKDMGX250010、JKDMGX250015"/>
        <s v="YMZSJQY250219"/>
        <s v="YMZSJQY250205"/>
        <s v="YMZSJQY250179"/>
        <s v="JCYMZSJQY250029-1"/>
        <s v="YMYXMM250768"/>
        <s v="JZXYMZSJJM25048"/>
        <s v="YMYXYJ250166"/>
        <s v="YMYXMM250260"/>
        <s v="JZXYMGXXJ250067"/>
        <s v="YHYMGXXS250904003"/>
        <s v="JKDMYXZJ250030"/>
        <s v="YMZSJDG250122"/>
        <s v="/YMGXQZ250275/YMGXQZ250276"/>
        <s v="YHYMZSJXS251113002"/>
        <s v="YMYXMM250558"/>
        <s v="YMYXMM250554"/>
        <s v="YMYXMM250602"/>
        <s v="YMYXMM250553"/>
        <s v="YMYXMM250596"/>
        <s v="YMYXMM250582"/>
        <s v="YMYXMM250569"/>
        <s v="YMYXMM250564"/>
        <s v="YMYXMM250576"/>
        <s v="YMYXMM250507"/>
        <s v="YMLDW251027018"/>
        <s v="无"/>
        <s v="YMYXMM250594"/>
        <s v=" YMHN250282"/>
        <s v="YMFJZZ250298"/>
        <s v="YMFJFZ250114"/>
        <s v="YMFJZZ250287"/>
        <s v="JZXYMFJFZ250080"/>
        <s v="JZXYMFJFZ250074"/>
        <s v="YMZSJQY250105"/>
        <s v="YMZSJDGJZX250422"/>
        <s v="YMZSJDKHLY250180"/>
        <s v="YMZSJDKHWS250037"/>
        <s v="YMZSJDKHWS250025-3"/>
        <s v="YMZSJDKHWS250025-2"/>
        <s v="YMZSJDKHWS250030"/>
        <s v="YMZSJDKHWS250033"/>
        <s v="YMYXMM250391"/>
        <s v="YMYXMM250392"/>
        <s v="YMZSJJM25081"/>
        <s v="JZXYMFJFZ250075"/>
        <s v="JZXYMFJFZ250072"/>
        <s v="JCYMZSJDG25053-1"/>
        <s v="YMFJFZ250086"/>
        <s v="YMFJFZ250187"/>
        <s v="JZXYMZSJM25074、JZXYMZSJJM25064、JZXYMZSJM25059、JZXYMZSJM25066、JZXYMZSJM25069、JZXYMZSJM25070"/>
        <s v="YMZSJJY250186"/>
        <s v="JCYMHN250088-1"/>
        <s v="JCYMZSJQY250029-2"/>
        <s v="JZXYMGXXJ250069"/>
        <s v="YMZSJDKHLY250195"/>
        <s v="YMZSJQY250234"/>
        <s v="JZXYMZSJQY250113"/>
        <s v="JZXYMHN250170"/>
        <s v="JZXYMYXMM250805"/>
        <s v="JKDMYXZJ250048"/>
        <s v="JCYMZSJQY250011-1"/>
        <s v="YMYMGXXJ250141"/>
        <s v="JZXYMLCYDG251207"/>
        <s v="JZXYMFJZZ250056、JZXYMFJZZ250048"/>
        <s v="YMYXMM250863"/>
        <s v="JZXYMZSJJM25040"/>
        <s v="JZXYMFJFZ250084"/>
        <s v="YMZSJDKHWS250040-2"/>
        <s v="YMZSIDKHWS250038-5"/>
        <s v="YMZSJDKHWS250041-2"/>
        <s v="YMGXXJ250144"/>
        <s v="YMGXXJ250134"/>
        <s v="YMFJFZ250159"/>
        <s v="YMFJFZ250134"/>
        <s v="YMGXQZ250316"/>
        <s v="JZXYMLCYDG251212"/>
        <s v="YMGXQZ250315"/>
        <s v="YMZSJJY250195 扣"/>
        <s v="YMZSJDKHWS250045"/>
        <s v="YMZSJDKHWS250046"/>
        <s v="YMZSJXXW260001"/>
        <s v="YMZSJHD250050"/>
        <s v="YMYXYJ250250-1"/>
        <s v="YMYXYJ250250-3"/>
        <s v="YMZSJJY250201)"/>
        <s v="YMZSJDGJZX250427"/>
        <s v="YMGXQZ250317"/>
        <s v="JZXYMZSJJM26001"/>
        <s v="YMYXMM250904"/>
        <s v="YMGXNN260007"/>
        <s v="YMHN250338"/>
        <s v="YMZSJQY250182、YMZSJQY250189"/>
        <s v="YMZSJQY250280"/>
        <s v="YMZSJQY250293"/>
        <s v="YMZSJQY250284"/>
        <s v="YMFJFZ250183"/>
        <s v="YMFJFZ250188"/>
        <s v="YHYMZSJXS251118002"/>
        <s v="YMZSJDKHWS250048-1"/>
        <s v="YMZSJDKHWS250049-3"/>
        <s v="YMZSJJMYX25050、YMZSJJMYX25052、YMZSJJMYX25057"/>
        <s v="YMZSJJM25103"/>
        <s v="YMFJZZ250304"/>
        <s v="YMFJZZ250315"/>
        <s v="YMFJFZ260006"/>
        <s v="YMFJFZ260002"/>
        <s v="JZXYMDG26003"/>
        <s v="YMZSJDG250415"/>
        <s v="YMZSJDG250414"/>
        <s v="YMZSJDG250446"/>
        <s v="JZXYMDG26007"/>
        <s v="JZXYMLCYDG251208"/>
        <s v="JZXYMLCYDG251209"/>
        <s v="YMGXNN250144"/>
        <s v="YMGXQZ250329"/>
        <s v="JCYMZSJM25006-4"/>
        <s v="YMZSJJM25084"/>
        <s v="YMFJFZ250210"/>
        <s v="YMFJZZ250316"/>
        <s v="YMFJZZ250313等30笔合同"/>
        <s v="JZXYMZSJM26002"/>
        <s v="JZXYMZSJJM26009"/>
        <s v="YMGXQZ250335"/>
        <s v="YMGXQZ250314"/>
        <s v="YMZSJDKHLY250202"/>
        <s v="YMZSJDKHLY250206"/>
        <s v="YMZSJJY250204"/>
        <s v="YMFJZZ260004"/>
        <s v="YMFJZZ260019"/>
        <s v="JZXYMFJFZ250086"/>
        <s v="YMZSJDG26010"/>
        <s v="JZXYMDG26016"/>
        <s v="YMZSJDG26001"/>
        <s v="YMFJFZ260003"/>
        <s v="YMZSJQY250294"/>
        <s v="JZXYMZSJQY260002"/>
        <s v="JZXYMLCYDG251210"/>
        <s v="YMZSJDKHSBT250017"/>
        <s v="YMZSJDKHSBT260001"/>
        <s v="YMYXYJ250218"/>
        <s v="YMYXYJ250225"/>
        <s v="YMZSJDKHWS250049-2"/>
        <s v="YMYXMM260062"/>
        <s v="YMYXMM250901"/>
        <s v="JZXYMDG26014"/>
        <s v="JCYMHN260002-1"/>
        <s v="YMGXNN250131"/>
        <s v="YMZSJQY260016"/>
        <s v="YMZSJDKHWS250048-2"/>
        <s v="YMZSJDKHWS250048-3"/>
        <s v="YMZSJJY250224"/>
        <s v="JCYMZSJDG25051-1"/>
        <s v="YMFJFZ250158"/>
        <s v="YMZSJDG250412"/>
        <s v="YMGXXJ250149_x000a_YMGXXJ260002_x000a_YMGXXJ260003"/>
        <s v="YMZSJDG250500"/>
        <s v="JZXYMDG26018"/>
        <s v="YMFJFZ260012"/>
        <s v="JZXYMZSJJM26005"/>
        <s v="JKDMFJFZ250006"/>
        <s v="JKDMFJFZ250007-2"/>
        <s v="YMZSJDKHLY260001"/>
        <s v="YMZSJDKHLY250204"/>
        <s v="YMFJFZ250164"/>
        <s v="YMFJFZ250165"/>
        <s v="JZXYMDG26017"/>
        <s v="JZXYMDG26015"/>
        <s v="YMFJFZ250189-1"/>
        <s v="YMYXYJ260001-2"/>
        <s v="YMYXYJ260004-2"/>
        <s v="YMYXYJ260013-2"/>
        <s v="JCYMGXQZ260002-1"/>
        <s v="YMYXYJ260013-3"/>
        <s v="YMYXYJ260013-1"/>
        <s v="JCYMYXMM260005-1"/>
        <s v="YMZSJQY250282"/>
        <s v="益嘉98/2534"/>
        <s v="YMGXQZ260018"/>
        <s v="JKGLZSJJM25005)"/>
        <s v="YMFJZZ250325"/>
        <s v="JCYMZSJJM25007-4"/>
        <s v="YMGXQZ260004"/>
        <s v="JCYMGXXJ260003-1"/>
        <s v="YMGXXJ250157"/>
        <s v="JZXYMZSJQY260019"/>
        <s v="JZXYMZSJQY260022"/>
        <s v="YMZSJDG26002"/>
        <s v="YMYXMM250880"/>
        <s v=" YMZSJJY250221"/>
        <s v="YMZSJJY250228"/>
        <s v="JZXYMHN260011"/>
        <s v="YMFJFZ260029"/>
        <s v="JCYMFJFZ250017-1"/>
        <s v="YMFJFZ250196"/>
        <s v="JZXYMGXQZ260007"/>
        <s v="YMLDW2603033001"/>
        <s v="YMYXMM260008-1"/>
        <s v="YMZSJJY250230"/>
        <s v="YMZSJJY250216"/>
        <s v="YMZSJJY250227"/>
        <s v=":JCYMZSJQY250043-2"/>
        <s v="JZXYMZSJJM26022"/>
        <s v="JZXYMZSJJM26026"/>
        <s v="YMZSJM25083"/>
        <s v="YMZSJDKHWS250009"/>
        <s v="YMZSJDKHISBT2600017"/>
        <s v="YMZSJHD260076"/>
        <s v="YMGXXJ260017"/>
        <s v="JCYMGXXJ260002-1"/>
        <s v="JCYMGXXJ260004-2"/>
        <s v="YMFJFZ260005"/>
        <s v="YMFJZZ260043"/>
        <s v="YMZSJJY250229"/>
        <s v="JCYMZSJJY250155-1"/>
        <s v="YMFJFZ260021"/>
        <s v="YMZSJM26013"/>
        <s v="YMFJFZ260034"/>
        <s v="YMFJFZ260011"/>
        <s v="YMFJFZ260030"/>
        <s v="JZXYMZSJQY260008"/>
        <s v="YMFJFZ250194"/>
        <s v="JZXYMSZCG260012"/>
        <s v="YMZSJDKHLY250166"/>
        <s v="YMZSJDKHLY250168"/>
        <s v="YMFJFZ260017"/>
        <s v="YMZSJDG26016"/>
        <s v="YMZSJDG26011"/>
        <s v="YMZSJDG26050"/>
        <s v="YMFJZZ260035"/>
        <s v="YMFJZZ260036"/>
        <s v="YMZSJQY260021"/>
        <s v="YMZSJJM26024"/>
        <s v="JKDMZSJDKHSBT25002、JKDMZSJDKHSBT25001"/>
        <s v="YMZSJJM25107、YMZSJJM26007、YMZSJJM26005"/>
        <s v="JZXYMZSJJM25078"/>
        <s v="JZXYMZSJJM26018"/>
        <s v="JZXYMZSJJM26040"/>
        <s v="JZXYMZSJJM26019、JZXYMZSJJM26020、JZXYMZSJJM26033"/>
        <s v="JZXYMZSJJM26021"/>
        <s v="YMFJFZ260008"/>
        <s v="YMFJFZ260013"/>
        <s v="YMFJFZ260063"/>
        <s v="YMFJFZ260035"/>
        <s v="YMZSJHD260078-8"/>
        <s v="JZXYMZSJM26035"/>
        <s v="JZXYMZSJJM26035"/>
        <s v="JZXYMZSJJM26038"/>
        <s v="YMFJFZ260020"/>
        <s v="YMFJFZ260018"/>
        <s v="JZXYMFJFZ250092"/>
        <s v="YMGXQZ260030"/>
        <s v="YMZSJJY250232"/>
        <s v="YMFJFZ260116"/>
        <s v="YMFJFZ260115、YMFJFZ260116"/>
        <s v="YMZSJJY250234"/>
        <s v="JZXYMZSJJM26039"/>
        <s v="JZXYMZSJJM26046"/>
        <s v="JKDMZSJDG250031"/>
        <s v="JZXYMZSJJM26054"/>
        <s v="JKDMZSJDG250032"/>
        <s v="YMYXMM260086"/>
        <s v="YMYXMM260095"/>
        <s v="JZXYMZSJJM26051"/>
        <s v="JCYMZSJJY250156-1"/>
        <s v="JKGLYXZJ250017、JKDMYXZJ250046"/>
        <s v="JKDMYXZJ250074"/>
        <s v="JCJKGLYXZJ250043-1"/>
        <s v="YMLDW260417008"/>
        <s v="JZXYMZSJJM26035、JZXYMZSJJM26040、JZXYMZSJJM26042、JZXYMZSJJM26053"/>
        <s v="YMFJZZ260057"/>
        <s v="YMFJZZ260059、YMFJZZ260060"/>
        <s v="YMFJZZ260069"/>
        <s v="JZXYMZSJJM26056"/>
        <s v=" JZXYMZSJJM26038"/>
        <s v="YMYXZJ260058"/>
        <s v="YMFJFZ260113"/>
        <s v="YMYXMM260109"/>
        <s v="YMFJFZ260097"/>
        <s v="YMFJFZ260062"/>
      </sharedItems>
    </cacheField>
    <cacheField name="发出部门" numFmtId="0">
      <sharedItems containsBlank="1" count="8">
        <s v="福建经营部"/>
        <s v="广西经营部"/>
        <s v="珠三角经营部"/>
        <s v="粤西经营部"/>
        <m/>
        <s v="海南经营部"/>
        <s v="YMZSJDGJZX250422"/>
        <s v="福建" u="1"/>
      </sharedItems>
    </cacheField>
    <cacheField name="接收部门" numFmtId="0">
      <sharedItems containsBlank="1" count="6">
        <s v="饲料原料部、风险管理部、财务部"/>
        <m/>
        <s v="饲料原料部"/>
        <s v="饲料原料部、物流仓储部"/>
        <s v="风控部"/>
        <s v="珠三角经营部"/>
      </sharedItems>
    </cacheField>
    <cacheField name="发起人" numFmtId="0">
      <sharedItems containsBlank="1" count="32">
        <s v="林玉婷"/>
        <s v="侯霄"/>
        <s v="陈静文"/>
        <s v="蚁毓霖"/>
        <s v="汤妮"/>
        <s v="刘源"/>
        <s v="董典昊"/>
        <s v="余诗莹"/>
        <s v="刘佳莹"/>
        <m/>
        <s v="朱雪语"/>
        <s v="莫贤辉"/>
        <s v="林佳琦"/>
        <s v="宁昕"/>
        <s v="严代亮"/>
        <s v="沈业润"/>
        <s v="范闻超"/>
        <s v="杜宜衡"/>
        <s v="李长聪"/>
        <s v="凌梓峰"/>
        <s v="许开兴"/>
        <s v="珠三角经营部"/>
        <s v="许满"/>
        <s v="张文韬"/>
        <s v="郭良伟"/>
        <s v="李戈"/>
        <s v="杨伟文"/>
        <s v="谭鑫"/>
        <s v="钟志深"/>
        <s v="吴珉仰"/>
        <s v="张子杰"/>
        <s v="周聪声"/>
      </sharedItems>
    </cacheField>
    <cacheField name="复核人1" numFmtId="0">
      <sharedItems containsBlank="1" count="5">
        <s v="福建经营部"/>
        <s v="广西经营部"/>
        <s v="珠三角经营部"/>
        <m/>
        <s v="饲料原料部"/>
      </sharedItems>
    </cacheField>
    <cacheField name="复核人2" numFmtId="0">
      <sharedItems containsBlank="1" count="2">
        <s v="大区品种线"/>
        <m/>
      </sharedItems>
    </cacheField>
    <cacheField name="复核人3" numFmtId="0">
      <sharedItems containsBlank="1" count="2">
        <m/>
        <s v="物流仓储部"/>
      </sharedItems>
    </cacheField>
    <cacheField name="复核人4" numFmtId="0">
      <sharedItems containsString="0" containsBlank="1" containsNonDate="0" count="1">
        <m/>
      </sharedItems>
    </cacheField>
    <cacheField name="复核人5" numFmtId="0">
      <sharedItems containsString="0" containsBlank="1" containsNonDate="0" count="1">
        <m/>
      </sharedItems>
    </cacheField>
    <cacheField name="费用最终承担方" numFmtId="0">
      <sharedItems containsBlank="1" count="2">
        <s v="供应商"/>
        <m/>
      </sharedItems>
    </cacheField>
    <cacheField name="承担方名称/对应合同号" numFmtId="0">
      <sharedItems containsString="0" containsBlank="1" containsNonDate="0" count="1">
        <m/>
      </sharedItems>
    </cacheField>
    <cacheField name="复核结果备注" numFmtId="0">
      <sharedItems containsString="0" containsBlank="1" containsNonDate="0" count="1">
        <m/>
      </sharedItems>
    </cacheField>
    <cacheField name="年" numFmtId="0">
      <sharedItems containsNumber="1" containsInteger="1" containsMixedTypes="1" count="4">
        <n v="2025"/>
        <n v="2026"/>
        <n v="1900"/>
        <e v="#VALUE!"/>
      </sharedItems>
    </cacheField>
    <cacheField name="月" numFmtId="0">
      <sharedItems containsNumber="1" containsInteger="1" containsMixedTypes="1" count="13">
        <n v="5"/>
        <n v="6"/>
        <n v="7"/>
        <n v="8"/>
        <n v="12"/>
        <n v="11"/>
        <n v="10"/>
        <n v="9"/>
        <n v="1"/>
        <n v="2"/>
        <n v="3"/>
        <e v="#VALUE!"/>
        <n v="4"/>
      </sharedItems>
    </cacheField>
    <cacheField name="日" numFmtId="0">
      <sharedItems containsNumber="1" containsInteger="1" containsMixedTypes="1" count="31">
        <n v="5"/>
        <n v="9"/>
        <n v="18"/>
        <n v="28"/>
        <n v="11"/>
        <n v="20"/>
        <n v="19"/>
        <n v="29"/>
        <n v="27"/>
        <n v="14"/>
        <n v="15"/>
        <n v="10"/>
        <n v="16"/>
        <n v="3"/>
        <n v="22"/>
        <n v="23"/>
        <n v="24"/>
        <n v="25"/>
        <n v="26"/>
        <n v="12"/>
        <n v="30"/>
        <n v="4"/>
        <n v="7"/>
        <n v="8"/>
        <n v="13"/>
        <n v="21"/>
        <n v="0"/>
        <n v="2"/>
        <n v="6"/>
        <e v="#VALUE!"/>
        <n v="17"/>
      </sharedItems>
    </cacheField>
  </cacheFields>
</pivotCacheDefinition>
</file>

<file path=xl/pivotCache/pivotCacheRecords1.xml><?xml version="1.0" encoding="utf-8"?>
<pivotCacheRecords xmlns="http://schemas.openxmlformats.org/spreadsheetml/2006/main" xmlns:r="http://schemas.openxmlformats.org/officeDocument/2006/relationships" count="991">
  <r>
    <x v="0"/>
    <x v="0"/>
    <x v="0"/>
    <x v="0"/>
    <x v="0"/>
    <x v="0"/>
    <x v="0"/>
    <x v="0"/>
    <x v="0"/>
    <x v="0"/>
    <x v="0"/>
    <x v="0"/>
    <x v="0"/>
    <x v="0"/>
    <x v="0"/>
    <x v="0"/>
    <x v="0"/>
    <x v="0"/>
    <x v="0"/>
    <x v="0"/>
    <x v="0"/>
    <x v="0"/>
    <x v="0"/>
    <x v="0"/>
    <x v="0"/>
    <x v="0"/>
  </r>
  <r>
    <x v="1"/>
    <x v="1"/>
    <x v="1"/>
    <x v="0"/>
    <x v="1"/>
    <x v="1"/>
    <x v="0"/>
    <x v="1"/>
    <x v="1"/>
    <x v="1"/>
    <x v="0"/>
    <x v="1"/>
    <x v="1"/>
    <x v="1"/>
    <x v="1"/>
    <x v="1"/>
    <x v="0"/>
    <x v="0"/>
    <x v="0"/>
    <x v="0"/>
    <x v="1"/>
    <x v="0"/>
    <x v="0"/>
    <x v="0"/>
    <x v="1"/>
    <x v="1"/>
  </r>
  <r>
    <x v="1"/>
    <x v="2"/>
    <x v="2"/>
    <x v="0"/>
    <x v="2"/>
    <x v="2"/>
    <x v="0"/>
    <x v="1"/>
    <x v="2"/>
    <x v="2"/>
    <x v="0"/>
    <x v="0"/>
    <x v="0"/>
    <x v="2"/>
    <x v="2"/>
    <x v="0"/>
    <x v="0"/>
    <x v="0"/>
    <x v="0"/>
    <x v="0"/>
    <x v="1"/>
    <x v="0"/>
    <x v="0"/>
    <x v="0"/>
    <x v="1"/>
    <x v="2"/>
  </r>
  <r>
    <x v="1"/>
    <x v="3"/>
    <x v="2"/>
    <x v="0"/>
    <x v="3"/>
    <x v="3"/>
    <x v="0"/>
    <x v="1"/>
    <x v="3"/>
    <x v="3"/>
    <x v="0"/>
    <x v="0"/>
    <x v="0"/>
    <x v="2"/>
    <x v="2"/>
    <x v="0"/>
    <x v="0"/>
    <x v="0"/>
    <x v="0"/>
    <x v="0"/>
    <x v="1"/>
    <x v="0"/>
    <x v="0"/>
    <x v="0"/>
    <x v="1"/>
    <x v="2"/>
  </r>
  <r>
    <x v="1"/>
    <x v="4"/>
    <x v="2"/>
    <x v="0"/>
    <x v="4"/>
    <x v="4"/>
    <x v="0"/>
    <x v="1"/>
    <x v="4"/>
    <x v="4"/>
    <x v="0"/>
    <x v="0"/>
    <x v="0"/>
    <x v="2"/>
    <x v="2"/>
    <x v="0"/>
    <x v="0"/>
    <x v="0"/>
    <x v="0"/>
    <x v="0"/>
    <x v="1"/>
    <x v="0"/>
    <x v="0"/>
    <x v="0"/>
    <x v="1"/>
    <x v="2"/>
  </r>
  <r>
    <x v="2"/>
    <x v="5"/>
    <x v="3"/>
    <x v="0"/>
    <x v="5"/>
    <x v="5"/>
    <x v="0"/>
    <x v="2"/>
    <x v="5"/>
    <x v="5"/>
    <x v="1"/>
    <x v="2"/>
    <x v="0"/>
    <x v="2"/>
    <x v="2"/>
    <x v="0"/>
    <x v="0"/>
    <x v="0"/>
    <x v="0"/>
    <x v="0"/>
    <x v="1"/>
    <x v="0"/>
    <x v="0"/>
    <x v="0"/>
    <x v="2"/>
    <x v="3"/>
  </r>
  <r>
    <x v="3"/>
    <x v="6"/>
    <x v="4"/>
    <x v="0"/>
    <x v="6"/>
    <x v="5"/>
    <x v="0"/>
    <x v="2"/>
    <x v="6"/>
    <x v="6"/>
    <x v="2"/>
    <x v="3"/>
    <x v="0"/>
    <x v="2"/>
    <x v="2"/>
    <x v="0"/>
    <x v="0"/>
    <x v="0"/>
    <x v="0"/>
    <x v="0"/>
    <x v="1"/>
    <x v="0"/>
    <x v="0"/>
    <x v="0"/>
    <x v="3"/>
    <x v="4"/>
  </r>
  <r>
    <x v="4"/>
    <x v="7"/>
    <x v="5"/>
    <x v="0"/>
    <x v="7"/>
    <x v="5"/>
    <x v="0"/>
    <x v="2"/>
    <x v="7"/>
    <x v="7"/>
    <x v="3"/>
    <x v="4"/>
    <x v="0"/>
    <x v="2"/>
    <x v="2"/>
    <x v="0"/>
    <x v="0"/>
    <x v="0"/>
    <x v="0"/>
    <x v="0"/>
    <x v="1"/>
    <x v="0"/>
    <x v="0"/>
    <x v="0"/>
    <x v="3"/>
    <x v="5"/>
  </r>
  <r>
    <x v="5"/>
    <x v="7"/>
    <x v="5"/>
    <x v="0"/>
    <x v="8"/>
    <x v="5"/>
    <x v="0"/>
    <x v="2"/>
    <x v="8"/>
    <x v="8"/>
    <x v="4"/>
    <x v="5"/>
    <x v="0"/>
    <x v="2"/>
    <x v="2"/>
    <x v="0"/>
    <x v="0"/>
    <x v="0"/>
    <x v="0"/>
    <x v="0"/>
    <x v="1"/>
    <x v="0"/>
    <x v="0"/>
    <x v="0"/>
    <x v="3"/>
    <x v="5"/>
  </r>
  <r>
    <x v="6"/>
    <x v="8"/>
    <x v="6"/>
    <x v="0"/>
    <x v="9"/>
    <x v="5"/>
    <x v="0"/>
    <x v="2"/>
    <x v="9"/>
    <x v="9"/>
    <x v="3"/>
    <x v="6"/>
    <x v="0"/>
    <x v="2"/>
    <x v="2"/>
    <x v="0"/>
    <x v="0"/>
    <x v="0"/>
    <x v="0"/>
    <x v="0"/>
    <x v="1"/>
    <x v="0"/>
    <x v="0"/>
    <x v="0"/>
    <x v="3"/>
    <x v="6"/>
  </r>
  <r>
    <x v="7"/>
    <x v="8"/>
    <x v="6"/>
    <x v="0"/>
    <x v="10"/>
    <x v="5"/>
    <x v="0"/>
    <x v="2"/>
    <x v="10"/>
    <x v="10"/>
    <x v="5"/>
    <x v="7"/>
    <x v="0"/>
    <x v="2"/>
    <x v="2"/>
    <x v="0"/>
    <x v="0"/>
    <x v="0"/>
    <x v="0"/>
    <x v="0"/>
    <x v="1"/>
    <x v="0"/>
    <x v="0"/>
    <x v="0"/>
    <x v="3"/>
    <x v="6"/>
  </r>
  <r>
    <x v="8"/>
    <x v="9"/>
    <x v="7"/>
    <x v="0"/>
    <x v="11"/>
    <x v="6"/>
    <x v="0"/>
    <x v="1"/>
    <x v="11"/>
    <x v="11"/>
    <x v="6"/>
    <x v="8"/>
    <x v="2"/>
    <x v="2"/>
    <x v="3"/>
    <x v="2"/>
    <x v="0"/>
    <x v="0"/>
    <x v="0"/>
    <x v="0"/>
    <x v="1"/>
    <x v="0"/>
    <x v="0"/>
    <x v="0"/>
    <x v="4"/>
    <x v="4"/>
  </r>
  <r>
    <x v="9"/>
    <x v="9"/>
    <x v="7"/>
    <x v="0"/>
    <x v="11"/>
    <x v="7"/>
    <x v="0"/>
    <x v="1"/>
    <x v="12"/>
    <x v="12"/>
    <x v="7"/>
    <x v="9"/>
    <x v="2"/>
    <x v="2"/>
    <x v="3"/>
    <x v="2"/>
    <x v="0"/>
    <x v="0"/>
    <x v="0"/>
    <x v="0"/>
    <x v="1"/>
    <x v="0"/>
    <x v="0"/>
    <x v="0"/>
    <x v="4"/>
    <x v="4"/>
  </r>
  <r>
    <x v="10"/>
    <x v="10"/>
    <x v="8"/>
    <x v="0"/>
    <x v="12"/>
    <x v="8"/>
    <x v="0"/>
    <x v="3"/>
    <x v="13"/>
    <x v="13"/>
    <x v="8"/>
    <x v="10"/>
    <x v="2"/>
    <x v="2"/>
    <x v="4"/>
    <x v="2"/>
    <x v="0"/>
    <x v="0"/>
    <x v="0"/>
    <x v="0"/>
    <x v="1"/>
    <x v="0"/>
    <x v="0"/>
    <x v="0"/>
    <x v="4"/>
    <x v="1"/>
  </r>
  <r>
    <x v="11"/>
    <x v="10"/>
    <x v="8"/>
    <x v="0"/>
    <x v="12"/>
    <x v="9"/>
    <x v="0"/>
    <x v="0"/>
    <x v="14"/>
    <x v="14"/>
    <x v="0"/>
    <x v="10"/>
    <x v="2"/>
    <x v="2"/>
    <x v="4"/>
    <x v="2"/>
    <x v="0"/>
    <x v="0"/>
    <x v="0"/>
    <x v="0"/>
    <x v="1"/>
    <x v="0"/>
    <x v="0"/>
    <x v="0"/>
    <x v="4"/>
    <x v="1"/>
  </r>
  <r>
    <x v="12"/>
    <x v="11"/>
    <x v="7"/>
    <x v="1"/>
    <x v="13"/>
    <x v="10"/>
    <x v="0"/>
    <x v="4"/>
    <x v="15"/>
    <x v="15"/>
    <x v="9"/>
    <x v="11"/>
    <x v="1"/>
    <x v="2"/>
    <x v="5"/>
    <x v="1"/>
    <x v="0"/>
    <x v="0"/>
    <x v="0"/>
    <x v="0"/>
    <x v="1"/>
    <x v="0"/>
    <x v="0"/>
    <x v="0"/>
    <x v="4"/>
    <x v="4"/>
  </r>
  <r>
    <x v="13"/>
    <x v="12"/>
    <x v="7"/>
    <x v="0"/>
    <x v="14"/>
    <x v="11"/>
    <x v="0"/>
    <x v="0"/>
    <x v="16"/>
    <x v="16"/>
    <x v="10"/>
    <x v="12"/>
    <x v="2"/>
    <x v="2"/>
    <x v="6"/>
    <x v="2"/>
    <x v="0"/>
    <x v="0"/>
    <x v="0"/>
    <x v="0"/>
    <x v="1"/>
    <x v="0"/>
    <x v="0"/>
    <x v="0"/>
    <x v="4"/>
    <x v="4"/>
  </r>
  <r>
    <x v="14"/>
    <x v="13"/>
    <x v="7"/>
    <x v="0"/>
    <x v="15"/>
    <x v="12"/>
    <x v="0"/>
    <x v="0"/>
    <x v="17"/>
    <x v="16"/>
    <x v="11"/>
    <x v="13"/>
    <x v="2"/>
    <x v="2"/>
    <x v="6"/>
    <x v="2"/>
    <x v="0"/>
    <x v="0"/>
    <x v="0"/>
    <x v="0"/>
    <x v="1"/>
    <x v="0"/>
    <x v="0"/>
    <x v="0"/>
    <x v="4"/>
    <x v="4"/>
  </r>
  <r>
    <x v="15"/>
    <x v="14"/>
    <x v="7"/>
    <x v="0"/>
    <x v="16"/>
    <x v="13"/>
    <x v="0"/>
    <x v="0"/>
    <x v="18"/>
    <x v="16"/>
    <x v="10"/>
    <x v="14"/>
    <x v="2"/>
    <x v="2"/>
    <x v="6"/>
    <x v="2"/>
    <x v="0"/>
    <x v="0"/>
    <x v="0"/>
    <x v="0"/>
    <x v="1"/>
    <x v="0"/>
    <x v="0"/>
    <x v="0"/>
    <x v="4"/>
    <x v="4"/>
  </r>
  <r>
    <x v="16"/>
    <x v="15"/>
    <x v="9"/>
    <x v="0"/>
    <x v="17"/>
    <x v="14"/>
    <x v="0"/>
    <x v="1"/>
    <x v="19"/>
    <x v="17"/>
    <x v="12"/>
    <x v="15"/>
    <x v="2"/>
    <x v="2"/>
    <x v="6"/>
    <x v="3"/>
    <x v="1"/>
    <x v="0"/>
    <x v="0"/>
    <x v="0"/>
    <x v="1"/>
    <x v="0"/>
    <x v="0"/>
    <x v="0"/>
    <x v="4"/>
    <x v="7"/>
  </r>
  <r>
    <x v="17"/>
    <x v="16"/>
    <x v="7"/>
    <x v="0"/>
    <x v="18"/>
    <x v="15"/>
    <x v="0"/>
    <x v="0"/>
    <x v="20"/>
    <x v="18"/>
    <x v="13"/>
    <x v="16"/>
    <x v="3"/>
    <x v="2"/>
    <x v="7"/>
    <x v="4"/>
    <x v="0"/>
    <x v="0"/>
    <x v="0"/>
    <x v="0"/>
    <x v="1"/>
    <x v="0"/>
    <x v="0"/>
    <x v="0"/>
    <x v="4"/>
    <x v="4"/>
  </r>
  <r>
    <x v="18"/>
    <x v="17"/>
    <x v="7"/>
    <x v="0"/>
    <x v="19"/>
    <x v="16"/>
    <x v="0"/>
    <x v="3"/>
    <x v="21"/>
    <x v="19"/>
    <x v="0"/>
    <x v="17"/>
    <x v="2"/>
    <x v="2"/>
    <x v="4"/>
    <x v="2"/>
    <x v="0"/>
    <x v="0"/>
    <x v="0"/>
    <x v="0"/>
    <x v="1"/>
    <x v="0"/>
    <x v="0"/>
    <x v="0"/>
    <x v="4"/>
    <x v="4"/>
  </r>
  <r>
    <x v="19"/>
    <x v="18"/>
    <x v="7"/>
    <x v="0"/>
    <x v="20"/>
    <x v="17"/>
    <x v="0"/>
    <x v="1"/>
    <x v="22"/>
    <x v="20"/>
    <x v="14"/>
    <x v="18"/>
    <x v="3"/>
    <x v="2"/>
    <x v="8"/>
    <x v="4"/>
    <x v="0"/>
    <x v="0"/>
    <x v="0"/>
    <x v="0"/>
    <x v="1"/>
    <x v="0"/>
    <x v="0"/>
    <x v="0"/>
    <x v="4"/>
    <x v="4"/>
  </r>
  <r>
    <x v="20"/>
    <x v="19"/>
    <x v="10"/>
    <x v="0"/>
    <x v="21"/>
    <x v="18"/>
    <x v="0"/>
    <x v="1"/>
    <x v="23"/>
    <x v="21"/>
    <x v="15"/>
    <x v="19"/>
    <x v="3"/>
    <x v="2"/>
    <x v="7"/>
    <x v="4"/>
    <x v="0"/>
    <x v="0"/>
    <x v="0"/>
    <x v="0"/>
    <x v="1"/>
    <x v="0"/>
    <x v="0"/>
    <x v="0"/>
    <x v="5"/>
    <x v="8"/>
  </r>
  <r>
    <x v="21"/>
    <x v="20"/>
    <x v="8"/>
    <x v="0"/>
    <x v="6"/>
    <x v="19"/>
    <x v="0"/>
    <x v="2"/>
    <x v="24"/>
    <x v="16"/>
    <x v="0"/>
    <x v="0"/>
    <x v="4"/>
    <x v="1"/>
    <x v="9"/>
    <x v="3"/>
    <x v="1"/>
    <x v="0"/>
    <x v="0"/>
    <x v="0"/>
    <x v="1"/>
    <x v="0"/>
    <x v="0"/>
    <x v="0"/>
    <x v="4"/>
    <x v="1"/>
  </r>
  <r>
    <x v="22"/>
    <x v="21"/>
    <x v="11"/>
    <x v="0"/>
    <x v="22"/>
    <x v="5"/>
    <x v="0"/>
    <x v="2"/>
    <x v="24"/>
    <x v="16"/>
    <x v="0"/>
    <x v="0"/>
    <x v="4"/>
    <x v="1"/>
    <x v="9"/>
    <x v="3"/>
    <x v="1"/>
    <x v="0"/>
    <x v="0"/>
    <x v="0"/>
    <x v="1"/>
    <x v="0"/>
    <x v="0"/>
    <x v="0"/>
    <x v="4"/>
    <x v="9"/>
  </r>
  <r>
    <x v="23"/>
    <x v="22"/>
    <x v="11"/>
    <x v="0"/>
    <x v="23"/>
    <x v="20"/>
    <x v="0"/>
    <x v="1"/>
    <x v="25"/>
    <x v="22"/>
    <x v="0"/>
    <x v="20"/>
    <x v="1"/>
    <x v="2"/>
    <x v="10"/>
    <x v="3"/>
    <x v="1"/>
    <x v="0"/>
    <x v="0"/>
    <x v="0"/>
    <x v="1"/>
    <x v="0"/>
    <x v="0"/>
    <x v="0"/>
    <x v="4"/>
    <x v="9"/>
  </r>
  <r>
    <x v="24"/>
    <x v="23"/>
    <x v="12"/>
    <x v="0"/>
    <x v="24"/>
    <x v="21"/>
    <x v="0"/>
    <x v="0"/>
    <x v="26"/>
    <x v="23"/>
    <x v="16"/>
    <x v="21"/>
    <x v="1"/>
    <x v="2"/>
    <x v="10"/>
    <x v="3"/>
    <x v="1"/>
    <x v="0"/>
    <x v="0"/>
    <x v="0"/>
    <x v="1"/>
    <x v="0"/>
    <x v="0"/>
    <x v="0"/>
    <x v="4"/>
    <x v="10"/>
  </r>
  <r>
    <x v="25"/>
    <x v="24"/>
    <x v="12"/>
    <x v="2"/>
    <x v="25"/>
    <x v="22"/>
    <x v="0"/>
    <x v="5"/>
    <x v="27"/>
    <x v="24"/>
    <x v="17"/>
    <x v="22"/>
    <x v="3"/>
    <x v="2"/>
    <x v="11"/>
    <x v="4"/>
    <x v="0"/>
    <x v="0"/>
    <x v="0"/>
    <x v="0"/>
    <x v="1"/>
    <x v="0"/>
    <x v="0"/>
    <x v="0"/>
    <x v="4"/>
    <x v="10"/>
  </r>
  <r>
    <x v="26"/>
    <x v="25"/>
    <x v="12"/>
    <x v="0"/>
    <x v="26"/>
    <x v="23"/>
    <x v="0"/>
    <x v="6"/>
    <x v="28"/>
    <x v="16"/>
    <x v="18"/>
    <x v="23"/>
    <x v="2"/>
    <x v="2"/>
    <x v="12"/>
    <x v="3"/>
    <x v="1"/>
    <x v="0"/>
    <x v="0"/>
    <x v="0"/>
    <x v="1"/>
    <x v="0"/>
    <x v="0"/>
    <x v="0"/>
    <x v="4"/>
    <x v="10"/>
  </r>
  <r>
    <x v="1"/>
    <x v="9"/>
    <x v="12"/>
    <x v="0"/>
    <x v="27"/>
    <x v="24"/>
    <x v="0"/>
    <x v="7"/>
    <x v="29"/>
    <x v="25"/>
    <x v="19"/>
    <x v="24"/>
    <x v="1"/>
    <x v="2"/>
    <x v="13"/>
    <x v="3"/>
    <x v="1"/>
    <x v="0"/>
    <x v="0"/>
    <x v="0"/>
    <x v="1"/>
    <x v="0"/>
    <x v="0"/>
    <x v="0"/>
    <x v="4"/>
    <x v="10"/>
  </r>
  <r>
    <x v="27"/>
    <x v="26"/>
    <x v="12"/>
    <x v="0"/>
    <x v="26"/>
    <x v="25"/>
    <x v="0"/>
    <x v="8"/>
    <x v="30"/>
    <x v="26"/>
    <x v="20"/>
    <x v="25"/>
    <x v="2"/>
    <x v="2"/>
    <x v="12"/>
    <x v="3"/>
    <x v="1"/>
    <x v="0"/>
    <x v="0"/>
    <x v="0"/>
    <x v="1"/>
    <x v="0"/>
    <x v="0"/>
    <x v="0"/>
    <x v="4"/>
    <x v="10"/>
  </r>
  <r>
    <x v="28"/>
    <x v="27"/>
    <x v="12"/>
    <x v="0"/>
    <x v="28"/>
    <x v="26"/>
    <x v="0"/>
    <x v="1"/>
    <x v="31"/>
    <x v="27"/>
    <x v="21"/>
    <x v="26"/>
    <x v="3"/>
    <x v="2"/>
    <x v="7"/>
    <x v="4"/>
    <x v="0"/>
    <x v="0"/>
    <x v="0"/>
    <x v="0"/>
    <x v="1"/>
    <x v="0"/>
    <x v="0"/>
    <x v="0"/>
    <x v="4"/>
    <x v="10"/>
  </r>
  <r>
    <x v="29"/>
    <x v="27"/>
    <x v="12"/>
    <x v="0"/>
    <x v="28"/>
    <x v="26"/>
    <x v="0"/>
    <x v="1"/>
    <x v="32"/>
    <x v="28"/>
    <x v="21"/>
    <x v="27"/>
    <x v="3"/>
    <x v="2"/>
    <x v="7"/>
    <x v="4"/>
    <x v="0"/>
    <x v="0"/>
    <x v="0"/>
    <x v="0"/>
    <x v="1"/>
    <x v="0"/>
    <x v="0"/>
    <x v="0"/>
    <x v="4"/>
    <x v="10"/>
  </r>
  <r>
    <x v="30"/>
    <x v="28"/>
    <x v="12"/>
    <x v="0"/>
    <x v="28"/>
    <x v="26"/>
    <x v="0"/>
    <x v="1"/>
    <x v="33"/>
    <x v="29"/>
    <x v="22"/>
    <x v="28"/>
    <x v="3"/>
    <x v="2"/>
    <x v="7"/>
    <x v="4"/>
    <x v="0"/>
    <x v="0"/>
    <x v="0"/>
    <x v="0"/>
    <x v="1"/>
    <x v="0"/>
    <x v="0"/>
    <x v="0"/>
    <x v="4"/>
    <x v="10"/>
  </r>
  <r>
    <x v="31"/>
    <x v="27"/>
    <x v="12"/>
    <x v="0"/>
    <x v="28"/>
    <x v="26"/>
    <x v="0"/>
    <x v="1"/>
    <x v="34"/>
    <x v="30"/>
    <x v="23"/>
    <x v="29"/>
    <x v="3"/>
    <x v="2"/>
    <x v="7"/>
    <x v="4"/>
    <x v="0"/>
    <x v="0"/>
    <x v="0"/>
    <x v="0"/>
    <x v="1"/>
    <x v="0"/>
    <x v="0"/>
    <x v="0"/>
    <x v="4"/>
    <x v="10"/>
  </r>
  <r>
    <x v="32"/>
    <x v="29"/>
    <x v="12"/>
    <x v="0"/>
    <x v="28"/>
    <x v="26"/>
    <x v="0"/>
    <x v="1"/>
    <x v="35"/>
    <x v="31"/>
    <x v="24"/>
    <x v="30"/>
    <x v="3"/>
    <x v="2"/>
    <x v="7"/>
    <x v="4"/>
    <x v="0"/>
    <x v="0"/>
    <x v="0"/>
    <x v="0"/>
    <x v="1"/>
    <x v="0"/>
    <x v="0"/>
    <x v="0"/>
    <x v="4"/>
    <x v="10"/>
  </r>
  <r>
    <x v="33"/>
    <x v="27"/>
    <x v="12"/>
    <x v="0"/>
    <x v="28"/>
    <x v="26"/>
    <x v="0"/>
    <x v="1"/>
    <x v="36"/>
    <x v="32"/>
    <x v="21"/>
    <x v="31"/>
    <x v="3"/>
    <x v="2"/>
    <x v="7"/>
    <x v="4"/>
    <x v="0"/>
    <x v="0"/>
    <x v="0"/>
    <x v="0"/>
    <x v="1"/>
    <x v="0"/>
    <x v="0"/>
    <x v="0"/>
    <x v="4"/>
    <x v="10"/>
  </r>
  <r>
    <x v="34"/>
    <x v="27"/>
    <x v="12"/>
    <x v="0"/>
    <x v="28"/>
    <x v="26"/>
    <x v="0"/>
    <x v="1"/>
    <x v="37"/>
    <x v="33"/>
    <x v="21"/>
    <x v="32"/>
    <x v="3"/>
    <x v="2"/>
    <x v="7"/>
    <x v="4"/>
    <x v="0"/>
    <x v="0"/>
    <x v="0"/>
    <x v="0"/>
    <x v="1"/>
    <x v="0"/>
    <x v="0"/>
    <x v="0"/>
    <x v="4"/>
    <x v="10"/>
  </r>
  <r>
    <x v="35"/>
    <x v="27"/>
    <x v="12"/>
    <x v="0"/>
    <x v="28"/>
    <x v="26"/>
    <x v="0"/>
    <x v="1"/>
    <x v="38"/>
    <x v="34"/>
    <x v="21"/>
    <x v="33"/>
    <x v="3"/>
    <x v="2"/>
    <x v="7"/>
    <x v="4"/>
    <x v="0"/>
    <x v="0"/>
    <x v="0"/>
    <x v="0"/>
    <x v="1"/>
    <x v="0"/>
    <x v="0"/>
    <x v="0"/>
    <x v="4"/>
    <x v="10"/>
  </r>
  <r>
    <x v="36"/>
    <x v="27"/>
    <x v="12"/>
    <x v="0"/>
    <x v="28"/>
    <x v="26"/>
    <x v="0"/>
    <x v="1"/>
    <x v="39"/>
    <x v="35"/>
    <x v="24"/>
    <x v="34"/>
    <x v="3"/>
    <x v="2"/>
    <x v="7"/>
    <x v="4"/>
    <x v="0"/>
    <x v="0"/>
    <x v="0"/>
    <x v="0"/>
    <x v="1"/>
    <x v="0"/>
    <x v="0"/>
    <x v="0"/>
    <x v="4"/>
    <x v="10"/>
  </r>
  <r>
    <x v="37"/>
    <x v="30"/>
    <x v="12"/>
    <x v="0"/>
    <x v="28"/>
    <x v="26"/>
    <x v="0"/>
    <x v="1"/>
    <x v="40"/>
    <x v="36"/>
    <x v="25"/>
    <x v="35"/>
    <x v="3"/>
    <x v="2"/>
    <x v="7"/>
    <x v="4"/>
    <x v="0"/>
    <x v="0"/>
    <x v="0"/>
    <x v="0"/>
    <x v="1"/>
    <x v="0"/>
    <x v="0"/>
    <x v="0"/>
    <x v="4"/>
    <x v="10"/>
  </r>
  <r>
    <x v="38"/>
    <x v="31"/>
    <x v="13"/>
    <x v="0"/>
    <x v="29"/>
    <x v="27"/>
    <x v="0"/>
    <x v="0"/>
    <x v="41"/>
    <x v="37"/>
    <x v="26"/>
    <x v="36"/>
    <x v="0"/>
    <x v="2"/>
    <x v="14"/>
    <x v="3"/>
    <x v="1"/>
    <x v="0"/>
    <x v="0"/>
    <x v="0"/>
    <x v="1"/>
    <x v="0"/>
    <x v="0"/>
    <x v="0"/>
    <x v="4"/>
    <x v="11"/>
  </r>
  <r>
    <x v="39"/>
    <x v="32"/>
    <x v="13"/>
    <x v="3"/>
    <x v="30"/>
    <x v="28"/>
    <x v="0"/>
    <x v="9"/>
    <x v="42"/>
    <x v="38"/>
    <x v="26"/>
    <x v="37"/>
    <x v="0"/>
    <x v="2"/>
    <x v="14"/>
    <x v="3"/>
    <x v="1"/>
    <x v="0"/>
    <x v="0"/>
    <x v="0"/>
    <x v="1"/>
    <x v="0"/>
    <x v="0"/>
    <x v="0"/>
    <x v="4"/>
    <x v="11"/>
  </r>
  <r>
    <x v="40"/>
    <x v="29"/>
    <x v="10"/>
    <x v="0"/>
    <x v="31"/>
    <x v="29"/>
    <x v="0"/>
    <x v="0"/>
    <x v="43"/>
    <x v="39"/>
    <x v="26"/>
    <x v="38"/>
    <x v="0"/>
    <x v="2"/>
    <x v="15"/>
    <x v="4"/>
    <x v="0"/>
    <x v="0"/>
    <x v="0"/>
    <x v="0"/>
    <x v="1"/>
    <x v="0"/>
    <x v="0"/>
    <x v="0"/>
    <x v="5"/>
    <x v="8"/>
  </r>
  <r>
    <x v="41"/>
    <x v="33"/>
    <x v="12"/>
    <x v="0"/>
    <x v="32"/>
    <x v="30"/>
    <x v="0"/>
    <x v="2"/>
    <x v="24"/>
    <x v="16"/>
    <x v="0"/>
    <x v="0"/>
    <x v="4"/>
    <x v="1"/>
    <x v="9"/>
    <x v="3"/>
    <x v="1"/>
    <x v="0"/>
    <x v="0"/>
    <x v="0"/>
    <x v="1"/>
    <x v="0"/>
    <x v="0"/>
    <x v="0"/>
    <x v="4"/>
    <x v="10"/>
  </r>
  <r>
    <x v="42"/>
    <x v="34"/>
    <x v="8"/>
    <x v="0"/>
    <x v="6"/>
    <x v="31"/>
    <x v="0"/>
    <x v="2"/>
    <x v="24"/>
    <x v="16"/>
    <x v="0"/>
    <x v="0"/>
    <x v="4"/>
    <x v="1"/>
    <x v="9"/>
    <x v="3"/>
    <x v="1"/>
    <x v="0"/>
    <x v="0"/>
    <x v="0"/>
    <x v="1"/>
    <x v="0"/>
    <x v="0"/>
    <x v="0"/>
    <x v="4"/>
    <x v="1"/>
  </r>
  <r>
    <x v="43"/>
    <x v="35"/>
    <x v="8"/>
    <x v="0"/>
    <x v="33"/>
    <x v="32"/>
    <x v="0"/>
    <x v="1"/>
    <x v="44"/>
    <x v="40"/>
    <x v="27"/>
    <x v="39"/>
    <x v="5"/>
    <x v="2"/>
    <x v="16"/>
    <x v="3"/>
    <x v="1"/>
    <x v="0"/>
    <x v="0"/>
    <x v="0"/>
    <x v="1"/>
    <x v="0"/>
    <x v="0"/>
    <x v="0"/>
    <x v="4"/>
    <x v="1"/>
  </r>
  <r>
    <x v="44"/>
    <x v="9"/>
    <x v="14"/>
    <x v="0"/>
    <x v="34"/>
    <x v="33"/>
    <x v="0"/>
    <x v="1"/>
    <x v="45"/>
    <x v="41"/>
    <x v="28"/>
    <x v="40"/>
    <x v="0"/>
    <x v="2"/>
    <x v="14"/>
    <x v="3"/>
    <x v="1"/>
    <x v="0"/>
    <x v="0"/>
    <x v="0"/>
    <x v="1"/>
    <x v="0"/>
    <x v="0"/>
    <x v="0"/>
    <x v="4"/>
    <x v="12"/>
  </r>
  <r>
    <x v="45"/>
    <x v="12"/>
    <x v="13"/>
    <x v="0"/>
    <x v="35"/>
    <x v="34"/>
    <x v="0"/>
    <x v="10"/>
    <x v="46"/>
    <x v="42"/>
    <x v="29"/>
    <x v="41"/>
    <x v="0"/>
    <x v="2"/>
    <x v="17"/>
    <x v="3"/>
    <x v="1"/>
    <x v="0"/>
    <x v="0"/>
    <x v="0"/>
    <x v="1"/>
    <x v="0"/>
    <x v="0"/>
    <x v="0"/>
    <x v="4"/>
    <x v="11"/>
  </r>
  <r>
    <x v="46"/>
    <x v="26"/>
    <x v="13"/>
    <x v="0"/>
    <x v="35"/>
    <x v="35"/>
    <x v="0"/>
    <x v="1"/>
    <x v="47"/>
    <x v="43"/>
    <x v="30"/>
    <x v="41"/>
    <x v="0"/>
    <x v="2"/>
    <x v="17"/>
    <x v="3"/>
    <x v="1"/>
    <x v="0"/>
    <x v="0"/>
    <x v="0"/>
    <x v="1"/>
    <x v="0"/>
    <x v="0"/>
    <x v="0"/>
    <x v="4"/>
    <x v="11"/>
  </r>
  <r>
    <x v="22"/>
    <x v="36"/>
    <x v="14"/>
    <x v="0"/>
    <x v="36"/>
    <x v="36"/>
    <x v="0"/>
    <x v="1"/>
    <x v="48"/>
    <x v="44"/>
    <x v="30"/>
    <x v="42"/>
    <x v="0"/>
    <x v="2"/>
    <x v="17"/>
    <x v="3"/>
    <x v="1"/>
    <x v="0"/>
    <x v="0"/>
    <x v="0"/>
    <x v="1"/>
    <x v="0"/>
    <x v="0"/>
    <x v="0"/>
    <x v="4"/>
    <x v="12"/>
  </r>
  <r>
    <x v="47"/>
    <x v="37"/>
    <x v="15"/>
    <x v="0"/>
    <x v="37"/>
    <x v="37"/>
    <x v="0"/>
    <x v="1"/>
    <x v="49"/>
    <x v="45"/>
    <x v="31"/>
    <x v="43"/>
    <x v="0"/>
    <x v="2"/>
    <x v="17"/>
    <x v="3"/>
    <x v="1"/>
    <x v="0"/>
    <x v="0"/>
    <x v="0"/>
    <x v="1"/>
    <x v="0"/>
    <x v="0"/>
    <x v="0"/>
    <x v="4"/>
    <x v="13"/>
  </r>
  <r>
    <x v="48"/>
    <x v="38"/>
    <x v="16"/>
    <x v="0"/>
    <x v="38"/>
    <x v="38"/>
    <x v="0"/>
    <x v="1"/>
    <x v="50"/>
    <x v="46"/>
    <x v="32"/>
    <x v="44"/>
    <x v="0"/>
    <x v="2"/>
    <x v="17"/>
    <x v="3"/>
    <x v="1"/>
    <x v="0"/>
    <x v="0"/>
    <x v="0"/>
    <x v="1"/>
    <x v="0"/>
    <x v="0"/>
    <x v="0"/>
    <x v="6"/>
    <x v="14"/>
  </r>
  <r>
    <x v="49"/>
    <x v="39"/>
    <x v="17"/>
    <x v="0"/>
    <x v="39"/>
    <x v="39"/>
    <x v="0"/>
    <x v="0"/>
    <x v="51"/>
    <x v="47"/>
    <x v="33"/>
    <x v="45"/>
    <x v="2"/>
    <x v="1"/>
    <x v="9"/>
    <x v="3"/>
    <x v="1"/>
    <x v="0"/>
    <x v="0"/>
    <x v="0"/>
    <x v="1"/>
    <x v="0"/>
    <x v="0"/>
    <x v="0"/>
    <x v="7"/>
    <x v="12"/>
  </r>
  <r>
    <x v="50"/>
    <x v="40"/>
    <x v="18"/>
    <x v="0"/>
    <x v="40"/>
    <x v="40"/>
    <x v="0"/>
    <x v="1"/>
    <x v="52"/>
    <x v="48"/>
    <x v="34"/>
    <x v="46"/>
    <x v="6"/>
    <x v="1"/>
    <x v="9"/>
    <x v="3"/>
    <x v="1"/>
    <x v="0"/>
    <x v="0"/>
    <x v="0"/>
    <x v="1"/>
    <x v="0"/>
    <x v="0"/>
    <x v="0"/>
    <x v="4"/>
    <x v="2"/>
  </r>
  <r>
    <x v="51"/>
    <x v="41"/>
    <x v="19"/>
    <x v="0"/>
    <x v="41"/>
    <x v="41"/>
    <x v="0"/>
    <x v="0"/>
    <x v="53"/>
    <x v="49"/>
    <x v="19"/>
    <x v="47"/>
    <x v="2"/>
    <x v="2"/>
    <x v="18"/>
    <x v="3"/>
    <x v="1"/>
    <x v="0"/>
    <x v="0"/>
    <x v="0"/>
    <x v="1"/>
    <x v="0"/>
    <x v="0"/>
    <x v="0"/>
    <x v="4"/>
    <x v="6"/>
  </r>
  <r>
    <x v="52"/>
    <x v="9"/>
    <x v="19"/>
    <x v="0"/>
    <x v="42"/>
    <x v="42"/>
    <x v="0"/>
    <x v="0"/>
    <x v="54"/>
    <x v="50"/>
    <x v="35"/>
    <x v="48"/>
    <x v="2"/>
    <x v="2"/>
    <x v="19"/>
    <x v="3"/>
    <x v="1"/>
    <x v="0"/>
    <x v="0"/>
    <x v="0"/>
    <x v="1"/>
    <x v="0"/>
    <x v="0"/>
    <x v="0"/>
    <x v="4"/>
    <x v="6"/>
  </r>
  <r>
    <x v="53"/>
    <x v="9"/>
    <x v="19"/>
    <x v="0"/>
    <x v="42"/>
    <x v="43"/>
    <x v="0"/>
    <x v="0"/>
    <x v="55"/>
    <x v="51"/>
    <x v="35"/>
    <x v="49"/>
    <x v="2"/>
    <x v="2"/>
    <x v="19"/>
    <x v="3"/>
    <x v="1"/>
    <x v="0"/>
    <x v="0"/>
    <x v="0"/>
    <x v="1"/>
    <x v="0"/>
    <x v="0"/>
    <x v="0"/>
    <x v="4"/>
    <x v="6"/>
  </r>
  <r>
    <x v="54"/>
    <x v="9"/>
    <x v="19"/>
    <x v="0"/>
    <x v="42"/>
    <x v="44"/>
    <x v="0"/>
    <x v="1"/>
    <x v="56"/>
    <x v="52"/>
    <x v="35"/>
    <x v="50"/>
    <x v="2"/>
    <x v="2"/>
    <x v="19"/>
    <x v="3"/>
    <x v="1"/>
    <x v="0"/>
    <x v="0"/>
    <x v="0"/>
    <x v="1"/>
    <x v="0"/>
    <x v="0"/>
    <x v="0"/>
    <x v="4"/>
    <x v="6"/>
  </r>
  <r>
    <x v="55"/>
    <x v="9"/>
    <x v="19"/>
    <x v="0"/>
    <x v="42"/>
    <x v="45"/>
    <x v="0"/>
    <x v="1"/>
    <x v="57"/>
    <x v="53"/>
    <x v="36"/>
    <x v="51"/>
    <x v="2"/>
    <x v="2"/>
    <x v="19"/>
    <x v="3"/>
    <x v="1"/>
    <x v="0"/>
    <x v="0"/>
    <x v="0"/>
    <x v="1"/>
    <x v="0"/>
    <x v="0"/>
    <x v="0"/>
    <x v="4"/>
    <x v="6"/>
  </r>
  <r>
    <x v="56"/>
    <x v="9"/>
    <x v="19"/>
    <x v="0"/>
    <x v="42"/>
    <x v="46"/>
    <x v="0"/>
    <x v="0"/>
    <x v="58"/>
    <x v="54"/>
    <x v="37"/>
    <x v="52"/>
    <x v="2"/>
    <x v="2"/>
    <x v="19"/>
    <x v="3"/>
    <x v="1"/>
    <x v="0"/>
    <x v="0"/>
    <x v="0"/>
    <x v="1"/>
    <x v="0"/>
    <x v="0"/>
    <x v="0"/>
    <x v="4"/>
    <x v="6"/>
  </r>
  <r>
    <x v="57"/>
    <x v="42"/>
    <x v="19"/>
    <x v="0"/>
    <x v="43"/>
    <x v="47"/>
    <x v="0"/>
    <x v="1"/>
    <x v="59"/>
    <x v="55"/>
    <x v="38"/>
    <x v="53"/>
    <x v="3"/>
    <x v="2"/>
    <x v="7"/>
    <x v="3"/>
    <x v="1"/>
    <x v="0"/>
    <x v="0"/>
    <x v="0"/>
    <x v="1"/>
    <x v="0"/>
    <x v="0"/>
    <x v="0"/>
    <x v="4"/>
    <x v="6"/>
  </r>
  <r>
    <x v="58"/>
    <x v="43"/>
    <x v="19"/>
    <x v="0"/>
    <x v="44"/>
    <x v="48"/>
    <x v="0"/>
    <x v="1"/>
    <x v="60"/>
    <x v="56"/>
    <x v="39"/>
    <x v="54"/>
    <x v="3"/>
    <x v="2"/>
    <x v="7"/>
    <x v="3"/>
    <x v="1"/>
    <x v="0"/>
    <x v="0"/>
    <x v="0"/>
    <x v="1"/>
    <x v="0"/>
    <x v="0"/>
    <x v="0"/>
    <x v="4"/>
    <x v="6"/>
  </r>
  <r>
    <x v="59"/>
    <x v="44"/>
    <x v="20"/>
    <x v="0"/>
    <x v="45"/>
    <x v="49"/>
    <x v="0"/>
    <x v="1"/>
    <x v="61"/>
    <x v="57"/>
    <x v="40"/>
    <x v="55"/>
    <x v="2"/>
    <x v="2"/>
    <x v="4"/>
    <x v="2"/>
    <x v="0"/>
    <x v="0"/>
    <x v="0"/>
    <x v="0"/>
    <x v="1"/>
    <x v="0"/>
    <x v="0"/>
    <x v="0"/>
    <x v="4"/>
    <x v="14"/>
  </r>
  <r>
    <x v="60"/>
    <x v="35"/>
    <x v="20"/>
    <x v="0"/>
    <x v="46"/>
    <x v="50"/>
    <x v="0"/>
    <x v="1"/>
    <x v="62"/>
    <x v="58"/>
    <x v="41"/>
    <x v="56"/>
    <x v="0"/>
    <x v="2"/>
    <x v="17"/>
    <x v="3"/>
    <x v="1"/>
    <x v="0"/>
    <x v="0"/>
    <x v="0"/>
    <x v="1"/>
    <x v="0"/>
    <x v="0"/>
    <x v="0"/>
    <x v="4"/>
    <x v="14"/>
  </r>
  <r>
    <x v="61"/>
    <x v="31"/>
    <x v="20"/>
    <x v="0"/>
    <x v="47"/>
    <x v="51"/>
    <x v="0"/>
    <x v="1"/>
    <x v="63"/>
    <x v="59"/>
    <x v="42"/>
    <x v="57"/>
    <x v="0"/>
    <x v="2"/>
    <x v="17"/>
    <x v="3"/>
    <x v="1"/>
    <x v="0"/>
    <x v="0"/>
    <x v="0"/>
    <x v="1"/>
    <x v="0"/>
    <x v="0"/>
    <x v="0"/>
    <x v="4"/>
    <x v="14"/>
  </r>
  <r>
    <x v="62"/>
    <x v="45"/>
    <x v="21"/>
    <x v="0"/>
    <x v="48"/>
    <x v="52"/>
    <x v="0"/>
    <x v="1"/>
    <x v="64"/>
    <x v="60"/>
    <x v="43"/>
    <x v="58"/>
    <x v="2"/>
    <x v="2"/>
    <x v="12"/>
    <x v="3"/>
    <x v="1"/>
    <x v="0"/>
    <x v="0"/>
    <x v="0"/>
    <x v="1"/>
    <x v="0"/>
    <x v="0"/>
    <x v="0"/>
    <x v="4"/>
    <x v="15"/>
  </r>
  <r>
    <x v="63"/>
    <x v="46"/>
    <x v="21"/>
    <x v="0"/>
    <x v="49"/>
    <x v="53"/>
    <x v="0"/>
    <x v="0"/>
    <x v="65"/>
    <x v="61"/>
    <x v="44"/>
    <x v="59"/>
    <x v="0"/>
    <x v="2"/>
    <x v="20"/>
    <x v="3"/>
    <x v="1"/>
    <x v="0"/>
    <x v="0"/>
    <x v="0"/>
    <x v="1"/>
    <x v="0"/>
    <x v="0"/>
    <x v="0"/>
    <x v="4"/>
    <x v="15"/>
  </r>
  <r>
    <x v="64"/>
    <x v="47"/>
    <x v="21"/>
    <x v="0"/>
    <x v="50"/>
    <x v="54"/>
    <x v="0"/>
    <x v="1"/>
    <x v="66"/>
    <x v="62"/>
    <x v="45"/>
    <x v="60"/>
    <x v="0"/>
    <x v="2"/>
    <x v="20"/>
    <x v="3"/>
    <x v="1"/>
    <x v="0"/>
    <x v="0"/>
    <x v="0"/>
    <x v="1"/>
    <x v="0"/>
    <x v="0"/>
    <x v="0"/>
    <x v="4"/>
    <x v="15"/>
  </r>
  <r>
    <x v="39"/>
    <x v="48"/>
    <x v="22"/>
    <x v="4"/>
    <x v="51"/>
    <x v="55"/>
    <x v="0"/>
    <x v="10"/>
    <x v="67"/>
    <x v="63"/>
    <x v="46"/>
    <x v="61"/>
    <x v="2"/>
    <x v="2"/>
    <x v="4"/>
    <x v="2"/>
    <x v="0"/>
    <x v="0"/>
    <x v="0"/>
    <x v="0"/>
    <x v="1"/>
    <x v="0"/>
    <x v="0"/>
    <x v="0"/>
    <x v="4"/>
    <x v="16"/>
  </r>
  <r>
    <x v="1"/>
    <x v="49"/>
    <x v="22"/>
    <x v="0"/>
    <x v="11"/>
    <x v="56"/>
    <x v="0"/>
    <x v="11"/>
    <x v="68"/>
    <x v="64"/>
    <x v="7"/>
    <x v="62"/>
    <x v="2"/>
    <x v="2"/>
    <x v="3"/>
    <x v="3"/>
    <x v="1"/>
    <x v="0"/>
    <x v="0"/>
    <x v="0"/>
    <x v="1"/>
    <x v="0"/>
    <x v="0"/>
    <x v="0"/>
    <x v="4"/>
    <x v="16"/>
  </r>
  <r>
    <x v="65"/>
    <x v="50"/>
    <x v="22"/>
    <x v="0"/>
    <x v="52"/>
    <x v="57"/>
    <x v="0"/>
    <x v="1"/>
    <x v="69"/>
    <x v="65"/>
    <x v="47"/>
    <x v="63"/>
    <x v="5"/>
    <x v="2"/>
    <x v="16"/>
    <x v="3"/>
    <x v="1"/>
    <x v="0"/>
    <x v="0"/>
    <x v="0"/>
    <x v="1"/>
    <x v="0"/>
    <x v="0"/>
    <x v="0"/>
    <x v="4"/>
    <x v="16"/>
  </r>
  <r>
    <x v="66"/>
    <x v="51"/>
    <x v="23"/>
    <x v="0"/>
    <x v="53"/>
    <x v="58"/>
    <x v="0"/>
    <x v="1"/>
    <x v="70"/>
    <x v="66"/>
    <x v="48"/>
    <x v="60"/>
    <x v="0"/>
    <x v="2"/>
    <x v="17"/>
    <x v="3"/>
    <x v="1"/>
    <x v="0"/>
    <x v="0"/>
    <x v="0"/>
    <x v="1"/>
    <x v="0"/>
    <x v="0"/>
    <x v="0"/>
    <x v="4"/>
    <x v="17"/>
  </r>
  <r>
    <x v="67"/>
    <x v="52"/>
    <x v="9"/>
    <x v="0"/>
    <x v="17"/>
    <x v="59"/>
    <x v="0"/>
    <x v="1"/>
    <x v="71"/>
    <x v="67"/>
    <x v="35"/>
    <x v="64"/>
    <x v="2"/>
    <x v="2"/>
    <x v="6"/>
    <x v="3"/>
    <x v="1"/>
    <x v="0"/>
    <x v="0"/>
    <x v="0"/>
    <x v="1"/>
    <x v="0"/>
    <x v="0"/>
    <x v="0"/>
    <x v="4"/>
    <x v="7"/>
  </r>
  <r>
    <x v="68"/>
    <x v="53"/>
    <x v="12"/>
    <x v="4"/>
    <x v="54"/>
    <x v="60"/>
    <x v="0"/>
    <x v="12"/>
    <x v="72"/>
    <x v="68"/>
    <x v="49"/>
    <x v="0"/>
    <x v="1"/>
    <x v="3"/>
    <x v="10"/>
    <x v="3"/>
    <x v="1"/>
    <x v="0"/>
    <x v="0"/>
    <x v="0"/>
    <x v="1"/>
    <x v="0"/>
    <x v="0"/>
    <x v="0"/>
    <x v="4"/>
    <x v="10"/>
  </r>
  <r>
    <x v="69"/>
    <x v="53"/>
    <x v="12"/>
    <x v="4"/>
    <x v="55"/>
    <x v="61"/>
    <x v="0"/>
    <x v="4"/>
    <x v="73"/>
    <x v="69"/>
    <x v="50"/>
    <x v="65"/>
    <x v="1"/>
    <x v="3"/>
    <x v="1"/>
    <x v="3"/>
    <x v="1"/>
    <x v="0"/>
    <x v="0"/>
    <x v="0"/>
    <x v="1"/>
    <x v="0"/>
    <x v="0"/>
    <x v="0"/>
    <x v="4"/>
    <x v="10"/>
  </r>
  <r>
    <x v="70"/>
    <x v="54"/>
    <x v="24"/>
    <x v="0"/>
    <x v="56"/>
    <x v="62"/>
    <x v="0"/>
    <x v="1"/>
    <x v="74"/>
    <x v="70"/>
    <x v="51"/>
    <x v="66"/>
    <x v="2"/>
    <x v="2"/>
    <x v="18"/>
    <x v="3"/>
    <x v="1"/>
    <x v="0"/>
    <x v="0"/>
    <x v="0"/>
    <x v="1"/>
    <x v="0"/>
    <x v="0"/>
    <x v="0"/>
    <x v="4"/>
    <x v="18"/>
  </r>
  <r>
    <x v="71"/>
    <x v="41"/>
    <x v="7"/>
    <x v="5"/>
    <x v="57"/>
    <x v="63"/>
    <x v="0"/>
    <x v="0"/>
    <x v="75"/>
    <x v="71"/>
    <x v="19"/>
    <x v="67"/>
    <x v="2"/>
    <x v="3"/>
    <x v="21"/>
    <x v="4"/>
    <x v="0"/>
    <x v="1"/>
    <x v="0"/>
    <x v="0"/>
    <x v="1"/>
    <x v="0"/>
    <x v="0"/>
    <x v="0"/>
    <x v="4"/>
    <x v="4"/>
  </r>
  <r>
    <x v="72"/>
    <x v="44"/>
    <x v="25"/>
    <x v="0"/>
    <x v="58"/>
    <x v="64"/>
    <x v="0"/>
    <x v="1"/>
    <x v="76"/>
    <x v="72"/>
    <x v="52"/>
    <x v="68"/>
    <x v="2"/>
    <x v="2"/>
    <x v="6"/>
    <x v="3"/>
    <x v="1"/>
    <x v="0"/>
    <x v="0"/>
    <x v="0"/>
    <x v="1"/>
    <x v="0"/>
    <x v="0"/>
    <x v="1"/>
    <x v="8"/>
    <x v="19"/>
  </r>
  <r>
    <x v="73"/>
    <x v="52"/>
    <x v="9"/>
    <x v="0"/>
    <x v="59"/>
    <x v="65"/>
    <x v="0"/>
    <x v="1"/>
    <x v="77"/>
    <x v="73"/>
    <x v="53"/>
    <x v="69"/>
    <x v="5"/>
    <x v="2"/>
    <x v="16"/>
    <x v="3"/>
    <x v="1"/>
    <x v="0"/>
    <x v="0"/>
    <x v="0"/>
    <x v="1"/>
    <x v="0"/>
    <x v="0"/>
    <x v="0"/>
    <x v="4"/>
    <x v="7"/>
  </r>
  <r>
    <x v="74"/>
    <x v="55"/>
    <x v="26"/>
    <x v="0"/>
    <x v="60"/>
    <x v="66"/>
    <x v="0"/>
    <x v="3"/>
    <x v="78"/>
    <x v="74"/>
    <x v="54"/>
    <x v="70"/>
    <x v="3"/>
    <x v="2"/>
    <x v="22"/>
    <x v="3"/>
    <x v="1"/>
    <x v="0"/>
    <x v="0"/>
    <x v="0"/>
    <x v="1"/>
    <x v="0"/>
    <x v="0"/>
    <x v="0"/>
    <x v="4"/>
    <x v="20"/>
  </r>
  <r>
    <x v="75"/>
    <x v="53"/>
    <x v="27"/>
    <x v="6"/>
    <x v="61"/>
    <x v="67"/>
    <x v="0"/>
    <x v="10"/>
    <x v="79"/>
    <x v="75"/>
    <x v="17"/>
    <x v="71"/>
    <x v="3"/>
    <x v="2"/>
    <x v="23"/>
    <x v="3"/>
    <x v="1"/>
    <x v="0"/>
    <x v="0"/>
    <x v="0"/>
    <x v="1"/>
    <x v="0"/>
    <x v="0"/>
    <x v="1"/>
    <x v="8"/>
    <x v="21"/>
  </r>
  <r>
    <x v="76"/>
    <x v="56"/>
    <x v="28"/>
    <x v="0"/>
    <x v="62"/>
    <x v="68"/>
    <x v="0"/>
    <x v="1"/>
    <x v="80"/>
    <x v="76"/>
    <x v="55"/>
    <x v="72"/>
    <x v="2"/>
    <x v="2"/>
    <x v="24"/>
    <x v="3"/>
    <x v="1"/>
    <x v="0"/>
    <x v="0"/>
    <x v="0"/>
    <x v="1"/>
    <x v="0"/>
    <x v="0"/>
    <x v="1"/>
    <x v="8"/>
    <x v="0"/>
  </r>
  <r>
    <x v="1"/>
    <x v="57"/>
    <x v="29"/>
    <x v="0"/>
    <x v="63"/>
    <x v="69"/>
    <x v="0"/>
    <x v="1"/>
    <x v="81"/>
    <x v="77"/>
    <x v="56"/>
    <x v="73"/>
    <x v="1"/>
    <x v="2"/>
    <x v="25"/>
    <x v="3"/>
    <x v="1"/>
    <x v="0"/>
    <x v="0"/>
    <x v="0"/>
    <x v="1"/>
    <x v="0"/>
    <x v="0"/>
    <x v="1"/>
    <x v="8"/>
    <x v="22"/>
  </r>
  <r>
    <x v="77"/>
    <x v="58"/>
    <x v="30"/>
    <x v="0"/>
    <x v="64"/>
    <x v="70"/>
    <x v="0"/>
    <x v="0"/>
    <x v="82"/>
    <x v="78"/>
    <x v="57"/>
    <x v="74"/>
    <x v="2"/>
    <x v="2"/>
    <x v="12"/>
    <x v="3"/>
    <x v="1"/>
    <x v="0"/>
    <x v="0"/>
    <x v="0"/>
    <x v="1"/>
    <x v="0"/>
    <x v="0"/>
    <x v="1"/>
    <x v="8"/>
    <x v="23"/>
  </r>
  <r>
    <x v="78"/>
    <x v="59"/>
    <x v="30"/>
    <x v="6"/>
    <x v="65"/>
    <x v="71"/>
    <x v="0"/>
    <x v="10"/>
    <x v="83"/>
    <x v="38"/>
    <x v="58"/>
    <x v="75"/>
    <x v="0"/>
    <x v="3"/>
    <x v="15"/>
    <x v="3"/>
    <x v="1"/>
    <x v="0"/>
    <x v="0"/>
    <x v="0"/>
    <x v="1"/>
    <x v="0"/>
    <x v="0"/>
    <x v="1"/>
    <x v="8"/>
    <x v="23"/>
  </r>
  <r>
    <x v="1"/>
    <x v="60"/>
    <x v="31"/>
    <x v="0"/>
    <x v="66"/>
    <x v="72"/>
    <x v="0"/>
    <x v="1"/>
    <x v="84"/>
    <x v="79"/>
    <x v="59"/>
    <x v="76"/>
    <x v="3"/>
    <x v="2"/>
    <x v="22"/>
    <x v="3"/>
    <x v="1"/>
    <x v="0"/>
    <x v="0"/>
    <x v="0"/>
    <x v="1"/>
    <x v="0"/>
    <x v="0"/>
    <x v="1"/>
    <x v="8"/>
    <x v="1"/>
  </r>
  <r>
    <x v="79"/>
    <x v="53"/>
    <x v="23"/>
    <x v="0"/>
    <x v="26"/>
    <x v="73"/>
    <x v="0"/>
    <x v="10"/>
    <x v="85"/>
    <x v="80"/>
    <x v="46"/>
    <x v="77"/>
    <x v="2"/>
    <x v="2"/>
    <x v="6"/>
    <x v="3"/>
    <x v="1"/>
    <x v="0"/>
    <x v="0"/>
    <x v="0"/>
    <x v="1"/>
    <x v="0"/>
    <x v="0"/>
    <x v="0"/>
    <x v="4"/>
    <x v="17"/>
  </r>
  <r>
    <x v="80"/>
    <x v="61"/>
    <x v="32"/>
    <x v="0"/>
    <x v="67"/>
    <x v="74"/>
    <x v="0"/>
    <x v="1"/>
    <x v="86"/>
    <x v="81"/>
    <x v="60"/>
    <x v="78"/>
    <x v="0"/>
    <x v="2"/>
    <x v="20"/>
    <x v="3"/>
    <x v="1"/>
    <x v="0"/>
    <x v="0"/>
    <x v="0"/>
    <x v="1"/>
    <x v="0"/>
    <x v="0"/>
    <x v="1"/>
    <x v="9"/>
    <x v="19"/>
  </r>
  <r>
    <x v="81"/>
    <x v="62"/>
    <x v="30"/>
    <x v="0"/>
    <x v="42"/>
    <x v="75"/>
    <x v="0"/>
    <x v="1"/>
    <x v="87"/>
    <x v="82"/>
    <x v="35"/>
    <x v="79"/>
    <x v="2"/>
    <x v="2"/>
    <x v="19"/>
    <x v="3"/>
    <x v="1"/>
    <x v="0"/>
    <x v="0"/>
    <x v="0"/>
    <x v="1"/>
    <x v="0"/>
    <x v="0"/>
    <x v="1"/>
    <x v="8"/>
    <x v="23"/>
  </r>
  <r>
    <x v="82"/>
    <x v="62"/>
    <x v="30"/>
    <x v="0"/>
    <x v="42"/>
    <x v="76"/>
    <x v="0"/>
    <x v="1"/>
    <x v="88"/>
    <x v="83"/>
    <x v="61"/>
    <x v="80"/>
    <x v="2"/>
    <x v="2"/>
    <x v="19"/>
    <x v="3"/>
    <x v="1"/>
    <x v="0"/>
    <x v="0"/>
    <x v="0"/>
    <x v="1"/>
    <x v="0"/>
    <x v="0"/>
    <x v="1"/>
    <x v="8"/>
    <x v="23"/>
  </r>
  <r>
    <x v="83"/>
    <x v="62"/>
    <x v="30"/>
    <x v="0"/>
    <x v="42"/>
    <x v="77"/>
    <x v="0"/>
    <x v="1"/>
    <x v="89"/>
    <x v="84"/>
    <x v="62"/>
    <x v="81"/>
    <x v="2"/>
    <x v="2"/>
    <x v="19"/>
    <x v="3"/>
    <x v="1"/>
    <x v="0"/>
    <x v="0"/>
    <x v="0"/>
    <x v="1"/>
    <x v="0"/>
    <x v="0"/>
    <x v="1"/>
    <x v="8"/>
    <x v="23"/>
  </r>
  <r>
    <x v="84"/>
    <x v="63"/>
    <x v="33"/>
    <x v="0"/>
    <x v="68"/>
    <x v="78"/>
    <x v="0"/>
    <x v="1"/>
    <x v="90"/>
    <x v="85"/>
    <x v="56"/>
    <x v="82"/>
    <x v="1"/>
    <x v="2"/>
    <x v="1"/>
    <x v="3"/>
    <x v="1"/>
    <x v="0"/>
    <x v="0"/>
    <x v="0"/>
    <x v="1"/>
    <x v="0"/>
    <x v="0"/>
    <x v="1"/>
    <x v="8"/>
    <x v="24"/>
  </r>
  <r>
    <x v="85"/>
    <x v="64"/>
    <x v="34"/>
    <x v="0"/>
    <x v="69"/>
    <x v="79"/>
    <x v="0"/>
    <x v="1"/>
    <x v="91"/>
    <x v="86"/>
    <x v="56"/>
    <x v="83"/>
    <x v="1"/>
    <x v="2"/>
    <x v="25"/>
    <x v="3"/>
    <x v="1"/>
    <x v="0"/>
    <x v="0"/>
    <x v="0"/>
    <x v="1"/>
    <x v="0"/>
    <x v="0"/>
    <x v="1"/>
    <x v="8"/>
    <x v="10"/>
  </r>
  <r>
    <x v="86"/>
    <x v="65"/>
    <x v="34"/>
    <x v="0"/>
    <x v="46"/>
    <x v="80"/>
    <x v="0"/>
    <x v="1"/>
    <x v="92"/>
    <x v="87"/>
    <x v="63"/>
    <x v="84"/>
    <x v="0"/>
    <x v="2"/>
    <x v="17"/>
    <x v="3"/>
    <x v="1"/>
    <x v="0"/>
    <x v="0"/>
    <x v="0"/>
    <x v="1"/>
    <x v="0"/>
    <x v="0"/>
    <x v="1"/>
    <x v="8"/>
    <x v="10"/>
  </r>
  <r>
    <x v="87"/>
    <x v="66"/>
    <x v="34"/>
    <x v="0"/>
    <x v="70"/>
    <x v="81"/>
    <x v="0"/>
    <x v="1"/>
    <x v="93"/>
    <x v="88"/>
    <x v="64"/>
    <x v="85"/>
    <x v="0"/>
    <x v="2"/>
    <x v="17"/>
    <x v="3"/>
    <x v="1"/>
    <x v="0"/>
    <x v="0"/>
    <x v="0"/>
    <x v="1"/>
    <x v="0"/>
    <x v="0"/>
    <x v="1"/>
    <x v="8"/>
    <x v="10"/>
  </r>
  <r>
    <x v="88"/>
    <x v="67"/>
    <x v="33"/>
    <x v="0"/>
    <x v="71"/>
    <x v="82"/>
    <x v="0"/>
    <x v="1"/>
    <x v="94"/>
    <x v="89"/>
    <x v="65"/>
    <x v="86"/>
    <x v="1"/>
    <x v="2"/>
    <x v="26"/>
    <x v="3"/>
    <x v="1"/>
    <x v="0"/>
    <x v="0"/>
    <x v="0"/>
    <x v="1"/>
    <x v="0"/>
    <x v="0"/>
    <x v="1"/>
    <x v="8"/>
    <x v="24"/>
  </r>
  <r>
    <x v="89"/>
    <x v="68"/>
    <x v="35"/>
    <x v="0"/>
    <x v="72"/>
    <x v="83"/>
    <x v="0"/>
    <x v="1"/>
    <x v="95"/>
    <x v="90"/>
    <x v="0"/>
    <x v="87"/>
    <x v="2"/>
    <x v="2"/>
    <x v="12"/>
    <x v="3"/>
    <x v="1"/>
    <x v="0"/>
    <x v="0"/>
    <x v="0"/>
    <x v="1"/>
    <x v="0"/>
    <x v="0"/>
    <x v="1"/>
    <x v="8"/>
    <x v="6"/>
  </r>
  <r>
    <x v="90"/>
    <x v="69"/>
    <x v="34"/>
    <x v="0"/>
    <x v="73"/>
    <x v="84"/>
    <x v="0"/>
    <x v="0"/>
    <x v="96"/>
    <x v="91"/>
    <x v="66"/>
    <x v="88"/>
    <x v="1"/>
    <x v="2"/>
    <x v="26"/>
    <x v="3"/>
    <x v="1"/>
    <x v="0"/>
    <x v="0"/>
    <x v="0"/>
    <x v="1"/>
    <x v="0"/>
    <x v="0"/>
    <x v="1"/>
    <x v="8"/>
    <x v="10"/>
  </r>
  <r>
    <x v="91"/>
    <x v="70"/>
    <x v="36"/>
    <x v="0"/>
    <x v="74"/>
    <x v="85"/>
    <x v="0"/>
    <x v="0"/>
    <x v="97"/>
    <x v="92"/>
    <x v="67"/>
    <x v="89"/>
    <x v="2"/>
    <x v="2"/>
    <x v="3"/>
    <x v="3"/>
    <x v="1"/>
    <x v="0"/>
    <x v="0"/>
    <x v="0"/>
    <x v="1"/>
    <x v="0"/>
    <x v="0"/>
    <x v="1"/>
    <x v="8"/>
    <x v="12"/>
  </r>
  <r>
    <x v="92"/>
    <x v="71"/>
    <x v="35"/>
    <x v="0"/>
    <x v="42"/>
    <x v="86"/>
    <x v="0"/>
    <x v="1"/>
    <x v="98"/>
    <x v="93"/>
    <x v="62"/>
    <x v="90"/>
    <x v="2"/>
    <x v="2"/>
    <x v="19"/>
    <x v="3"/>
    <x v="1"/>
    <x v="0"/>
    <x v="0"/>
    <x v="0"/>
    <x v="1"/>
    <x v="0"/>
    <x v="0"/>
    <x v="1"/>
    <x v="8"/>
    <x v="6"/>
  </r>
  <r>
    <x v="93"/>
    <x v="71"/>
    <x v="35"/>
    <x v="0"/>
    <x v="42"/>
    <x v="87"/>
    <x v="0"/>
    <x v="0"/>
    <x v="99"/>
    <x v="94"/>
    <x v="62"/>
    <x v="91"/>
    <x v="2"/>
    <x v="2"/>
    <x v="19"/>
    <x v="3"/>
    <x v="1"/>
    <x v="0"/>
    <x v="0"/>
    <x v="0"/>
    <x v="1"/>
    <x v="0"/>
    <x v="0"/>
    <x v="1"/>
    <x v="8"/>
    <x v="6"/>
  </r>
  <r>
    <x v="94"/>
    <x v="69"/>
    <x v="37"/>
    <x v="0"/>
    <x v="75"/>
    <x v="88"/>
    <x v="0"/>
    <x v="1"/>
    <x v="100"/>
    <x v="95"/>
    <x v="68"/>
    <x v="92"/>
    <x v="2"/>
    <x v="2"/>
    <x v="18"/>
    <x v="3"/>
    <x v="1"/>
    <x v="0"/>
    <x v="0"/>
    <x v="0"/>
    <x v="1"/>
    <x v="0"/>
    <x v="0"/>
    <x v="1"/>
    <x v="8"/>
    <x v="5"/>
  </r>
  <r>
    <x v="95"/>
    <x v="72"/>
    <x v="37"/>
    <x v="7"/>
    <x v="76"/>
    <x v="89"/>
    <x v="0"/>
    <x v="1"/>
    <x v="101"/>
    <x v="96"/>
    <x v="69"/>
    <x v="93"/>
    <x v="2"/>
    <x v="2"/>
    <x v="19"/>
    <x v="3"/>
    <x v="1"/>
    <x v="0"/>
    <x v="0"/>
    <x v="0"/>
    <x v="1"/>
    <x v="0"/>
    <x v="0"/>
    <x v="1"/>
    <x v="8"/>
    <x v="5"/>
  </r>
  <r>
    <x v="96"/>
    <x v="73"/>
    <x v="37"/>
    <x v="0"/>
    <x v="77"/>
    <x v="90"/>
    <x v="0"/>
    <x v="13"/>
    <x v="102"/>
    <x v="97"/>
    <x v="70"/>
    <x v="94"/>
    <x v="3"/>
    <x v="2"/>
    <x v="8"/>
    <x v="3"/>
    <x v="1"/>
    <x v="0"/>
    <x v="0"/>
    <x v="0"/>
    <x v="1"/>
    <x v="0"/>
    <x v="0"/>
    <x v="1"/>
    <x v="8"/>
    <x v="5"/>
  </r>
  <r>
    <x v="97"/>
    <x v="73"/>
    <x v="37"/>
    <x v="0"/>
    <x v="77"/>
    <x v="91"/>
    <x v="0"/>
    <x v="14"/>
    <x v="103"/>
    <x v="98"/>
    <x v="70"/>
    <x v="95"/>
    <x v="3"/>
    <x v="2"/>
    <x v="8"/>
    <x v="3"/>
    <x v="1"/>
    <x v="0"/>
    <x v="0"/>
    <x v="0"/>
    <x v="1"/>
    <x v="0"/>
    <x v="0"/>
    <x v="1"/>
    <x v="8"/>
    <x v="5"/>
  </r>
  <r>
    <x v="98"/>
    <x v="60"/>
    <x v="38"/>
    <x v="0"/>
    <x v="78"/>
    <x v="92"/>
    <x v="0"/>
    <x v="15"/>
    <x v="104"/>
    <x v="99"/>
    <x v="71"/>
    <x v="96"/>
    <x v="2"/>
    <x v="2"/>
    <x v="3"/>
    <x v="3"/>
    <x v="1"/>
    <x v="0"/>
    <x v="0"/>
    <x v="0"/>
    <x v="1"/>
    <x v="0"/>
    <x v="0"/>
    <x v="1"/>
    <x v="8"/>
    <x v="25"/>
  </r>
  <r>
    <x v="99"/>
    <x v="67"/>
    <x v="38"/>
    <x v="0"/>
    <x v="79"/>
    <x v="93"/>
    <x v="0"/>
    <x v="1"/>
    <x v="105"/>
    <x v="100"/>
    <x v="0"/>
    <x v="97"/>
    <x v="2"/>
    <x v="2"/>
    <x v="12"/>
    <x v="3"/>
    <x v="1"/>
    <x v="0"/>
    <x v="0"/>
    <x v="0"/>
    <x v="1"/>
    <x v="0"/>
    <x v="0"/>
    <x v="1"/>
    <x v="8"/>
    <x v="25"/>
  </r>
  <r>
    <x v="100"/>
    <x v="69"/>
    <x v="39"/>
    <x v="0"/>
    <x v="80"/>
    <x v="94"/>
    <x v="0"/>
    <x v="0"/>
    <x v="106"/>
    <x v="101"/>
    <x v="66"/>
    <x v="98"/>
    <x v="1"/>
    <x v="2"/>
    <x v="26"/>
    <x v="3"/>
    <x v="1"/>
    <x v="0"/>
    <x v="0"/>
    <x v="0"/>
    <x v="1"/>
    <x v="0"/>
    <x v="0"/>
    <x v="1"/>
    <x v="8"/>
    <x v="15"/>
  </r>
  <r>
    <x v="101"/>
    <x v="74"/>
    <x v="39"/>
    <x v="0"/>
    <x v="81"/>
    <x v="95"/>
    <x v="0"/>
    <x v="16"/>
    <x v="107"/>
    <x v="102"/>
    <x v="0"/>
    <x v="99"/>
    <x v="2"/>
    <x v="2"/>
    <x v="4"/>
    <x v="2"/>
    <x v="0"/>
    <x v="0"/>
    <x v="0"/>
    <x v="0"/>
    <x v="1"/>
    <x v="0"/>
    <x v="0"/>
    <x v="1"/>
    <x v="8"/>
    <x v="15"/>
  </r>
  <r>
    <x v="1"/>
    <x v="75"/>
    <x v="40"/>
    <x v="0"/>
    <x v="82"/>
    <x v="96"/>
    <x v="0"/>
    <x v="17"/>
    <x v="108"/>
    <x v="103"/>
    <x v="72"/>
    <x v="100"/>
    <x v="3"/>
    <x v="2"/>
    <x v="22"/>
    <x v="3"/>
    <x v="1"/>
    <x v="0"/>
    <x v="0"/>
    <x v="0"/>
    <x v="1"/>
    <x v="0"/>
    <x v="0"/>
    <x v="1"/>
    <x v="8"/>
    <x v="18"/>
  </r>
  <r>
    <x v="102"/>
    <x v="76"/>
    <x v="41"/>
    <x v="1"/>
    <x v="83"/>
    <x v="5"/>
    <x v="0"/>
    <x v="2"/>
    <x v="24"/>
    <x v="16"/>
    <x v="0"/>
    <x v="0"/>
    <x v="4"/>
    <x v="1"/>
    <x v="9"/>
    <x v="3"/>
    <x v="1"/>
    <x v="0"/>
    <x v="0"/>
    <x v="0"/>
    <x v="1"/>
    <x v="0"/>
    <x v="0"/>
    <x v="2"/>
    <x v="8"/>
    <x v="26"/>
  </r>
  <r>
    <x v="103"/>
    <x v="75"/>
    <x v="40"/>
    <x v="7"/>
    <x v="84"/>
    <x v="97"/>
    <x v="0"/>
    <x v="18"/>
    <x v="101"/>
    <x v="104"/>
    <x v="73"/>
    <x v="101"/>
    <x v="1"/>
    <x v="2"/>
    <x v="5"/>
    <x v="3"/>
    <x v="1"/>
    <x v="0"/>
    <x v="0"/>
    <x v="0"/>
    <x v="1"/>
    <x v="0"/>
    <x v="0"/>
    <x v="1"/>
    <x v="8"/>
    <x v="18"/>
  </r>
  <r>
    <x v="104"/>
    <x v="77"/>
    <x v="42"/>
    <x v="0"/>
    <x v="33"/>
    <x v="98"/>
    <x v="0"/>
    <x v="19"/>
    <x v="109"/>
    <x v="105"/>
    <x v="74"/>
    <x v="102"/>
    <x v="5"/>
    <x v="2"/>
    <x v="16"/>
    <x v="3"/>
    <x v="1"/>
    <x v="0"/>
    <x v="0"/>
    <x v="0"/>
    <x v="1"/>
    <x v="0"/>
    <x v="0"/>
    <x v="1"/>
    <x v="8"/>
    <x v="8"/>
  </r>
  <r>
    <x v="105"/>
    <x v="78"/>
    <x v="42"/>
    <x v="0"/>
    <x v="85"/>
    <x v="99"/>
    <x v="0"/>
    <x v="20"/>
    <x v="110"/>
    <x v="106"/>
    <x v="75"/>
    <x v="103"/>
    <x v="2"/>
    <x v="2"/>
    <x v="27"/>
    <x v="3"/>
    <x v="1"/>
    <x v="0"/>
    <x v="0"/>
    <x v="0"/>
    <x v="1"/>
    <x v="0"/>
    <x v="0"/>
    <x v="1"/>
    <x v="8"/>
    <x v="8"/>
  </r>
  <r>
    <x v="106"/>
    <x v="67"/>
    <x v="42"/>
    <x v="0"/>
    <x v="86"/>
    <x v="100"/>
    <x v="0"/>
    <x v="20"/>
    <x v="111"/>
    <x v="107"/>
    <x v="76"/>
    <x v="104"/>
    <x v="2"/>
    <x v="2"/>
    <x v="27"/>
    <x v="3"/>
    <x v="1"/>
    <x v="0"/>
    <x v="0"/>
    <x v="0"/>
    <x v="1"/>
    <x v="0"/>
    <x v="0"/>
    <x v="1"/>
    <x v="8"/>
    <x v="8"/>
  </r>
  <r>
    <x v="107"/>
    <x v="79"/>
    <x v="42"/>
    <x v="0"/>
    <x v="87"/>
    <x v="101"/>
    <x v="0"/>
    <x v="18"/>
    <x v="112"/>
    <x v="108"/>
    <x v="77"/>
    <x v="105"/>
    <x v="2"/>
    <x v="2"/>
    <x v="27"/>
    <x v="3"/>
    <x v="1"/>
    <x v="0"/>
    <x v="0"/>
    <x v="0"/>
    <x v="1"/>
    <x v="0"/>
    <x v="0"/>
    <x v="1"/>
    <x v="8"/>
    <x v="8"/>
  </r>
  <r>
    <x v="108"/>
    <x v="74"/>
    <x v="43"/>
    <x v="0"/>
    <x v="88"/>
    <x v="102"/>
    <x v="0"/>
    <x v="1"/>
    <x v="113"/>
    <x v="109"/>
    <x v="77"/>
    <x v="106"/>
    <x v="2"/>
    <x v="2"/>
    <x v="27"/>
    <x v="3"/>
    <x v="1"/>
    <x v="0"/>
    <x v="0"/>
    <x v="0"/>
    <x v="1"/>
    <x v="0"/>
    <x v="0"/>
    <x v="1"/>
    <x v="9"/>
    <x v="11"/>
  </r>
  <r>
    <x v="109"/>
    <x v="80"/>
    <x v="44"/>
    <x v="0"/>
    <x v="89"/>
    <x v="103"/>
    <x v="0"/>
    <x v="21"/>
    <x v="114"/>
    <x v="110"/>
    <x v="78"/>
    <x v="107"/>
    <x v="0"/>
    <x v="2"/>
    <x v="20"/>
    <x v="3"/>
    <x v="1"/>
    <x v="0"/>
    <x v="0"/>
    <x v="0"/>
    <x v="1"/>
    <x v="0"/>
    <x v="0"/>
    <x v="1"/>
    <x v="8"/>
    <x v="3"/>
  </r>
  <r>
    <x v="110"/>
    <x v="71"/>
    <x v="44"/>
    <x v="0"/>
    <x v="90"/>
    <x v="104"/>
    <x v="0"/>
    <x v="22"/>
    <x v="115"/>
    <x v="111"/>
    <x v="79"/>
    <x v="108"/>
    <x v="0"/>
    <x v="2"/>
    <x v="20"/>
    <x v="3"/>
    <x v="1"/>
    <x v="0"/>
    <x v="0"/>
    <x v="0"/>
    <x v="1"/>
    <x v="0"/>
    <x v="0"/>
    <x v="1"/>
    <x v="8"/>
    <x v="3"/>
  </r>
  <r>
    <x v="111"/>
    <x v="15"/>
    <x v="44"/>
    <x v="0"/>
    <x v="91"/>
    <x v="105"/>
    <x v="0"/>
    <x v="1"/>
    <x v="116"/>
    <x v="112"/>
    <x v="7"/>
    <x v="109"/>
    <x v="2"/>
    <x v="2"/>
    <x v="3"/>
    <x v="3"/>
    <x v="1"/>
    <x v="0"/>
    <x v="0"/>
    <x v="0"/>
    <x v="1"/>
    <x v="0"/>
    <x v="0"/>
    <x v="1"/>
    <x v="8"/>
    <x v="3"/>
  </r>
  <r>
    <x v="112"/>
    <x v="81"/>
    <x v="44"/>
    <x v="0"/>
    <x v="42"/>
    <x v="106"/>
    <x v="0"/>
    <x v="1"/>
    <x v="117"/>
    <x v="113"/>
    <x v="69"/>
    <x v="110"/>
    <x v="2"/>
    <x v="2"/>
    <x v="19"/>
    <x v="3"/>
    <x v="1"/>
    <x v="0"/>
    <x v="0"/>
    <x v="0"/>
    <x v="1"/>
    <x v="0"/>
    <x v="0"/>
    <x v="1"/>
    <x v="8"/>
    <x v="3"/>
  </r>
  <r>
    <x v="113"/>
    <x v="81"/>
    <x v="44"/>
    <x v="0"/>
    <x v="42"/>
    <x v="107"/>
    <x v="0"/>
    <x v="1"/>
    <x v="118"/>
    <x v="114"/>
    <x v="69"/>
    <x v="111"/>
    <x v="2"/>
    <x v="2"/>
    <x v="19"/>
    <x v="3"/>
    <x v="1"/>
    <x v="0"/>
    <x v="0"/>
    <x v="0"/>
    <x v="1"/>
    <x v="0"/>
    <x v="0"/>
    <x v="1"/>
    <x v="8"/>
    <x v="3"/>
  </r>
  <r>
    <x v="114"/>
    <x v="82"/>
    <x v="45"/>
    <x v="0"/>
    <x v="92"/>
    <x v="108"/>
    <x v="0"/>
    <x v="23"/>
    <x v="119"/>
    <x v="115"/>
    <x v="80"/>
    <x v="112"/>
    <x v="2"/>
    <x v="3"/>
    <x v="4"/>
    <x v="2"/>
    <x v="0"/>
    <x v="0"/>
    <x v="0"/>
    <x v="0"/>
    <x v="1"/>
    <x v="0"/>
    <x v="0"/>
    <x v="1"/>
    <x v="8"/>
    <x v="20"/>
  </r>
  <r>
    <x v="115"/>
    <x v="75"/>
    <x v="46"/>
    <x v="0"/>
    <x v="93"/>
    <x v="109"/>
    <x v="0"/>
    <x v="20"/>
    <x v="120"/>
    <x v="116"/>
    <x v="77"/>
    <x v="113"/>
    <x v="2"/>
    <x v="2"/>
    <x v="4"/>
    <x v="2"/>
    <x v="0"/>
    <x v="0"/>
    <x v="0"/>
    <x v="0"/>
    <x v="1"/>
    <x v="0"/>
    <x v="0"/>
    <x v="1"/>
    <x v="9"/>
    <x v="13"/>
  </r>
  <r>
    <x v="116"/>
    <x v="76"/>
    <x v="41"/>
    <x v="1"/>
    <x v="83"/>
    <x v="5"/>
    <x v="0"/>
    <x v="2"/>
    <x v="24"/>
    <x v="16"/>
    <x v="0"/>
    <x v="0"/>
    <x v="4"/>
    <x v="1"/>
    <x v="9"/>
    <x v="3"/>
    <x v="1"/>
    <x v="0"/>
    <x v="0"/>
    <x v="0"/>
    <x v="1"/>
    <x v="0"/>
    <x v="0"/>
    <x v="2"/>
    <x v="8"/>
    <x v="26"/>
  </r>
  <r>
    <x v="117"/>
    <x v="83"/>
    <x v="45"/>
    <x v="0"/>
    <x v="90"/>
    <x v="110"/>
    <x v="0"/>
    <x v="24"/>
    <x v="121"/>
    <x v="117"/>
    <x v="81"/>
    <x v="114"/>
    <x v="0"/>
    <x v="2"/>
    <x v="14"/>
    <x v="3"/>
    <x v="1"/>
    <x v="0"/>
    <x v="0"/>
    <x v="0"/>
    <x v="1"/>
    <x v="0"/>
    <x v="0"/>
    <x v="1"/>
    <x v="8"/>
    <x v="20"/>
  </r>
  <r>
    <x v="118"/>
    <x v="83"/>
    <x v="45"/>
    <x v="0"/>
    <x v="94"/>
    <x v="111"/>
    <x v="0"/>
    <x v="25"/>
    <x v="122"/>
    <x v="118"/>
    <x v="81"/>
    <x v="115"/>
    <x v="0"/>
    <x v="2"/>
    <x v="14"/>
    <x v="3"/>
    <x v="1"/>
    <x v="0"/>
    <x v="0"/>
    <x v="0"/>
    <x v="1"/>
    <x v="0"/>
    <x v="0"/>
    <x v="1"/>
    <x v="8"/>
    <x v="20"/>
  </r>
  <r>
    <x v="119"/>
    <x v="72"/>
    <x v="47"/>
    <x v="0"/>
    <x v="95"/>
    <x v="112"/>
    <x v="0"/>
    <x v="26"/>
    <x v="123"/>
    <x v="119"/>
    <x v="82"/>
    <x v="116"/>
    <x v="0"/>
    <x v="2"/>
    <x v="17"/>
    <x v="3"/>
    <x v="1"/>
    <x v="0"/>
    <x v="0"/>
    <x v="0"/>
    <x v="1"/>
    <x v="0"/>
    <x v="0"/>
    <x v="1"/>
    <x v="9"/>
    <x v="27"/>
  </r>
  <r>
    <x v="120"/>
    <x v="84"/>
    <x v="47"/>
    <x v="0"/>
    <x v="96"/>
    <x v="113"/>
    <x v="0"/>
    <x v="25"/>
    <x v="124"/>
    <x v="120"/>
    <x v="82"/>
    <x v="117"/>
    <x v="0"/>
    <x v="2"/>
    <x v="17"/>
    <x v="3"/>
    <x v="1"/>
    <x v="0"/>
    <x v="0"/>
    <x v="0"/>
    <x v="1"/>
    <x v="0"/>
    <x v="0"/>
    <x v="1"/>
    <x v="9"/>
    <x v="27"/>
  </r>
  <r>
    <x v="121"/>
    <x v="85"/>
    <x v="47"/>
    <x v="0"/>
    <x v="97"/>
    <x v="114"/>
    <x v="0"/>
    <x v="24"/>
    <x v="125"/>
    <x v="121"/>
    <x v="0"/>
    <x v="118"/>
    <x v="2"/>
    <x v="2"/>
    <x v="12"/>
    <x v="3"/>
    <x v="1"/>
    <x v="0"/>
    <x v="0"/>
    <x v="0"/>
    <x v="1"/>
    <x v="0"/>
    <x v="0"/>
    <x v="1"/>
    <x v="9"/>
    <x v="27"/>
  </r>
  <r>
    <x v="122"/>
    <x v="86"/>
    <x v="47"/>
    <x v="0"/>
    <x v="98"/>
    <x v="115"/>
    <x v="0"/>
    <x v="24"/>
    <x v="126"/>
    <x v="122"/>
    <x v="83"/>
    <x v="119"/>
    <x v="2"/>
    <x v="2"/>
    <x v="12"/>
    <x v="3"/>
    <x v="1"/>
    <x v="0"/>
    <x v="0"/>
    <x v="0"/>
    <x v="1"/>
    <x v="0"/>
    <x v="0"/>
    <x v="1"/>
    <x v="9"/>
    <x v="27"/>
  </r>
  <r>
    <x v="123"/>
    <x v="49"/>
    <x v="47"/>
    <x v="0"/>
    <x v="99"/>
    <x v="116"/>
    <x v="0"/>
    <x v="24"/>
    <x v="127"/>
    <x v="123"/>
    <x v="84"/>
    <x v="120"/>
    <x v="2"/>
    <x v="2"/>
    <x v="12"/>
    <x v="3"/>
    <x v="1"/>
    <x v="0"/>
    <x v="0"/>
    <x v="0"/>
    <x v="1"/>
    <x v="0"/>
    <x v="0"/>
    <x v="1"/>
    <x v="9"/>
    <x v="27"/>
  </r>
  <r>
    <x v="124"/>
    <x v="87"/>
    <x v="47"/>
    <x v="0"/>
    <x v="100"/>
    <x v="117"/>
    <x v="0"/>
    <x v="24"/>
    <x v="128"/>
    <x v="124"/>
    <x v="85"/>
    <x v="121"/>
    <x v="2"/>
    <x v="2"/>
    <x v="12"/>
    <x v="3"/>
    <x v="1"/>
    <x v="0"/>
    <x v="0"/>
    <x v="0"/>
    <x v="1"/>
    <x v="0"/>
    <x v="0"/>
    <x v="1"/>
    <x v="9"/>
    <x v="27"/>
  </r>
  <r>
    <x v="125"/>
    <x v="86"/>
    <x v="47"/>
    <x v="0"/>
    <x v="101"/>
    <x v="118"/>
    <x v="0"/>
    <x v="27"/>
    <x v="129"/>
    <x v="125"/>
    <x v="0"/>
    <x v="122"/>
    <x v="2"/>
    <x v="2"/>
    <x v="12"/>
    <x v="3"/>
    <x v="1"/>
    <x v="0"/>
    <x v="0"/>
    <x v="0"/>
    <x v="1"/>
    <x v="0"/>
    <x v="0"/>
    <x v="1"/>
    <x v="9"/>
    <x v="27"/>
  </r>
  <r>
    <x v="126"/>
    <x v="73"/>
    <x v="47"/>
    <x v="0"/>
    <x v="102"/>
    <x v="119"/>
    <x v="0"/>
    <x v="24"/>
    <x v="130"/>
    <x v="126"/>
    <x v="0"/>
    <x v="123"/>
    <x v="2"/>
    <x v="2"/>
    <x v="12"/>
    <x v="3"/>
    <x v="1"/>
    <x v="0"/>
    <x v="0"/>
    <x v="0"/>
    <x v="1"/>
    <x v="0"/>
    <x v="0"/>
    <x v="1"/>
    <x v="9"/>
    <x v="27"/>
  </r>
  <r>
    <x v="127"/>
    <x v="88"/>
    <x v="47"/>
    <x v="0"/>
    <x v="103"/>
    <x v="120"/>
    <x v="0"/>
    <x v="24"/>
    <x v="131"/>
    <x v="127"/>
    <x v="0"/>
    <x v="124"/>
    <x v="2"/>
    <x v="2"/>
    <x v="12"/>
    <x v="3"/>
    <x v="1"/>
    <x v="0"/>
    <x v="0"/>
    <x v="0"/>
    <x v="1"/>
    <x v="0"/>
    <x v="0"/>
    <x v="1"/>
    <x v="9"/>
    <x v="27"/>
  </r>
  <r>
    <x v="128"/>
    <x v="89"/>
    <x v="47"/>
    <x v="0"/>
    <x v="104"/>
    <x v="121"/>
    <x v="0"/>
    <x v="28"/>
    <x v="132"/>
    <x v="128"/>
    <x v="83"/>
    <x v="125"/>
    <x v="1"/>
    <x v="2"/>
    <x v="5"/>
    <x v="3"/>
    <x v="1"/>
    <x v="0"/>
    <x v="0"/>
    <x v="0"/>
    <x v="1"/>
    <x v="0"/>
    <x v="0"/>
    <x v="1"/>
    <x v="9"/>
    <x v="27"/>
  </r>
  <r>
    <x v="1"/>
    <x v="75"/>
    <x v="47"/>
    <x v="0"/>
    <x v="105"/>
    <x v="122"/>
    <x v="0"/>
    <x v="24"/>
    <x v="133"/>
    <x v="129"/>
    <x v="86"/>
    <x v="126"/>
    <x v="1"/>
    <x v="2"/>
    <x v="13"/>
    <x v="3"/>
    <x v="1"/>
    <x v="0"/>
    <x v="0"/>
    <x v="0"/>
    <x v="1"/>
    <x v="0"/>
    <x v="0"/>
    <x v="1"/>
    <x v="9"/>
    <x v="27"/>
  </r>
  <r>
    <x v="129"/>
    <x v="90"/>
    <x v="46"/>
    <x v="0"/>
    <x v="106"/>
    <x v="123"/>
    <x v="0"/>
    <x v="20"/>
    <x v="134"/>
    <x v="130"/>
    <x v="56"/>
    <x v="127"/>
    <x v="2"/>
    <x v="2"/>
    <x v="4"/>
    <x v="2"/>
    <x v="0"/>
    <x v="0"/>
    <x v="0"/>
    <x v="0"/>
    <x v="1"/>
    <x v="0"/>
    <x v="0"/>
    <x v="1"/>
    <x v="9"/>
    <x v="13"/>
  </r>
  <r>
    <x v="130"/>
    <x v="90"/>
    <x v="46"/>
    <x v="0"/>
    <x v="107"/>
    <x v="124"/>
    <x v="0"/>
    <x v="20"/>
    <x v="135"/>
    <x v="131"/>
    <x v="56"/>
    <x v="128"/>
    <x v="2"/>
    <x v="2"/>
    <x v="4"/>
    <x v="2"/>
    <x v="0"/>
    <x v="0"/>
    <x v="0"/>
    <x v="0"/>
    <x v="1"/>
    <x v="0"/>
    <x v="0"/>
    <x v="1"/>
    <x v="9"/>
    <x v="13"/>
  </r>
  <r>
    <x v="131"/>
    <x v="91"/>
    <x v="46"/>
    <x v="0"/>
    <x v="35"/>
    <x v="125"/>
    <x v="0"/>
    <x v="20"/>
    <x v="136"/>
    <x v="132"/>
    <x v="87"/>
    <x v="129"/>
    <x v="0"/>
    <x v="2"/>
    <x v="9"/>
    <x v="3"/>
    <x v="1"/>
    <x v="0"/>
    <x v="0"/>
    <x v="0"/>
    <x v="1"/>
    <x v="0"/>
    <x v="0"/>
    <x v="1"/>
    <x v="9"/>
    <x v="13"/>
  </r>
  <r>
    <x v="132"/>
    <x v="79"/>
    <x v="47"/>
    <x v="0"/>
    <x v="35"/>
    <x v="126"/>
    <x v="0"/>
    <x v="20"/>
    <x v="137"/>
    <x v="133"/>
    <x v="88"/>
    <x v="130"/>
    <x v="0"/>
    <x v="2"/>
    <x v="14"/>
    <x v="3"/>
    <x v="1"/>
    <x v="0"/>
    <x v="0"/>
    <x v="0"/>
    <x v="1"/>
    <x v="0"/>
    <x v="0"/>
    <x v="1"/>
    <x v="9"/>
    <x v="27"/>
  </r>
  <r>
    <x v="133"/>
    <x v="53"/>
    <x v="47"/>
    <x v="0"/>
    <x v="108"/>
    <x v="127"/>
    <x v="0"/>
    <x v="29"/>
    <x v="138"/>
    <x v="134"/>
    <x v="89"/>
    <x v="131"/>
    <x v="0"/>
    <x v="2"/>
    <x v="14"/>
    <x v="3"/>
    <x v="1"/>
    <x v="0"/>
    <x v="0"/>
    <x v="0"/>
    <x v="1"/>
    <x v="0"/>
    <x v="0"/>
    <x v="1"/>
    <x v="9"/>
    <x v="27"/>
  </r>
  <r>
    <x v="134"/>
    <x v="86"/>
    <x v="48"/>
    <x v="0"/>
    <x v="109"/>
    <x v="128"/>
    <x v="0"/>
    <x v="20"/>
    <x v="139"/>
    <x v="135"/>
    <x v="0"/>
    <x v="132"/>
    <x v="2"/>
    <x v="2"/>
    <x v="4"/>
    <x v="2"/>
    <x v="0"/>
    <x v="0"/>
    <x v="0"/>
    <x v="0"/>
    <x v="1"/>
    <x v="0"/>
    <x v="0"/>
    <x v="1"/>
    <x v="9"/>
    <x v="0"/>
  </r>
  <r>
    <x v="135"/>
    <x v="92"/>
    <x v="48"/>
    <x v="0"/>
    <x v="110"/>
    <x v="129"/>
    <x v="0"/>
    <x v="20"/>
    <x v="140"/>
    <x v="136"/>
    <x v="0"/>
    <x v="133"/>
    <x v="2"/>
    <x v="2"/>
    <x v="4"/>
    <x v="2"/>
    <x v="0"/>
    <x v="0"/>
    <x v="0"/>
    <x v="0"/>
    <x v="1"/>
    <x v="0"/>
    <x v="0"/>
    <x v="1"/>
    <x v="9"/>
    <x v="0"/>
  </r>
  <r>
    <x v="1"/>
    <x v="76"/>
    <x v="41"/>
    <x v="1"/>
    <x v="83"/>
    <x v="5"/>
    <x v="0"/>
    <x v="2"/>
    <x v="24"/>
    <x v="16"/>
    <x v="0"/>
    <x v="0"/>
    <x v="4"/>
    <x v="1"/>
    <x v="9"/>
    <x v="3"/>
    <x v="1"/>
    <x v="0"/>
    <x v="0"/>
    <x v="0"/>
    <x v="1"/>
    <x v="0"/>
    <x v="0"/>
    <x v="2"/>
    <x v="8"/>
    <x v="26"/>
  </r>
  <r>
    <x v="136"/>
    <x v="93"/>
    <x v="49"/>
    <x v="0"/>
    <x v="111"/>
    <x v="130"/>
    <x v="0"/>
    <x v="1"/>
    <x v="141"/>
    <x v="137"/>
    <x v="90"/>
    <x v="134"/>
    <x v="1"/>
    <x v="2"/>
    <x v="26"/>
    <x v="3"/>
    <x v="1"/>
    <x v="0"/>
    <x v="0"/>
    <x v="0"/>
    <x v="1"/>
    <x v="0"/>
    <x v="0"/>
    <x v="1"/>
    <x v="9"/>
    <x v="28"/>
  </r>
  <r>
    <x v="137"/>
    <x v="94"/>
    <x v="49"/>
    <x v="0"/>
    <x v="112"/>
    <x v="131"/>
    <x v="0"/>
    <x v="1"/>
    <x v="142"/>
    <x v="138"/>
    <x v="66"/>
    <x v="135"/>
    <x v="1"/>
    <x v="2"/>
    <x v="26"/>
    <x v="3"/>
    <x v="1"/>
    <x v="0"/>
    <x v="0"/>
    <x v="0"/>
    <x v="1"/>
    <x v="0"/>
    <x v="0"/>
    <x v="1"/>
    <x v="9"/>
    <x v="28"/>
  </r>
  <r>
    <x v="138"/>
    <x v="95"/>
    <x v="49"/>
    <x v="0"/>
    <x v="113"/>
    <x v="132"/>
    <x v="0"/>
    <x v="1"/>
    <x v="143"/>
    <x v="139"/>
    <x v="69"/>
    <x v="136"/>
    <x v="2"/>
    <x v="2"/>
    <x v="18"/>
    <x v="3"/>
    <x v="1"/>
    <x v="0"/>
    <x v="0"/>
    <x v="0"/>
    <x v="1"/>
    <x v="0"/>
    <x v="0"/>
    <x v="1"/>
    <x v="9"/>
    <x v="28"/>
  </r>
  <r>
    <x v="139"/>
    <x v="89"/>
    <x v="49"/>
    <x v="0"/>
    <x v="114"/>
    <x v="133"/>
    <x v="0"/>
    <x v="1"/>
    <x v="144"/>
    <x v="140"/>
    <x v="77"/>
    <x v="137"/>
    <x v="2"/>
    <x v="2"/>
    <x v="18"/>
    <x v="3"/>
    <x v="1"/>
    <x v="0"/>
    <x v="0"/>
    <x v="0"/>
    <x v="1"/>
    <x v="0"/>
    <x v="0"/>
    <x v="1"/>
    <x v="9"/>
    <x v="28"/>
  </r>
  <r>
    <x v="140"/>
    <x v="67"/>
    <x v="50"/>
    <x v="0"/>
    <x v="115"/>
    <x v="134"/>
    <x v="0"/>
    <x v="30"/>
    <x v="145"/>
    <x v="141"/>
    <x v="71"/>
    <x v="138"/>
    <x v="2"/>
    <x v="2"/>
    <x v="3"/>
    <x v="3"/>
    <x v="1"/>
    <x v="0"/>
    <x v="0"/>
    <x v="0"/>
    <x v="1"/>
    <x v="0"/>
    <x v="0"/>
    <x v="1"/>
    <x v="9"/>
    <x v="1"/>
  </r>
  <r>
    <x v="141"/>
    <x v="96"/>
    <x v="50"/>
    <x v="0"/>
    <x v="116"/>
    <x v="135"/>
    <x v="0"/>
    <x v="25"/>
    <x v="146"/>
    <x v="142"/>
    <x v="91"/>
    <x v="139"/>
    <x v="0"/>
    <x v="2"/>
    <x v="14"/>
    <x v="3"/>
    <x v="1"/>
    <x v="0"/>
    <x v="0"/>
    <x v="0"/>
    <x v="1"/>
    <x v="0"/>
    <x v="0"/>
    <x v="1"/>
    <x v="9"/>
    <x v="1"/>
  </r>
  <r>
    <x v="142"/>
    <x v="96"/>
    <x v="50"/>
    <x v="0"/>
    <x v="35"/>
    <x v="136"/>
    <x v="0"/>
    <x v="25"/>
    <x v="147"/>
    <x v="143"/>
    <x v="92"/>
    <x v="140"/>
    <x v="0"/>
    <x v="2"/>
    <x v="14"/>
    <x v="3"/>
    <x v="1"/>
    <x v="0"/>
    <x v="0"/>
    <x v="0"/>
    <x v="1"/>
    <x v="0"/>
    <x v="0"/>
    <x v="1"/>
    <x v="9"/>
    <x v="1"/>
  </r>
  <r>
    <x v="143"/>
    <x v="78"/>
    <x v="50"/>
    <x v="0"/>
    <x v="117"/>
    <x v="137"/>
    <x v="0"/>
    <x v="18"/>
    <x v="148"/>
    <x v="144"/>
    <x v="93"/>
    <x v="141"/>
    <x v="0"/>
    <x v="2"/>
    <x v="17"/>
    <x v="3"/>
    <x v="1"/>
    <x v="0"/>
    <x v="0"/>
    <x v="0"/>
    <x v="1"/>
    <x v="0"/>
    <x v="0"/>
    <x v="1"/>
    <x v="9"/>
    <x v="1"/>
  </r>
  <r>
    <x v="144"/>
    <x v="97"/>
    <x v="43"/>
    <x v="0"/>
    <x v="118"/>
    <x v="138"/>
    <x v="0"/>
    <x v="18"/>
    <x v="149"/>
    <x v="145"/>
    <x v="0"/>
    <x v="142"/>
    <x v="2"/>
    <x v="2"/>
    <x v="12"/>
    <x v="3"/>
    <x v="1"/>
    <x v="0"/>
    <x v="0"/>
    <x v="0"/>
    <x v="1"/>
    <x v="0"/>
    <x v="0"/>
    <x v="1"/>
    <x v="9"/>
    <x v="11"/>
  </r>
  <r>
    <x v="145"/>
    <x v="98"/>
    <x v="43"/>
    <x v="0"/>
    <x v="119"/>
    <x v="139"/>
    <x v="0"/>
    <x v="18"/>
    <x v="150"/>
    <x v="146"/>
    <x v="0"/>
    <x v="143"/>
    <x v="2"/>
    <x v="2"/>
    <x v="12"/>
    <x v="3"/>
    <x v="1"/>
    <x v="0"/>
    <x v="0"/>
    <x v="0"/>
    <x v="1"/>
    <x v="0"/>
    <x v="0"/>
    <x v="1"/>
    <x v="9"/>
    <x v="11"/>
  </r>
  <r>
    <x v="146"/>
    <x v="67"/>
    <x v="43"/>
    <x v="7"/>
    <x v="120"/>
    <x v="140"/>
    <x v="0"/>
    <x v="29"/>
    <x v="151"/>
    <x v="147"/>
    <x v="56"/>
    <x v="144"/>
    <x v="2"/>
    <x v="2"/>
    <x v="12"/>
    <x v="3"/>
    <x v="1"/>
    <x v="0"/>
    <x v="0"/>
    <x v="0"/>
    <x v="1"/>
    <x v="0"/>
    <x v="0"/>
    <x v="1"/>
    <x v="9"/>
    <x v="11"/>
  </r>
  <r>
    <x v="147"/>
    <x v="84"/>
    <x v="50"/>
    <x v="0"/>
    <x v="117"/>
    <x v="141"/>
    <x v="0"/>
    <x v="25"/>
    <x v="152"/>
    <x v="148"/>
    <x v="82"/>
    <x v="145"/>
    <x v="0"/>
    <x v="2"/>
    <x v="17"/>
    <x v="3"/>
    <x v="1"/>
    <x v="0"/>
    <x v="0"/>
    <x v="0"/>
    <x v="1"/>
    <x v="0"/>
    <x v="0"/>
    <x v="1"/>
    <x v="9"/>
    <x v="1"/>
  </r>
  <r>
    <x v="148"/>
    <x v="99"/>
    <x v="50"/>
    <x v="0"/>
    <x v="117"/>
    <x v="142"/>
    <x v="0"/>
    <x v="25"/>
    <x v="153"/>
    <x v="144"/>
    <x v="81"/>
    <x v="145"/>
    <x v="0"/>
    <x v="2"/>
    <x v="17"/>
    <x v="3"/>
    <x v="1"/>
    <x v="0"/>
    <x v="0"/>
    <x v="0"/>
    <x v="1"/>
    <x v="0"/>
    <x v="0"/>
    <x v="1"/>
    <x v="9"/>
    <x v="1"/>
  </r>
  <r>
    <x v="108"/>
    <x v="100"/>
    <x v="43"/>
    <x v="0"/>
    <x v="121"/>
    <x v="143"/>
    <x v="0"/>
    <x v="1"/>
    <x v="154"/>
    <x v="149"/>
    <x v="69"/>
    <x v="146"/>
    <x v="2"/>
    <x v="2"/>
    <x v="27"/>
    <x v="3"/>
    <x v="1"/>
    <x v="0"/>
    <x v="0"/>
    <x v="0"/>
    <x v="1"/>
    <x v="0"/>
    <x v="0"/>
    <x v="1"/>
    <x v="9"/>
    <x v="11"/>
  </r>
  <r>
    <x v="149"/>
    <x v="95"/>
    <x v="42"/>
    <x v="0"/>
    <x v="122"/>
    <x v="144"/>
    <x v="0"/>
    <x v="31"/>
    <x v="155"/>
    <x v="150"/>
    <x v="0"/>
    <x v="147"/>
    <x v="2"/>
    <x v="2"/>
    <x v="27"/>
    <x v="3"/>
    <x v="1"/>
    <x v="0"/>
    <x v="0"/>
    <x v="0"/>
    <x v="1"/>
    <x v="0"/>
    <x v="0"/>
    <x v="1"/>
    <x v="8"/>
    <x v="8"/>
  </r>
  <r>
    <x v="150"/>
    <x v="95"/>
    <x v="43"/>
    <x v="0"/>
    <x v="123"/>
    <x v="145"/>
    <x v="0"/>
    <x v="20"/>
    <x v="156"/>
    <x v="151"/>
    <x v="0"/>
    <x v="148"/>
    <x v="2"/>
    <x v="2"/>
    <x v="24"/>
    <x v="3"/>
    <x v="1"/>
    <x v="0"/>
    <x v="0"/>
    <x v="0"/>
    <x v="1"/>
    <x v="0"/>
    <x v="0"/>
    <x v="1"/>
    <x v="9"/>
    <x v="11"/>
  </r>
  <r>
    <x v="151"/>
    <x v="93"/>
    <x v="43"/>
    <x v="0"/>
    <x v="18"/>
    <x v="146"/>
    <x v="0"/>
    <x v="1"/>
    <x v="157"/>
    <x v="152"/>
    <x v="94"/>
    <x v="149"/>
    <x v="2"/>
    <x v="2"/>
    <x v="19"/>
    <x v="3"/>
    <x v="1"/>
    <x v="0"/>
    <x v="0"/>
    <x v="0"/>
    <x v="1"/>
    <x v="0"/>
    <x v="0"/>
    <x v="1"/>
    <x v="9"/>
    <x v="11"/>
  </r>
  <r>
    <x v="152"/>
    <x v="93"/>
    <x v="43"/>
    <x v="0"/>
    <x v="18"/>
    <x v="147"/>
    <x v="0"/>
    <x v="1"/>
    <x v="158"/>
    <x v="153"/>
    <x v="69"/>
    <x v="150"/>
    <x v="2"/>
    <x v="2"/>
    <x v="19"/>
    <x v="3"/>
    <x v="1"/>
    <x v="0"/>
    <x v="0"/>
    <x v="0"/>
    <x v="1"/>
    <x v="0"/>
    <x v="0"/>
    <x v="1"/>
    <x v="9"/>
    <x v="11"/>
  </r>
  <r>
    <x v="153"/>
    <x v="84"/>
    <x v="43"/>
    <x v="0"/>
    <x v="124"/>
    <x v="148"/>
    <x v="0"/>
    <x v="32"/>
    <x v="159"/>
    <x v="154"/>
    <x v="70"/>
    <x v="151"/>
    <x v="3"/>
    <x v="2"/>
    <x v="8"/>
    <x v="3"/>
    <x v="1"/>
    <x v="0"/>
    <x v="0"/>
    <x v="0"/>
    <x v="1"/>
    <x v="0"/>
    <x v="0"/>
    <x v="1"/>
    <x v="9"/>
    <x v="11"/>
  </r>
  <r>
    <x v="154"/>
    <x v="81"/>
    <x v="43"/>
    <x v="0"/>
    <x v="124"/>
    <x v="149"/>
    <x v="0"/>
    <x v="32"/>
    <x v="160"/>
    <x v="155"/>
    <x v="70"/>
    <x v="152"/>
    <x v="3"/>
    <x v="2"/>
    <x v="8"/>
    <x v="3"/>
    <x v="1"/>
    <x v="0"/>
    <x v="0"/>
    <x v="0"/>
    <x v="1"/>
    <x v="0"/>
    <x v="0"/>
    <x v="1"/>
    <x v="9"/>
    <x v="11"/>
  </r>
  <r>
    <x v="155"/>
    <x v="93"/>
    <x v="43"/>
    <x v="0"/>
    <x v="42"/>
    <x v="150"/>
    <x v="0"/>
    <x v="1"/>
    <x v="161"/>
    <x v="156"/>
    <x v="69"/>
    <x v="153"/>
    <x v="2"/>
    <x v="2"/>
    <x v="19"/>
    <x v="3"/>
    <x v="1"/>
    <x v="0"/>
    <x v="0"/>
    <x v="0"/>
    <x v="1"/>
    <x v="0"/>
    <x v="0"/>
    <x v="1"/>
    <x v="9"/>
    <x v="11"/>
  </r>
  <r>
    <x v="156"/>
    <x v="101"/>
    <x v="43"/>
    <x v="7"/>
    <x v="125"/>
    <x v="151"/>
    <x v="0"/>
    <x v="1"/>
    <x v="162"/>
    <x v="157"/>
    <x v="95"/>
    <x v="154"/>
    <x v="3"/>
    <x v="2"/>
    <x v="28"/>
    <x v="3"/>
    <x v="1"/>
    <x v="0"/>
    <x v="0"/>
    <x v="0"/>
    <x v="1"/>
    <x v="0"/>
    <x v="0"/>
    <x v="1"/>
    <x v="9"/>
    <x v="11"/>
  </r>
  <r>
    <x v="157"/>
    <x v="94"/>
    <x v="43"/>
    <x v="7"/>
    <x v="126"/>
    <x v="152"/>
    <x v="0"/>
    <x v="1"/>
    <x v="163"/>
    <x v="158"/>
    <x v="96"/>
    <x v="155"/>
    <x v="3"/>
    <x v="2"/>
    <x v="28"/>
    <x v="3"/>
    <x v="1"/>
    <x v="0"/>
    <x v="0"/>
    <x v="0"/>
    <x v="1"/>
    <x v="0"/>
    <x v="0"/>
    <x v="1"/>
    <x v="9"/>
    <x v="11"/>
  </r>
  <r>
    <x v="158"/>
    <x v="102"/>
    <x v="51"/>
    <x v="0"/>
    <x v="127"/>
    <x v="153"/>
    <x v="0"/>
    <x v="20"/>
    <x v="164"/>
    <x v="159"/>
    <x v="0"/>
    <x v="156"/>
    <x v="2"/>
    <x v="2"/>
    <x v="12"/>
    <x v="3"/>
    <x v="1"/>
    <x v="0"/>
    <x v="0"/>
    <x v="0"/>
    <x v="1"/>
    <x v="0"/>
    <x v="0"/>
    <x v="1"/>
    <x v="9"/>
    <x v="4"/>
  </r>
  <r>
    <x v="159"/>
    <x v="101"/>
    <x v="51"/>
    <x v="0"/>
    <x v="128"/>
    <x v="154"/>
    <x v="0"/>
    <x v="33"/>
    <x v="165"/>
    <x v="160"/>
    <x v="97"/>
    <x v="157"/>
    <x v="5"/>
    <x v="2"/>
    <x v="16"/>
    <x v="3"/>
    <x v="1"/>
    <x v="0"/>
    <x v="0"/>
    <x v="0"/>
    <x v="1"/>
    <x v="0"/>
    <x v="0"/>
    <x v="1"/>
    <x v="9"/>
    <x v="4"/>
  </r>
  <r>
    <x v="160"/>
    <x v="103"/>
    <x v="51"/>
    <x v="0"/>
    <x v="129"/>
    <x v="155"/>
    <x v="0"/>
    <x v="32"/>
    <x v="166"/>
    <x v="161"/>
    <x v="98"/>
    <x v="158"/>
    <x v="1"/>
    <x v="2"/>
    <x v="5"/>
    <x v="3"/>
    <x v="1"/>
    <x v="0"/>
    <x v="0"/>
    <x v="0"/>
    <x v="1"/>
    <x v="0"/>
    <x v="0"/>
    <x v="1"/>
    <x v="9"/>
    <x v="4"/>
  </r>
  <r>
    <x v="161"/>
    <x v="104"/>
    <x v="52"/>
    <x v="0"/>
    <x v="130"/>
    <x v="156"/>
    <x v="0"/>
    <x v="32"/>
    <x v="167"/>
    <x v="162"/>
    <x v="99"/>
    <x v="159"/>
    <x v="2"/>
    <x v="2"/>
    <x v="24"/>
    <x v="3"/>
    <x v="1"/>
    <x v="0"/>
    <x v="0"/>
    <x v="0"/>
    <x v="1"/>
    <x v="0"/>
    <x v="0"/>
    <x v="1"/>
    <x v="9"/>
    <x v="18"/>
  </r>
  <r>
    <x v="162"/>
    <x v="103"/>
    <x v="53"/>
    <x v="0"/>
    <x v="42"/>
    <x v="157"/>
    <x v="0"/>
    <x v="1"/>
    <x v="168"/>
    <x v="163"/>
    <x v="69"/>
    <x v="160"/>
    <x v="2"/>
    <x v="2"/>
    <x v="19"/>
    <x v="3"/>
    <x v="1"/>
    <x v="0"/>
    <x v="0"/>
    <x v="0"/>
    <x v="1"/>
    <x v="0"/>
    <x v="0"/>
    <x v="1"/>
    <x v="9"/>
    <x v="16"/>
  </r>
  <r>
    <x v="163"/>
    <x v="103"/>
    <x v="53"/>
    <x v="0"/>
    <x v="42"/>
    <x v="157"/>
    <x v="0"/>
    <x v="1"/>
    <x v="169"/>
    <x v="164"/>
    <x v="69"/>
    <x v="161"/>
    <x v="2"/>
    <x v="2"/>
    <x v="19"/>
    <x v="3"/>
    <x v="1"/>
    <x v="0"/>
    <x v="0"/>
    <x v="0"/>
    <x v="1"/>
    <x v="0"/>
    <x v="0"/>
    <x v="1"/>
    <x v="9"/>
    <x v="16"/>
  </r>
  <r>
    <x v="164"/>
    <x v="83"/>
    <x v="54"/>
    <x v="0"/>
    <x v="131"/>
    <x v="158"/>
    <x v="0"/>
    <x v="32"/>
    <x v="170"/>
    <x v="165"/>
    <x v="100"/>
    <x v="162"/>
    <x v="2"/>
    <x v="2"/>
    <x v="3"/>
    <x v="3"/>
    <x v="1"/>
    <x v="0"/>
    <x v="0"/>
    <x v="0"/>
    <x v="1"/>
    <x v="0"/>
    <x v="0"/>
    <x v="1"/>
    <x v="9"/>
    <x v="17"/>
  </r>
  <r>
    <x v="165"/>
    <x v="98"/>
    <x v="52"/>
    <x v="0"/>
    <x v="132"/>
    <x v="159"/>
    <x v="0"/>
    <x v="21"/>
    <x v="171"/>
    <x v="166"/>
    <x v="85"/>
    <x v="163"/>
    <x v="2"/>
    <x v="2"/>
    <x v="12"/>
    <x v="3"/>
    <x v="1"/>
    <x v="0"/>
    <x v="0"/>
    <x v="0"/>
    <x v="1"/>
    <x v="0"/>
    <x v="0"/>
    <x v="1"/>
    <x v="9"/>
    <x v="18"/>
  </r>
  <r>
    <x v="166"/>
    <x v="105"/>
    <x v="52"/>
    <x v="0"/>
    <x v="133"/>
    <x v="160"/>
    <x v="0"/>
    <x v="21"/>
    <x v="172"/>
    <x v="167"/>
    <x v="101"/>
    <x v="164"/>
    <x v="0"/>
    <x v="2"/>
    <x v="20"/>
    <x v="3"/>
    <x v="1"/>
    <x v="0"/>
    <x v="0"/>
    <x v="0"/>
    <x v="1"/>
    <x v="0"/>
    <x v="0"/>
    <x v="1"/>
    <x v="9"/>
    <x v="18"/>
  </r>
  <r>
    <x v="167"/>
    <x v="54"/>
    <x v="52"/>
    <x v="0"/>
    <x v="134"/>
    <x v="161"/>
    <x v="0"/>
    <x v="21"/>
    <x v="173"/>
    <x v="168"/>
    <x v="62"/>
    <x v="165"/>
    <x v="2"/>
    <x v="2"/>
    <x v="12"/>
    <x v="3"/>
    <x v="1"/>
    <x v="0"/>
    <x v="0"/>
    <x v="0"/>
    <x v="1"/>
    <x v="0"/>
    <x v="0"/>
    <x v="1"/>
    <x v="9"/>
    <x v="18"/>
  </r>
  <r>
    <x v="168"/>
    <x v="106"/>
    <x v="52"/>
    <x v="0"/>
    <x v="135"/>
    <x v="162"/>
    <x v="0"/>
    <x v="20"/>
    <x v="174"/>
    <x v="169"/>
    <x v="102"/>
    <x v="166"/>
    <x v="1"/>
    <x v="2"/>
    <x v="25"/>
    <x v="3"/>
    <x v="1"/>
    <x v="0"/>
    <x v="0"/>
    <x v="0"/>
    <x v="1"/>
    <x v="0"/>
    <x v="0"/>
    <x v="1"/>
    <x v="9"/>
    <x v="18"/>
  </r>
  <r>
    <x v="169"/>
    <x v="101"/>
    <x v="55"/>
    <x v="0"/>
    <x v="136"/>
    <x v="163"/>
    <x v="0"/>
    <x v="32"/>
    <x v="175"/>
    <x v="170"/>
    <x v="103"/>
    <x v="167"/>
    <x v="2"/>
    <x v="2"/>
    <x v="12"/>
    <x v="3"/>
    <x v="1"/>
    <x v="0"/>
    <x v="0"/>
    <x v="0"/>
    <x v="1"/>
    <x v="0"/>
    <x v="0"/>
    <x v="1"/>
    <x v="9"/>
    <x v="3"/>
  </r>
  <r>
    <x v="170"/>
    <x v="101"/>
    <x v="55"/>
    <x v="0"/>
    <x v="137"/>
    <x v="164"/>
    <x v="0"/>
    <x v="20"/>
    <x v="176"/>
    <x v="171"/>
    <x v="0"/>
    <x v="168"/>
    <x v="2"/>
    <x v="2"/>
    <x v="12"/>
    <x v="3"/>
    <x v="1"/>
    <x v="0"/>
    <x v="0"/>
    <x v="0"/>
    <x v="1"/>
    <x v="0"/>
    <x v="0"/>
    <x v="1"/>
    <x v="9"/>
    <x v="3"/>
  </r>
  <r>
    <x v="171"/>
    <x v="96"/>
    <x v="56"/>
    <x v="0"/>
    <x v="95"/>
    <x v="165"/>
    <x v="0"/>
    <x v="20"/>
    <x v="177"/>
    <x v="172"/>
    <x v="104"/>
    <x v="169"/>
    <x v="0"/>
    <x v="2"/>
    <x v="17"/>
    <x v="3"/>
    <x v="1"/>
    <x v="0"/>
    <x v="0"/>
    <x v="0"/>
    <x v="1"/>
    <x v="0"/>
    <x v="0"/>
    <x v="1"/>
    <x v="10"/>
    <x v="27"/>
  </r>
  <r>
    <x v="172"/>
    <x v="89"/>
    <x v="56"/>
    <x v="0"/>
    <x v="138"/>
    <x v="166"/>
    <x v="0"/>
    <x v="32"/>
    <x v="178"/>
    <x v="173"/>
    <x v="0"/>
    <x v="170"/>
    <x v="2"/>
    <x v="2"/>
    <x v="4"/>
    <x v="3"/>
    <x v="1"/>
    <x v="0"/>
    <x v="0"/>
    <x v="0"/>
    <x v="1"/>
    <x v="0"/>
    <x v="0"/>
    <x v="1"/>
    <x v="10"/>
    <x v="27"/>
  </r>
  <r>
    <x v="173"/>
    <x v="107"/>
    <x v="56"/>
    <x v="6"/>
    <x v="139"/>
    <x v="167"/>
    <x v="0"/>
    <x v="2"/>
    <x v="179"/>
    <x v="16"/>
    <x v="105"/>
    <x v="171"/>
    <x v="0"/>
    <x v="2"/>
    <x v="29"/>
    <x v="3"/>
    <x v="1"/>
    <x v="0"/>
    <x v="0"/>
    <x v="0"/>
    <x v="1"/>
    <x v="0"/>
    <x v="0"/>
    <x v="1"/>
    <x v="10"/>
    <x v="27"/>
  </r>
  <r>
    <x v="174"/>
    <x v="107"/>
    <x v="56"/>
    <x v="6"/>
    <x v="139"/>
    <x v="167"/>
    <x v="0"/>
    <x v="2"/>
    <x v="180"/>
    <x v="16"/>
    <x v="105"/>
    <x v="172"/>
    <x v="0"/>
    <x v="2"/>
    <x v="29"/>
    <x v="3"/>
    <x v="1"/>
    <x v="0"/>
    <x v="0"/>
    <x v="0"/>
    <x v="1"/>
    <x v="0"/>
    <x v="0"/>
    <x v="1"/>
    <x v="10"/>
    <x v="27"/>
  </r>
  <r>
    <x v="175"/>
    <x v="108"/>
    <x v="56"/>
    <x v="0"/>
    <x v="140"/>
    <x v="168"/>
    <x v="0"/>
    <x v="20"/>
    <x v="181"/>
    <x v="174"/>
    <x v="106"/>
    <x v="173"/>
    <x v="2"/>
    <x v="2"/>
    <x v="18"/>
    <x v="3"/>
    <x v="1"/>
    <x v="0"/>
    <x v="0"/>
    <x v="0"/>
    <x v="1"/>
    <x v="0"/>
    <x v="0"/>
    <x v="1"/>
    <x v="10"/>
    <x v="27"/>
  </r>
  <r>
    <x v="176"/>
    <x v="75"/>
    <x v="56"/>
    <x v="0"/>
    <x v="141"/>
    <x v="169"/>
    <x v="0"/>
    <x v="34"/>
    <x v="182"/>
    <x v="175"/>
    <x v="77"/>
    <x v="174"/>
    <x v="2"/>
    <x v="2"/>
    <x v="18"/>
    <x v="3"/>
    <x v="1"/>
    <x v="0"/>
    <x v="0"/>
    <x v="0"/>
    <x v="1"/>
    <x v="0"/>
    <x v="0"/>
    <x v="1"/>
    <x v="10"/>
    <x v="27"/>
  </r>
  <r>
    <x v="177"/>
    <x v="109"/>
    <x v="56"/>
    <x v="0"/>
    <x v="142"/>
    <x v="170"/>
    <x v="0"/>
    <x v="20"/>
    <x v="183"/>
    <x v="176"/>
    <x v="107"/>
    <x v="175"/>
    <x v="0"/>
    <x v="2"/>
    <x v="20"/>
    <x v="3"/>
    <x v="1"/>
    <x v="0"/>
    <x v="0"/>
    <x v="0"/>
    <x v="1"/>
    <x v="0"/>
    <x v="0"/>
    <x v="1"/>
    <x v="10"/>
    <x v="27"/>
  </r>
  <r>
    <x v="178"/>
    <x v="110"/>
    <x v="56"/>
    <x v="0"/>
    <x v="143"/>
    <x v="171"/>
    <x v="0"/>
    <x v="20"/>
    <x v="184"/>
    <x v="177"/>
    <x v="108"/>
    <x v="176"/>
    <x v="0"/>
    <x v="2"/>
    <x v="20"/>
    <x v="3"/>
    <x v="1"/>
    <x v="0"/>
    <x v="0"/>
    <x v="0"/>
    <x v="1"/>
    <x v="0"/>
    <x v="0"/>
    <x v="1"/>
    <x v="10"/>
    <x v="27"/>
  </r>
  <r>
    <x v="179"/>
    <x v="111"/>
    <x v="57"/>
    <x v="0"/>
    <x v="144"/>
    <x v="172"/>
    <x v="0"/>
    <x v="27"/>
    <x v="185"/>
    <x v="178"/>
    <x v="0"/>
    <x v="177"/>
    <x v="2"/>
    <x v="3"/>
    <x v="12"/>
    <x v="3"/>
    <x v="1"/>
    <x v="0"/>
    <x v="0"/>
    <x v="0"/>
    <x v="1"/>
    <x v="0"/>
    <x v="0"/>
    <x v="1"/>
    <x v="10"/>
    <x v="13"/>
  </r>
  <r>
    <x v="180"/>
    <x v="112"/>
    <x v="57"/>
    <x v="0"/>
    <x v="145"/>
    <x v="173"/>
    <x v="0"/>
    <x v="27"/>
    <x v="186"/>
    <x v="179"/>
    <x v="0"/>
    <x v="178"/>
    <x v="2"/>
    <x v="3"/>
    <x v="12"/>
    <x v="3"/>
    <x v="1"/>
    <x v="0"/>
    <x v="0"/>
    <x v="0"/>
    <x v="1"/>
    <x v="0"/>
    <x v="0"/>
    <x v="1"/>
    <x v="10"/>
    <x v="13"/>
  </r>
  <r>
    <x v="181"/>
    <x v="113"/>
    <x v="57"/>
    <x v="0"/>
    <x v="146"/>
    <x v="174"/>
    <x v="0"/>
    <x v="31"/>
    <x v="187"/>
    <x v="180"/>
    <x v="0"/>
    <x v="179"/>
    <x v="0"/>
    <x v="2"/>
    <x v="20"/>
    <x v="3"/>
    <x v="1"/>
    <x v="0"/>
    <x v="0"/>
    <x v="0"/>
    <x v="1"/>
    <x v="0"/>
    <x v="0"/>
    <x v="1"/>
    <x v="10"/>
    <x v="13"/>
  </r>
  <r>
    <x v="182"/>
    <x v="93"/>
    <x v="58"/>
    <x v="0"/>
    <x v="147"/>
    <x v="175"/>
    <x v="0"/>
    <x v="35"/>
    <x v="188"/>
    <x v="181"/>
    <x v="70"/>
    <x v="180"/>
    <x v="3"/>
    <x v="2"/>
    <x v="8"/>
    <x v="3"/>
    <x v="1"/>
    <x v="0"/>
    <x v="0"/>
    <x v="0"/>
    <x v="1"/>
    <x v="0"/>
    <x v="0"/>
    <x v="1"/>
    <x v="10"/>
    <x v="21"/>
  </r>
  <r>
    <x v="183"/>
    <x v="93"/>
    <x v="58"/>
    <x v="0"/>
    <x v="148"/>
    <x v="176"/>
    <x v="0"/>
    <x v="36"/>
    <x v="189"/>
    <x v="182"/>
    <x v="109"/>
    <x v="181"/>
    <x v="3"/>
    <x v="2"/>
    <x v="8"/>
    <x v="3"/>
    <x v="1"/>
    <x v="0"/>
    <x v="0"/>
    <x v="0"/>
    <x v="1"/>
    <x v="0"/>
    <x v="0"/>
    <x v="1"/>
    <x v="10"/>
    <x v="21"/>
  </r>
  <r>
    <x v="184"/>
    <x v="93"/>
    <x v="58"/>
    <x v="0"/>
    <x v="148"/>
    <x v="177"/>
    <x v="0"/>
    <x v="37"/>
    <x v="190"/>
    <x v="183"/>
    <x v="109"/>
    <x v="182"/>
    <x v="3"/>
    <x v="2"/>
    <x v="8"/>
    <x v="3"/>
    <x v="1"/>
    <x v="0"/>
    <x v="0"/>
    <x v="0"/>
    <x v="1"/>
    <x v="0"/>
    <x v="0"/>
    <x v="1"/>
    <x v="10"/>
    <x v="21"/>
  </r>
  <r>
    <x v="185"/>
    <x v="102"/>
    <x v="58"/>
    <x v="0"/>
    <x v="149"/>
    <x v="178"/>
    <x v="0"/>
    <x v="32"/>
    <x v="191"/>
    <x v="184"/>
    <x v="73"/>
    <x v="183"/>
    <x v="1"/>
    <x v="2"/>
    <x v="25"/>
    <x v="3"/>
    <x v="1"/>
    <x v="0"/>
    <x v="0"/>
    <x v="0"/>
    <x v="1"/>
    <x v="0"/>
    <x v="0"/>
    <x v="1"/>
    <x v="10"/>
    <x v="21"/>
  </r>
  <r>
    <x v="186"/>
    <x v="93"/>
    <x v="59"/>
    <x v="0"/>
    <x v="148"/>
    <x v="179"/>
    <x v="0"/>
    <x v="19"/>
    <x v="192"/>
    <x v="185"/>
    <x v="109"/>
    <x v="184"/>
    <x v="3"/>
    <x v="2"/>
    <x v="8"/>
    <x v="3"/>
    <x v="1"/>
    <x v="0"/>
    <x v="0"/>
    <x v="0"/>
    <x v="1"/>
    <x v="0"/>
    <x v="0"/>
    <x v="1"/>
    <x v="10"/>
    <x v="0"/>
  </r>
  <r>
    <x v="187"/>
    <x v="93"/>
    <x v="59"/>
    <x v="0"/>
    <x v="148"/>
    <x v="180"/>
    <x v="0"/>
    <x v="20"/>
    <x v="193"/>
    <x v="186"/>
    <x v="109"/>
    <x v="185"/>
    <x v="3"/>
    <x v="2"/>
    <x v="8"/>
    <x v="3"/>
    <x v="1"/>
    <x v="0"/>
    <x v="0"/>
    <x v="0"/>
    <x v="1"/>
    <x v="0"/>
    <x v="0"/>
    <x v="1"/>
    <x v="10"/>
    <x v="0"/>
  </r>
  <r>
    <x v="188"/>
    <x v="114"/>
    <x v="59"/>
    <x v="0"/>
    <x v="150"/>
    <x v="181"/>
    <x v="0"/>
    <x v="32"/>
    <x v="194"/>
    <x v="187"/>
    <x v="96"/>
    <x v="186"/>
    <x v="3"/>
    <x v="2"/>
    <x v="7"/>
    <x v="3"/>
    <x v="1"/>
    <x v="0"/>
    <x v="0"/>
    <x v="0"/>
    <x v="1"/>
    <x v="0"/>
    <x v="0"/>
    <x v="1"/>
    <x v="10"/>
    <x v="0"/>
  </r>
  <r>
    <x v="189"/>
    <x v="93"/>
    <x v="59"/>
    <x v="0"/>
    <x v="151"/>
    <x v="182"/>
    <x v="0"/>
    <x v="20"/>
    <x v="195"/>
    <x v="188"/>
    <x v="110"/>
    <x v="187"/>
    <x v="2"/>
    <x v="2"/>
    <x v="27"/>
    <x v="3"/>
    <x v="1"/>
    <x v="0"/>
    <x v="0"/>
    <x v="0"/>
    <x v="1"/>
    <x v="0"/>
    <x v="0"/>
    <x v="1"/>
    <x v="10"/>
    <x v="0"/>
  </r>
  <r>
    <x v="190"/>
    <x v="115"/>
    <x v="60"/>
    <x v="1"/>
    <x v="152"/>
    <x v="183"/>
    <x v="0"/>
    <x v="38"/>
    <x v="24"/>
    <x v="16"/>
    <x v="0"/>
    <x v="0"/>
    <x v="0"/>
    <x v="4"/>
    <x v="15"/>
    <x v="3"/>
    <x v="1"/>
    <x v="0"/>
    <x v="0"/>
    <x v="0"/>
    <x v="1"/>
    <x v="0"/>
    <x v="0"/>
    <x v="3"/>
    <x v="11"/>
    <x v="29"/>
  </r>
  <r>
    <x v="191"/>
    <x v="114"/>
    <x v="59"/>
    <x v="0"/>
    <x v="153"/>
    <x v="184"/>
    <x v="0"/>
    <x v="20"/>
    <x v="196"/>
    <x v="189"/>
    <x v="0"/>
    <x v="188"/>
    <x v="3"/>
    <x v="2"/>
    <x v="7"/>
    <x v="3"/>
    <x v="1"/>
    <x v="0"/>
    <x v="0"/>
    <x v="0"/>
    <x v="1"/>
    <x v="0"/>
    <x v="0"/>
    <x v="1"/>
    <x v="10"/>
    <x v="0"/>
  </r>
  <r>
    <x v="192"/>
    <x v="116"/>
    <x v="61"/>
    <x v="0"/>
    <x v="154"/>
    <x v="185"/>
    <x v="0"/>
    <x v="32"/>
    <x v="197"/>
    <x v="190"/>
    <x v="73"/>
    <x v="189"/>
    <x v="1"/>
    <x v="2"/>
    <x v="13"/>
    <x v="3"/>
    <x v="1"/>
    <x v="0"/>
    <x v="0"/>
    <x v="0"/>
    <x v="1"/>
    <x v="0"/>
    <x v="0"/>
    <x v="1"/>
    <x v="10"/>
    <x v="1"/>
  </r>
  <r>
    <x v="193"/>
    <x v="117"/>
    <x v="61"/>
    <x v="6"/>
    <x v="155"/>
    <x v="186"/>
    <x v="0"/>
    <x v="10"/>
    <x v="198"/>
    <x v="191"/>
    <x v="111"/>
    <x v="190"/>
    <x v="2"/>
    <x v="2"/>
    <x v="4"/>
    <x v="3"/>
    <x v="1"/>
    <x v="0"/>
    <x v="0"/>
    <x v="0"/>
    <x v="1"/>
    <x v="0"/>
    <x v="0"/>
    <x v="1"/>
    <x v="10"/>
    <x v="1"/>
  </r>
  <r>
    <x v="194"/>
    <x v="103"/>
    <x v="61"/>
    <x v="0"/>
    <x v="156"/>
    <x v="187"/>
    <x v="0"/>
    <x v="29"/>
    <x v="199"/>
    <x v="192"/>
    <x v="81"/>
    <x v="191"/>
    <x v="0"/>
    <x v="2"/>
    <x v="14"/>
    <x v="3"/>
    <x v="1"/>
    <x v="0"/>
    <x v="0"/>
    <x v="0"/>
    <x v="1"/>
    <x v="0"/>
    <x v="0"/>
    <x v="1"/>
    <x v="10"/>
    <x v="1"/>
  </r>
  <r>
    <x v="195"/>
    <x v="112"/>
    <x v="61"/>
    <x v="0"/>
    <x v="157"/>
    <x v="188"/>
    <x v="0"/>
    <x v="20"/>
    <x v="200"/>
    <x v="193"/>
    <x v="112"/>
    <x v="192"/>
    <x v="2"/>
    <x v="2"/>
    <x v="4"/>
    <x v="3"/>
    <x v="1"/>
    <x v="0"/>
    <x v="0"/>
    <x v="0"/>
    <x v="1"/>
    <x v="0"/>
    <x v="0"/>
    <x v="1"/>
    <x v="10"/>
    <x v="1"/>
  </r>
  <r>
    <x v="196"/>
    <x v="81"/>
    <x v="62"/>
    <x v="0"/>
    <x v="158"/>
    <x v="189"/>
    <x v="0"/>
    <x v="1"/>
    <x v="201"/>
    <x v="194"/>
    <x v="66"/>
    <x v="193"/>
    <x v="1"/>
    <x v="2"/>
    <x v="26"/>
    <x v="3"/>
    <x v="1"/>
    <x v="0"/>
    <x v="0"/>
    <x v="0"/>
    <x v="1"/>
    <x v="0"/>
    <x v="0"/>
    <x v="1"/>
    <x v="10"/>
    <x v="28"/>
  </r>
  <r>
    <x v="197"/>
    <x v="94"/>
    <x v="63"/>
    <x v="0"/>
    <x v="159"/>
    <x v="190"/>
    <x v="0"/>
    <x v="32"/>
    <x v="202"/>
    <x v="195"/>
    <x v="73"/>
    <x v="194"/>
    <x v="1"/>
    <x v="2"/>
    <x v="25"/>
    <x v="3"/>
    <x v="1"/>
    <x v="0"/>
    <x v="0"/>
    <x v="0"/>
    <x v="1"/>
    <x v="0"/>
    <x v="0"/>
    <x v="1"/>
    <x v="10"/>
    <x v="4"/>
  </r>
  <r>
    <x v="198"/>
    <x v="67"/>
    <x v="63"/>
    <x v="0"/>
    <x v="159"/>
    <x v="191"/>
    <x v="0"/>
    <x v="32"/>
    <x v="203"/>
    <x v="196"/>
    <x v="113"/>
    <x v="195"/>
    <x v="1"/>
    <x v="2"/>
    <x v="25"/>
    <x v="3"/>
    <x v="1"/>
    <x v="0"/>
    <x v="0"/>
    <x v="0"/>
    <x v="1"/>
    <x v="0"/>
    <x v="0"/>
    <x v="1"/>
    <x v="10"/>
    <x v="4"/>
  </r>
  <r>
    <x v="199"/>
    <x v="118"/>
    <x v="63"/>
    <x v="0"/>
    <x v="160"/>
    <x v="192"/>
    <x v="0"/>
    <x v="32"/>
    <x v="204"/>
    <x v="197"/>
    <x v="0"/>
    <x v="196"/>
    <x v="2"/>
    <x v="2"/>
    <x v="24"/>
    <x v="3"/>
    <x v="1"/>
    <x v="0"/>
    <x v="0"/>
    <x v="0"/>
    <x v="1"/>
    <x v="0"/>
    <x v="0"/>
    <x v="1"/>
    <x v="10"/>
    <x v="4"/>
  </r>
  <r>
    <x v="1"/>
    <x v="117"/>
    <x v="63"/>
    <x v="0"/>
    <x v="161"/>
    <x v="193"/>
    <x v="0"/>
    <x v="39"/>
    <x v="205"/>
    <x v="198"/>
    <x v="0"/>
    <x v="197"/>
    <x v="2"/>
    <x v="2"/>
    <x v="24"/>
    <x v="3"/>
    <x v="1"/>
    <x v="0"/>
    <x v="0"/>
    <x v="0"/>
    <x v="1"/>
    <x v="0"/>
    <x v="0"/>
    <x v="1"/>
    <x v="10"/>
    <x v="4"/>
  </r>
  <r>
    <x v="146"/>
    <x v="107"/>
    <x v="63"/>
    <x v="0"/>
    <x v="162"/>
    <x v="194"/>
    <x v="0"/>
    <x v="20"/>
    <x v="206"/>
    <x v="199"/>
    <x v="0"/>
    <x v="144"/>
    <x v="2"/>
    <x v="2"/>
    <x v="12"/>
    <x v="3"/>
    <x v="1"/>
    <x v="0"/>
    <x v="0"/>
    <x v="0"/>
    <x v="1"/>
    <x v="0"/>
    <x v="0"/>
    <x v="1"/>
    <x v="10"/>
    <x v="4"/>
  </r>
  <r>
    <x v="200"/>
    <x v="119"/>
    <x v="63"/>
    <x v="0"/>
    <x v="163"/>
    <x v="195"/>
    <x v="0"/>
    <x v="29"/>
    <x v="207"/>
    <x v="200"/>
    <x v="0"/>
    <x v="198"/>
    <x v="2"/>
    <x v="2"/>
    <x v="12"/>
    <x v="3"/>
    <x v="1"/>
    <x v="0"/>
    <x v="0"/>
    <x v="0"/>
    <x v="1"/>
    <x v="0"/>
    <x v="0"/>
    <x v="1"/>
    <x v="10"/>
    <x v="4"/>
  </r>
  <r>
    <x v="201"/>
    <x v="120"/>
    <x v="63"/>
    <x v="0"/>
    <x v="164"/>
    <x v="196"/>
    <x v="0"/>
    <x v="20"/>
    <x v="208"/>
    <x v="201"/>
    <x v="0"/>
    <x v="199"/>
    <x v="3"/>
    <x v="2"/>
    <x v="7"/>
    <x v="3"/>
    <x v="1"/>
    <x v="0"/>
    <x v="0"/>
    <x v="0"/>
    <x v="1"/>
    <x v="0"/>
    <x v="0"/>
    <x v="1"/>
    <x v="10"/>
    <x v="4"/>
  </r>
  <r>
    <x v="201"/>
    <x v="99"/>
    <x v="63"/>
    <x v="0"/>
    <x v="165"/>
    <x v="197"/>
    <x v="0"/>
    <x v="29"/>
    <x v="209"/>
    <x v="202"/>
    <x v="0"/>
    <x v="199"/>
    <x v="3"/>
    <x v="2"/>
    <x v="7"/>
    <x v="3"/>
    <x v="1"/>
    <x v="0"/>
    <x v="0"/>
    <x v="0"/>
    <x v="1"/>
    <x v="0"/>
    <x v="0"/>
    <x v="1"/>
    <x v="10"/>
    <x v="4"/>
  </r>
  <r>
    <x v="202"/>
    <x v="118"/>
    <x v="64"/>
    <x v="0"/>
    <x v="166"/>
    <x v="198"/>
    <x v="0"/>
    <x v="20"/>
    <x v="210"/>
    <x v="203"/>
    <x v="114"/>
    <x v="200"/>
    <x v="2"/>
    <x v="2"/>
    <x v="3"/>
    <x v="3"/>
    <x v="1"/>
    <x v="0"/>
    <x v="0"/>
    <x v="0"/>
    <x v="1"/>
    <x v="0"/>
    <x v="0"/>
    <x v="1"/>
    <x v="10"/>
    <x v="19"/>
  </r>
  <r>
    <x v="203"/>
    <x v="118"/>
    <x v="64"/>
    <x v="0"/>
    <x v="167"/>
    <x v="199"/>
    <x v="0"/>
    <x v="40"/>
    <x v="211"/>
    <x v="204"/>
    <x v="100"/>
    <x v="201"/>
    <x v="2"/>
    <x v="2"/>
    <x v="3"/>
    <x v="3"/>
    <x v="1"/>
    <x v="0"/>
    <x v="0"/>
    <x v="0"/>
    <x v="1"/>
    <x v="0"/>
    <x v="0"/>
    <x v="1"/>
    <x v="10"/>
    <x v="19"/>
  </r>
  <r>
    <x v="204"/>
    <x v="121"/>
    <x v="65"/>
    <x v="0"/>
    <x v="168"/>
    <x v="200"/>
    <x v="0"/>
    <x v="32"/>
    <x v="212"/>
    <x v="205"/>
    <x v="0"/>
    <x v="202"/>
    <x v="5"/>
    <x v="2"/>
    <x v="16"/>
    <x v="3"/>
    <x v="1"/>
    <x v="0"/>
    <x v="0"/>
    <x v="0"/>
    <x v="1"/>
    <x v="0"/>
    <x v="0"/>
    <x v="1"/>
    <x v="10"/>
    <x v="24"/>
  </r>
  <r>
    <x v="205"/>
    <x v="111"/>
    <x v="65"/>
    <x v="0"/>
    <x v="95"/>
    <x v="201"/>
    <x v="0"/>
    <x v="20"/>
    <x v="213"/>
    <x v="206"/>
    <x v="115"/>
    <x v="203"/>
    <x v="0"/>
    <x v="2"/>
    <x v="17"/>
    <x v="3"/>
    <x v="1"/>
    <x v="0"/>
    <x v="0"/>
    <x v="0"/>
    <x v="1"/>
    <x v="0"/>
    <x v="0"/>
    <x v="1"/>
    <x v="10"/>
    <x v="24"/>
  </r>
  <r>
    <x v="206"/>
    <x v="116"/>
    <x v="65"/>
    <x v="0"/>
    <x v="169"/>
    <x v="202"/>
    <x v="0"/>
    <x v="32"/>
    <x v="214"/>
    <x v="207"/>
    <x v="116"/>
    <x v="204"/>
    <x v="0"/>
    <x v="2"/>
    <x v="30"/>
    <x v="3"/>
    <x v="1"/>
    <x v="0"/>
    <x v="0"/>
    <x v="0"/>
    <x v="1"/>
    <x v="0"/>
    <x v="0"/>
    <x v="1"/>
    <x v="10"/>
    <x v="24"/>
  </r>
  <r>
    <x v="207"/>
    <x v="89"/>
    <x v="65"/>
    <x v="0"/>
    <x v="170"/>
    <x v="203"/>
    <x v="0"/>
    <x v="41"/>
    <x v="215"/>
    <x v="208"/>
    <x v="116"/>
    <x v="205"/>
    <x v="0"/>
    <x v="2"/>
    <x v="30"/>
    <x v="3"/>
    <x v="1"/>
    <x v="0"/>
    <x v="0"/>
    <x v="0"/>
    <x v="1"/>
    <x v="0"/>
    <x v="0"/>
    <x v="1"/>
    <x v="10"/>
    <x v="24"/>
  </r>
  <r>
    <x v="208"/>
    <x v="122"/>
    <x v="65"/>
    <x v="0"/>
    <x v="171"/>
    <x v="204"/>
    <x v="1"/>
    <x v="32"/>
    <x v="216"/>
    <x v="209"/>
    <x v="0"/>
    <x v="206"/>
    <x v="1"/>
    <x v="2"/>
    <x v="26"/>
    <x v="3"/>
    <x v="1"/>
    <x v="0"/>
    <x v="0"/>
    <x v="0"/>
    <x v="1"/>
    <x v="0"/>
    <x v="0"/>
    <x v="1"/>
    <x v="10"/>
    <x v="24"/>
  </r>
  <r>
    <x v="209"/>
    <x v="123"/>
    <x v="66"/>
    <x v="0"/>
    <x v="172"/>
    <x v="205"/>
    <x v="1"/>
    <x v="32"/>
    <x v="217"/>
    <x v="210"/>
    <x v="0"/>
    <x v="207"/>
    <x v="1"/>
    <x v="2"/>
    <x v="5"/>
    <x v="3"/>
    <x v="1"/>
    <x v="0"/>
    <x v="0"/>
    <x v="0"/>
    <x v="1"/>
    <x v="0"/>
    <x v="0"/>
    <x v="1"/>
    <x v="10"/>
    <x v="12"/>
  </r>
  <r>
    <x v="210"/>
    <x v="95"/>
    <x v="66"/>
    <x v="0"/>
    <x v="173"/>
    <x v="206"/>
    <x v="1"/>
    <x v="21"/>
    <x v="218"/>
    <x v="211"/>
    <x v="117"/>
    <x v="208"/>
    <x v="3"/>
    <x v="2"/>
    <x v="7"/>
    <x v="3"/>
    <x v="1"/>
    <x v="0"/>
    <x v="0"/>
    <x v="0"/>
    <x v="1"/>
    <x v="0"/>
    <x v="0"/>
    <x v="1"/>
    <x v="10"/>
    <x v="12"/>
  </r>
  <r>
    <x v="210"/>
    <x v="100"/>
    <x v="66"/>
    <x v="0"/>
    <x v="174"/>
    <x v="207"/>
    <x v="0"/>
    <x v="42"/>
    <x v="219"/>
    <x v="212"/>
    <x v="118"/>
    <x v="208"/>
    <x v="3"/>
    <x v="2"/>
    <x v="7"/>
    <x v="3"/>
    <x v="1"/>
    <x v="0"/>
    <x v="0"/>
    <x v="0"/>
    <x v="1"/>
    <x v="0"/>
    <x v="0"/>
    <x v="1"/>
    <x v="10"/>
    <x v="12"/>
  </r>
  <r>
    <x v="211"/>
    <x v="124"/>
    <x v="67"/>
    <x v="0"/>
    <x v="175"/>
    <x v="208"/>
    <x v="0"/>
    <x v="36"/>
    <x v="220"/>
    <x v="213"/>
    <x v="119"/>
    <x v="209"/>
    <x v="2"/>
    <x v="2"/>
    <x v="3"/>
    <x v="3"/>
    <x v="1"/>
    <x v="0"/>
    <x v="0"/>
    <x v="0"/>
    <x v="1"/>
    <x v="0"/>
    <x v="0"/>
    <x v="1"/>
    <x v="10"/>
    <x v="30"/>
  </r>
  <r>
    <x v="212"/>
    <x v="75"/>
    <x v="67"/>
    <x v="0"/>
    <x v="176"/>
    <x v="209"/>
    <x v="0"/>
    <x v="20"/>
    <x v="221"/>
    <x v="214"/>
    <x v="120"/>
    <x v="210"/>
    <x v="2"/>
    <x v="2"/>
    <x v="3"/>
    <x v="3"/>
    <x v="1"/>
    <x v="0"/>
    <x v="0"/>
    <x v="0"/>
    <x v="1"/>
    <x v="0"/>
    <x v="0"/>
    <x v="1"/>
    <x v="10"/>
    <x v="30"/>
  </r>
  <r>
    <x v="213"/>
    <x v="125"/>
    <x v="67"/>
    <x v="0"/>
    <x v="177"/>
    <x v="210"/>
    <x v="0"/>
    <x v="20"/>
    <x v="222"/>
    <x v="215"/>
    <x v="120"/>
    <x v="211"/>
    <x v="2"/>
    <x v="2"/>
    <x v="3"/>
    <x v="3"/>
    <x v="1"/>
    <x v="0"/>
    <x v="0"/>
    <x v="0"/>
    <x v="1"/>
    <x v="0"/>
    <x v="0"/>
    <x v="1"/>
    <x v="10"/>
    <x v="30"/>
  </r>
  <r>
    <x v="214"/>
    <x v="126"/>
    <x v="68"/>
    <x v="0"/>
    <x v="178"/>
    <x v="211"/>
    <x v="0"/>
    <x v="43"/>
    <x v="223"/>
    <x v="216"/>
    <x v="103"/>
    <x v="212"/>
    <x v="2"/>
    <x v="2"/>
    <x v="6"/>
    <x v="3"/>
    <x v="1"/>
    <x v="0"/>
    <x v="0"/>
    <x v="0"/>
    <x v="1"/>
    <x v="0"/>
    <x v="0"/>
    <x v="1"/>
    <x v="10"/>
    <x v="6"/>
  </r>
  <r>
    <x v="215"/>
    <x v="127"/>
    <x v="69"/>
    <x v="6"/>
    <x v="179"/>
    <x v="212"/>
    <x v="0"/>
    <x v="44"/>
    <x v="224"/>
    <x v="217"/>
    <x v="0"/>
    <x v="213"/>
    <x v="2"/>
    <x v="3"/>
    <x v="4"/>
    <x v="3"/>
    <x v="1"/>
    <x v="0"/>
    <x v="0"/>
    <x v="0"/>
    <x v="1"/>
    <x v="0"/>
    <x v="0"/>
    <x v="1"/>
    <x v="10"/>
    <x v="5"/>
  </r>
  <r>
    <x v="216"/>
    <x v="127"/>
    <x v="69"/>
    <x v="0"/>
    <x v="180"/>
    <x v="213"/>
    <x v="0"/>
    <x v="23"/>
    <x v="225"/>
    <x v="16"/>
    <x v="0"/>
    <x v="214"/>
    <x v="2"/>
    <x v="3"/>
    <x v="4"/>
    <x v="3"/>
    <x v="1"/>
    <x v="0"/>
    <x v="0"/>
    <x v="0"/>
    <x v="1"/>
    <x v="0"/>
    <x v="0"/>
    <x v="1"/>
    <x v="10"/>
    <x v="5"/>
  </r>
  <r>
    <x v="217"/>
    <x v="57"/>
    <x v="69"/>
    <x v="4"/>
    <x v="181"/>
    <x v="214"/>
    <x v="0"/>
    <x v="45"/>
    <x v="226"/>
    <x v="218"/>
    <x v="121"/>
    <x v="215"/>
    <x v="2"/>
    <x v="3"/>
    <x v="4"/>
    <x v="3"/>
    <x v="1"/>
    <x v="0"/>
    <x v="0"/>
    <x v="0"/>
    <x v="1"/>
    <x v="0"/>
    <x v="0"/>
    <x v="1"/>
    <x v="10"/>
    <x v="5"/>
  </r>
  <r>
    <x v="218"/>
    <x v="76"/>
    <x v="41"/>
    <x v="4"/>
    <x v="182"/>
    <x v="215"/>
    <x v="0"/>
    <x v="45"/>
    <x v="227"/>
    <x v="219"/>
    <x v="122"/>
    <x v="216"/>
    <x v="2"/>
    <x v="3"/>
    <x v="19"/>
    <x v="3"/>
    <x v="1"/>
    <x v="0"/>
    <x v="0"/>
    <x v="0"/>
    <x v="1"/>
    <x v="0"/>
    <x v="0"/>
    <x v="2"/>
    <x v="8"/>
    <x v="26"/>
  </r>
  <r>
    <x v="219"/>
    <x v="128"/>
    <x v="70"/>
    <x v="0"/>
    <x v="18"/>
    <x v="216"/>
    <x v="0"/>
    <x v="1"/>
    <x v="228"/>
    <x v="220"/>
    <x v="103"/>
    <x v="217"/>
    <x v="2"/>
    <x v="2"/>
    <x v="19"/>
    <x v="3"/>
    <x v="1"/>
    <x v="0"/>
    <x v="0"/>
    <x v="0"/>
    <x v="1"/>
    <x v="0"/>
    <x v="0"/>
    <x v="1"/>
    <x v="10"/>
    <x v="10"/>
  </r>
  <r>
    <x v="220"/>
    <x v="129"/>
    <x v="63"/>
    <x v="0"/>
    <x v="183"/>
    <x v="217"/>
    <x v="0"/>
    <x v="1"/>
    <x v="229"/>
    <x v="221"/>
    <x v="123"/>
    <x v="218"/>
    <x v="2"/>
    <x v="2"/>
    <x v="19"/>
    <x v="3"/>
    <x v="1"/>
    <x v="0"/>
    <x v="0"/>
    <x v="0"/>
    <x v="1"/>
    <x v="0"/>
    <x v="0"/>
    <x v="1"/>
    <x v="10"/>
    <x v="4"/>
  </r>
  <r>
    <x v="221"/>
    <x v="122"/>
    <x v="69"/>
    <x v="0"/>
    <x v="184"/>
    <x v="218"/>
    <x v="0"/>
    <x v="46"/>
    <x v="230"/>
    <x v="222"/>
    <x v="0"/>
    <x v="219"/>
    <x v="1"/>
    <x v="3"/>
    <x v="1"/>
    <x v="3"/>
    <x v="1"/>
    <x v="0"/>
    <x v="0"/>
    <x v="0"/>
    <x v="1"/>
    <x v="0"/>
    <x v="0"/>
    <x v="1"/>
    <x v="10"/>
    <x v="5"/>
  </r>
  <r>
    <x v="222"/>
    <x v="117"/>
    <x v="69"/>
    <x v="0"/>
    <x v="185"/>
    <x v="219"/>
    <x v="0"/>
    <x v="20"/>
    <x v="231"/>
    <x v="223"/>
    <x v="124"/>
    <x v="220"/>
    <x v="1"/>
    <x v="3"/>
    <x v="1"/>
    <x v="3"/>
    <x v="1"/>
    <x v="0"/>
    <x v="0"/>
    <x v="0"/>
    <x v="1"/>
    <x v="0"/>
    <x v="0"/>
    <x v="1"/>
    <x v="10"/>
    <x v="5"/>
  </r>
  <r>
    <x v="223"/>
    <x v="107"/>
    <x v="69"/>
    <x v="0"/>
    <x v="186"/>
    <x v="220"/>
    <x v="0"/>
    <x v="32"/>
    <x v="232"/>
    <x v="224"/>
    <x v="125"/>
    <x v="221"/>
    <x v="1"/>
    <x v="3"/>
    <x v="1"/>
    <x v="3"/>
    <x v="1"/>
    <x v="0"/>
    <x v="0"/>
    <x v="0"/>
    <x v="1"/>
    <x v="0"/>
    <x v="0"/>
    <x v="1"/>
    <x v="10"/>
    <x v="5"/>
  </r>
  <r>
    <x v="224"/>
    <x v="103"/>
    <x v="71"/>
    <x v="0"/>
    <x v="187"/>
    <x v="221"/>
    <x v="0"/>
    <x v="47"/>
    <x v="233"/>
    <x v="225"/>
    <x v="116"/>
    <x v="222"/>
    <x v="0"/>
    <x v="3"/>
    <x v="17"/>
    <x v="3"/>
    <x v="1"/>
    <x v="0"/>
    <x v="0"/>
    <x v="0"/>
    <x v="1"/>
    <x v="0"/>
    <x v="0"/>
    <x v="1"/>
    <x v="10"/>
    <x v="15"/>
  </r>
  <r>
    <x v="225"/>
    <x v="130"/>
    <x v="72"/>
    <x v="0"/>
    <x v="188"/>
    <x v="222"/>
    <x v="0"/>
    <x v="32"/>
    <x v="234"/>
    <x v="226"/>
    <x v="126"/>
    <x v="223"/>
    <x v="0"/>
    <x v="2"/>
    <x v="14"/>
    <x v="3"/>
    <x v="1"/>
    <x v="0"/>
    <x v="0"/>
    <x v="0"/>
    <x v="1"/>
    <x v="0"/>
    <x v="0"/>
    <x v="1"/>
    <x v="10"/>
    <x v="16"/>
  </r>
  <r>
    <x v="226"/>
    <x v="103"/>
    <x v="72"/>
    <x v="0"/>
    <x v="189"/>
    <x v="223"/>
    <x v="0"/>
    <x v="37"/>
    <x v="235"/>
    <x v="227"/>
    <x v="114"/>
    <x v="224"/>
    <x v="2"/>
    <x v="2"/>
    <x v="3"/>
    <x v="3"/>
    <x v="1"/>
    <x v="0"/>
    <x v="0"/>
    <x v="0"/>
    <x v="1"/>
    <x v="0"/>
    <x v="0"/>
    <x v="1"/>
    <x v="10"/>
    <x v="16"/>
  </r>
  <r>
    <x v="227"/>
    <x v="108"/>
    <x v="72"/>
    <x v="0"/>
    <x v="190"/>
    <x v="224"/>
    <x v="0"/>
    <x v="32"/>
    <x v="236"/>
    <x v="228"/>
    <x v="114"/>
    <x v="225"/>
    <x v="2"/>
    <x v="2"/>
    <x v="3"/>
    <x v="3"/>
    <x v="1"/>
    <x v="0"/>
    <x v="0"/>
    <x v="0"/>
    <x v="1"/>
    <x v="0"/>
    <x v="0"/>
    <x v="1"/>
    <x v="10"/>
    <x v="16"/>
  </r>
  <r>
    <x v="228"/>
    <x v="131"/>
    <x v="73"/>
    <x v="0"/>
    <x v="142"/>
    <x v="225"/>
    <x v="2"/>
    <x v="33"/>
    <x v="237"/>
    <x v="229"/>
    <x v="104"/>
    <x v="226"/>
    <x v="0"/>
    <x v="2"/>
    <x v="20"/>
    <x v="3"/>
    <x v="1"/>
    <x v="0"/>
    <x v="0"/>
    <x v="0"/>
    <x v="1"/>
    <x v="0"/>
    <x v="0"/>
    <x v="1"/>
    <x v="10"/>
    <x v="17"/>
  </r>
  <r>
    <x v="229"/>
    <x v="132"/>
    <x v="74"/>
    <x v="0"/>
    <x v="191"/>
    <x v="226"/>
    <x v="0"/>
    <x v="20"/>
    <x v="238"/>
    <x v="230"/>
    <x v="103"/>
    <x v="227"/>
    <x v="2"/>
    <x v="2"/>
    <x v="4"/>
    <x v="3"/>
    <x v="1"/>
    <x v="0"/>
    <x v="0"/>
    <x v="0"/>
    <x v="1"/>
    <x v="0"/>
    <x v="0"/>
    <x v="1"/>
    <x v="10"/>
    <x v="18"/>
  </r>
  <r>
    <x v="230"/>
    <x v="128"/>
    <x v="74"/>
    <x v="0"/>
    <x v="95"/>
    <x v="227"/>
    <x v="2"/>
    <x v="20"/>
    <x v="239"/>
    <x v="231"/>
    <x v="115"/>
    <x v="228"/>
    <x v="0"/>
    <x v="2"/>
    <x v="17"/>
    <x v="3"/>
    <x v="1"/>
    <x v="0"/>
    <x v="0"/>
    <x v="0"/>
    <x v="1"/>
    <x v="0"/>
    <x v="0"/>
    <x v="1"/>
    <x v="10"/>
    <x v="18"/>
  </r>
  <r>
    <x v="119"/>
    <x v="127"/>
    <x v="74"/>
    <x v="0"/>
    <x v="117"/>
    <x v="228"/>
    <x v="0"/>
    <x v="20"/>
    <x v="240"/>
    <x v="232"/>
    <x v="116"/>
    <x v="229"/>
    <x v="0"/>
    <x v="2"/>
    <x v="20"/>
    <x v="3"/>
    <x v="1"/>
    <x v="0"/>
    <x v="0"/>
    <x v="0"/>
    <x v="1"/>
    <x v="0"/>
    <x v="0"/>
    <x v="1"/>
    <x v="10"/>
    <x v="18"/>
  </r>
  <r>
    <x v="231"/>
    <x v="133"/>
    <x v="74"/>
    <x v="0"/>
    <x v="192"/>
    <x v="229"/>
    <x v="0"/>
    <x v="48"/>
    <x v="241"/>
    <x v="233"/>
    <x v="127"/>
    <x v="230"/>
    <x v="0"/>
    <x v="2"/>
    <x v="20"/>
    <x v="3"/>
    <x v="1"/>
    <x v="0"/>
    <x v="0"/>
    <x v="0"/>
    <x v="1"/>
    <x v="0"/>
    <x v="0"/>
    <x v="1"/>
    <x v="10"/>
    <x v="18"/>
  </r>
  <r>
    <x v="232"/>
    <x v="122"/>
    <x v="74"/>
    <x v="0"/>
    <x v="193"/>
    <x v="230"/>
    <x v="0"/>
    <x v="21"/>
    <x v="242"/>
    <x v="234"/>
    <x v="128"/>
    <x v="231"/>
    <x v="2"/>
    <x v="2"/>
    <x v="6"/>
    <x v="3"/>
    <x v="1"/>
    <x v="0"/>
    <x v="0"/>
    <x v="0"/>
    <x v="1"/>
    <x v="0"/>
    <x v="0"/>
    <x v="1"/>
    <x v="10"/>
    <x v="18"/>
  </r>
  <r>
    <x v="233"/>
    <x v="112"/>
    <x v="74"/>
    <x v="0"/>
    <x v="194"/>
    <x v="231"/>
    <x v="0"/>
    <x v="49"/>
    <x v="243"/>
    <x v="235"/>
    <x v="116"/>
    <x v="232"/>
    <x v="0"/>
    <x v="2"/>
    <x v="20"/>
    <x v="3"/>
    <x v="1"/>
    <x v="0"/>
    <x v="0"/>
    <x v="0"/>
    <x v="1"/>
    <x v="0"/>
    <x v="0"/>
    <x v="1"/>
    <x v="10"/>
    <x v="18"/>
  </r>
  <r>
    <x v="1"/>
    <x v="122"/>
    <x v="74"/>
    <x v="0"/>
    <x v="195"/>
    <x v="232"/>
    <x v="0"/>
    <x v="50"/>
    <x v="244"/>
    <x v="236"/>
    <x v="128"/>
    <x v="233"/>
    <x v="2"/>
    <x v="2"/>
    <x v="6"/>
    <x v="3"/>
    <x v="1"/>
    <x v="0"/>
    <x v="0"/>
    <x v="0"/>
    <x v="1"/>
    <x v="0"/>
    <x v="0"/>
    <x v="1"/>
    <x v="10"/>
    <x v="18"/>
  </r>
  <r>
    <x v="234"/>
    <x v="132"/>
    <x v="75"/>
    <x v="0"/>
    <x v="196"/>
    <x v="233"/>
    <x v="0"/>
    <x v="51"/>
    <x v="245"/>
    <x v="237"/>
    <x v="129"/>
    <x v="234"/>
    <x v="2"/>
    <x v="2"/>
    <x v="18"/>
    <x v="3"/>
    <x v="1"/>
    <x v="0"/>
    <x v="0"/>
    <x v="0"/>
    <x v="1"/>
    <x v="0"/>
    <x v="0"/>
    <x v="1"/>
    <x v="10"/>
    <x v="8"/>
  </r>
  <r>
    <x v="235"/>
    <x v="119"/>
    <x v="75"/>
    <x v="0"/>
    <x v="197"/>
    <x v="234"/>
    <x v="0"/>
    <x v="21"/>
    <x v="246"/>
    <x v="238"/>
    <x v="99"/>
    <x v="235"/>
    <x v="2"/>
    <x v="2"/>
    <x v="18"/>
    <x v="3"/>
    <x v="1"/>
    <x v="0"/>
    <x v="0"/>
    <x v="0"/>
    <x v="1"/>
    <x v="0"/>
    <x v="0"/>
    <x v="1"/>
    <x v="10"/>
    <x v="8"/>
  </r>
  <r>
    <x v="236"/>
    <x v="129"/>
    <x v="75"/>
    <x v="0"/>
    <x v="35"/>
    <x v="235"/>
    <x v="2"/>
    <x v="18"/>
    <x v="247"/>
    <x v="239"/>
    <x v="116"/>
    <x v="236"/>
    <x v="0"/>
    <x v="2"/>
    <x v="17"/>
    <x v="3"/>
    <x v="1"/>
    <x v="0"/>
    <x v="0"/>
    <x v="0"/>
    <x v="1"/>
    <x v="0"/>
    <x v="0"/>
    <x v="1"/>
    <x v="10"/>
    <x v="8"/>
  </r>
  <r>
    <x v="237"/>
    <x v="134"/>
    <x v="76"/>
    <x v="0"/>
    <x v="198"/>
    <x v="236"/>
    <x v="0"/>
    <x v="32"/>
    <x v="248"/>
    <x v="240"/>
    <x v="130"/>
    <x v="237"/>
    <x v="2"/>
    <x v="2"/>
    <x v="12"/>
    <x v="3"/>
    <x v="1"/>
    <x v="0"/>
    <x v="0"/>
    <x v="0"/>
    <x v="1"/>
    <x v="0"/>
    <x v="0"/>
    <x v="1"/>
    <x v="12"/>
    <x v="13"/>
  </r>
  <r>
    <x v="238"/>
    <x v="81"/>
    <x v="76"/>
    <x v="0"/>
    <x v="199"/>
    <x v="237"/>
    <x v="0"/>
    <x v="52"/>
    <x v="24"/>
    <x v="16"/>
    <x v="131"/>
    <x v="238"/>
    <x v="2"/>
    <x v="3"/>
    <x v="12"/>
    <x v="3"/>
    <x v="1"/>
    <x v="0"/>
    <x v="0"/>
    <x v="0"/>
    <x v="1"/>
    <x v="0"/>
    <x v="0"/>
    <x v="1"/>
    <x v="12"/>
    <x v="13"/>
  </r>
  <r>
    <x v="239"/>
    <x v="128"/>
    <x v="76"/>
    <x v="0"/>
    <x v="200"/>
    <x v="238"/>
    <x v="0"/>
    <x v="10"/>
    <x v="249"/>
    <x v="241"/>
    <x v="123"/>
    <x v="239"/>
    <x v="2"/>
    <x v="3"/>
    <x v="12"/>
    <x v="3"/>
    <x v="1"/>
    <x v="0"/>
    <x v="0"/>
    <x v="0"/>
    <x v="1"/>
    <x v="0"/>
    <x v="0"/>
    <x v="1"/>
    <x v="12"/>
    <x v="13"/>
  </r>
  <r>
    <x v="240"/>
    <x v="135"/>
    <x v="76"/>
    <x v="0"/>
    <x v="201"/>
    <x v="239"/>
    <x v="0"/>
    <x v="25"/>
    <x v="250"/>
    <x v="242"/>
    <x v="126"/>
    <x v="240"/>
    <x v="0"/>
    <x v="2"/>
    <x v="14"/>
    <x v="3"/>
    <x v="1"/>
    <x v="0"/>
    <x v="0"/>
    <x v="0"/>
    <x v="1"/>
    <x v="0"/>
    <x v="0"/>
    <x v="1"/>
    <x v="12"/>
    <x v="13"/>
  </r>
  <r>
    <x v="241"/>
    <x v="135"/>
    <x v="76"/>
    <x v="0"/>
    <x v="202"/>
    <x v="240"/>
    <x v="0"/>
    <x v="25"/>
    <x v="251"/>
    <x v="243"/>
    <x v="126"/>
    <x v="241"/>
    <x v="0"/>
    <x v="2"/>
    <x v="14"/>
    <x v="3"/>
    <x v="1"/>
    <x v="0"/>
    <x v="0"/>
    <x v="0"/>
    <x v="1"/>
    <x v="0"/>
    <x v="0"/>
    <x v="1"/>
    <x v="12"/>
    <x v="13"/>
  </r>
  <r>
    <x v="242"/>
    <x v="136"/>
    <x v="77"/>
    <x v="0"/>
    <x v="203"/>
    <x v="241"/>
    <x v="0"/>
    <x v="25"/>
    <x v="252"/>
    <x v="244"/>
    <x v="132"/>
    <x v="242"/>
    <x v="2"/>
    <x v="2"/>
    <x v="24"/>
    <x v="3"/>
    <x v="1"/>
    <x v="0"/>
    <x v="0"/>
    <x v="0"/>
    <x v="1"/>
    <x v="0"/>
    <x v="0"/>
    <x v="1"/>
    <x v="12"/>
    <x v="22"/>
  </r>
  <r>
    <x v="243"/>
    <x v="137"/>
    <x v="77"/>
    <x v="7"/>
    <x v="204"/>
    <x v="242"/>
    <x v="0"/>
    <x v="53"/>
    <x v="101"/>
    <x v="245"/>
    <x v="133"/>
    <x v="243"/>
    <x v="2"/>
    <x v="2"/>
    <x v="4"/>
    <x v="3"/>
    <x v="1"/>
    <x v="0"/>
    <x v="0"/>
    <x v="0"/>
    <x v="1"/>
    <x v="0"/>
    <x v="0"/>
    <x v="1"/>
    <x v="12"/>
    <x v="22"/>
  </r>
  <r>
    <x v="244"/>
    <x v="138"/>
    <x v="77"/>
    <x v="6"/>
    <x v="205"/>
    <x v="243"/>
    <x v="0"/>
    <x v="44"/>
    <x v="253"/>
    <x v="246"/>
    <x v="134"/>
    <x v="244"/>
    <x v="2"/>
    <x v="2"/>
    <x v="19"/>
    <x v="3"/>
    <x v="1"/>
    <x v="0"/>
    <x v="0"/>
    <x v="0"/>
    <x v="1"/>
    <x v="0"/>
    <x v="0"/>
    <x v="1"/>
    <x v="12"/>
    <x v="22"/>
  </r>
  <r>
    <x v="245"/>
    <x v="139"/>
    <x v="77"/>
    <x v="4"/>
    <x v="206"/>
    <x v="244"/>
    <x v="0"/>
    <x v="45"/>
    <x v="254"/>
    <x v="247"/>
    <x v="135"/>
    <x v="245"/>
    <x v="2"/>
    <x v="3"/>
    <x v="4"/>
    <x v="3"/>
    <x v="1"/>
    <x v="0"/>
    <x v="0"/>
    <x v="0"/>
    <x v="1"/>
    <x v="0"/>
    <x v="0"/>
    <x v="1"/>
    <x v="12"/>
    <x v="22"/>
  </r>
  <r>
    <x v="246"/>
    <x v="140"/>
    <x v="78"/>
    <x v="0"/>
    <x v="207"/>
    <x v="245"/>
    <x v="0"/>
    <x v="10"/>
    <x v="255"/>
    <x v="248"/>
    <x v="0"/>
    <x v="246"/>
    <x v="2"/>
    <x v="2"/>
    <x v="4"/>
    <x v="3"/>
    <x v="1"/>
    <x v="0"/>
    <x v="0"/>
    <x v="0"/>
    <x v="1"/>
    <x v="0"/>
    <x v="0"/>
    <x v="1"/>
    <x v="12"/>
    <x v="23"/>
  </r>
  <r>
    <x v="247"/>
    <x v="76"/>
    <x v="78"/>
    <x v="4"/>
    <x v="208"/>
    <x v="246"/>
    <x v="0"/>
    <x v="9"/>
    <x v="256"/>
    <x v="249"/>
    <x v="0"/>
    <x v="247"/>
    <x v="2"/>
    <x v="3"/>
    <x v="4"/>
    <x v="3"/>
    <x v="1"/>
    <x v="0"/>
    <x v="0"/>
    <x v="0"/>
    <x v="1"/>
    <x v="0"/>
    <x v="0"/>
    <x v="1"/>
    <x v="12"/>
    <x v="23"/>
  </r>
  <r>
    <x v="248"/>
    <x v="141"/>
    <x v="79"/>
    <x v="4"/>
    <x v="209"/>
    <x v="247"/>
    <x v="0"/>
    <x v="9"/>
    <x v="257"/>
    <x v="250"/>
    <x v="0"/>
    <x v="248"/>
    <x v="2"/>
    <x v="3"/>
    <x v="4"/>
    <x v="3"/>
    <x v="1"/>
    <x v="0"/>
    <x v="0"/>
    <x v="0"/>
    <x v="1"/>
    <x v="0"/>
    <x v="0"/>
    <x v="1"/>
    <x v="12"/>
    <x v="11"/>
  </r>
  <r>
    <x v="249"/>
    <x v="142"/>
    <x v="80"/>
    <x v="8"/>
    <x v="210"/>
    <x v="248"/>
    <x v="0"/>
    <x v="54"/>
    <x v="258"/>
    <x v="16"/>
    <x v="0"/>
    <x v="249"/>
    <x v="2"/>
    <x v="2"/>
    <x v="4"/>
    <x v="3"/>
    <x v="1"/>
    <x v="0"/>
    <x v="0"/>
    <x v="0"/>
    <x v="1"/>
    <x v="0"/>
    <x v="0"/>
    <x v="1"/>
    <x v="12"/>
    <x v="24"/>
  </r>
  <r>
    <x v="250"/>
    <x v="143"/>
    <x v="80"/>
    <x v="9"/>
    <x v="211"/>
    <x v="249"/>
    <x v="0"/>
    <x v="55"/>
    <x v="259"/>
    <x v="251"/>
    <x v="0"/>
    <x v="250"/>
    <x v="2"/>
    <x v="3"/>
    <x v="4"/>
    <x v="3"/>
    <x v="1"/>
    <x v="0"/>
    <x v="0"/>
    <x v="0"/>
    <x v="1"/>
    <x v="0"/>
    <x v="0"/>
    <x v="1"/>
    <x v="12"/>
    <x v="24"/>
  </r>
  <r>
    <x v="251"/>
    <x v="128"/>
    <x v="81"/>
    <x v="0"/>
    <x v="212"/>
    <x v="250"/>
    <x v="0"/>
    <x v="56"/>
    <x v="260"/>
    <x v="252"/>
    <x v="0"/>
    <x v="251"/>
    <x v="0"/>
    <x v="2"/>
    <x v="30"/>
    <x v="3"/>
    <x v="1"/>
    <x v="0"/>
    <x v="0"/>
    <x v="0"/>
    <x v="1"/>
    <x v="0"/>
    <x v="0"/>
    <x v="1"/>
    <x v="12"/>
    <x v="9"/>
  </r>
  <r>
    <x v="252"/>
    <x v="144"/>
    <x v="81"/>
    <x v="0"/>
    <x v="213"/>
    <x v="251"/>
    <x v="0"/>
    <x v="56"/>
    <x v="261"/>
    <x v="253"/>
    <x v="0"/>
    <x v="252"/>
    <x v="0"/>
    <x v="2"/>
    <x v="30"/>
    <x v="3"/>
    <x v="1"/>
    <x v="0"/>
    <x v="0"/>
    <x v="0"/>
    <x v="1"/>
    <x v="0"/>
    <x v="0"/>
    <x v="1"/>
    <x v="12"/>
    <x v="9"/>
  </r>
  <r>
    <x v="253"/>
    <x v="145"/>
    <x v="82"/>
    <x v="0"/>
    <x v="214"/>
    <x v="252"/>
    <x v="0"/>
    <x v="25"/>
    <x v="262"/>
    <x v="254"/>
    <x v="136"/>
    <x v="253"/>
    <x v="0"/>
    <x v="2"/>
    <x v="20"/>
    <x v="3"/>
    <x v="1"/>
    <x v="0"/>
    <x v="0"/>
    <x v="0"/>
    <x v="1"/>
    <x v="0"/>
    <x v="0"/>
    <x v="1"/>
    <x v="12"/>
    <x v="10"/>
  </r>
  <r>
    <x v="254"/>
    <x v="145"/>
    <x v="82"/>
    <x v="0"/>
    <x v="169"/>
    <x v="253"/>
    <x v="0"/>
    <x v="56"/>
    <x v="263"/>
    <x v="255"/>
    <x v="0"/>
    <x v="254"/>
    <x v="0"/>
    <x v="2"/>
    <x v="30"/>
    <x v="3"/>
    <x v="1"/>
    <x v="0"/>
    <x v="0"/>
    <x v="0"/>
    <x v="1"/>
    <x v="0"/>
    <x v="0"/>
    <x v="1"/>
    <x v="12"/>
    <x v="10"/>
  </r>
  <r>
    <x v="243"/>
    <x v="146"/>
    <x v="83"/>
    <x v="0"/>
    <x v="215"/>
    <x v="254"/>
    <x v="0"/>
    <x v="56"/>
    <x v="264"/>
    <x v="256"/>
    <x v="137"/>
    <x v="243"/>
    <x v="2"/>
    <x v="2"/>
    <x v="4"/>
    <x v="3"/>
    <x v="1"/>
    <x v="0"/>
    <x v="0"/>
    <x v="0"/>
    <x v="1"/>
    <x v="0"/>
    <x v="0"/>
    <x v="1"/>
    <x v="12"/>
    <x v="12"/>
  </r>
  <r>
    <x v="255"/>
    <x v="147"/>
    <x v="82"/>
    <x v="7"/>
    <x v="216"/>
    <x v="255"/>
    <x v="0"/>
    <x v="53"/>
    <x v="24"/>
    <x v="16"/>
    <x v="138"/>
    <x v="255"/>
    <x v="2"/>
    <x v="3"/>
    <x v="19"/>
    <x v="3"/>
    <x v="1"/>
    <x v="0"/>
    <x v="0"/>
    <x v="0"/>
    <x v="1"/>
    <x v="0"/>
    <x v="0"/>
    <x v="1"/>
    <x v="12"/>
    <x v="10"/>
  </r>
  <r>
    <x v="256"/>
    <x v="146"/>
    <x v="83"/>
    <x v="10"/>
    <x v="217"/>
    <x v="256"/>
    <x v="0"/>
    <x v="9"/>
    <x v="265"/>
    <x v="16"/>
    <x v="0"/>
    <x v="256"/>
    <x v="2"/>
    <x v="3"/>
    <x v="4"/>
    <x v="3"/>
    <x v="1"/>
    <x v="0"/>
    <x v="0"/>
    <x v="0"/>
    <x v="1"/>
    <x v="0"/>
    <x v="0"/>
    <x v="1"/>
    <x v="12"/>
    <x v="12"/>
  </r>
  <r>
    <x v="257"/>
    <x v="146"/>
    <x v="83"/>
    <x v="4"/>
    <x v="218"/>
    <x v="257"/>
    <x v="0"/>
    <x v="9"/>
    <x v="266"/>
    <x v="16"/>
    <x v="0"/>
    <x v="257"/>
    <x v="2"/>
    <x v="3"/>
    <x v="4"/>
    <x v="3"/>
    <x v="1"/>
    <x v="0"/>
    <x v="0"/>
    <x v="0"/>
    <x v="1"/>
    <x v="0"/>
    <x v="0"/>
    <x v="1"/>
    <x v="12"/>
    <x v="12"/>
  </r>
  <r>
    <x v="258"/>
    <x v="146"/>
    <x v="83"/>
    <x v="4"/>
    <x v="218"/>
    <x v="258"/>
    <x v="0"/>
    <x v="9"/>
    <x v="267"/>
    <x v="16"/>
    <x v="0"/>
    <x v="258"/>
    <x v="2"/>
    <x v="3"/>
    <x v="4"/>
    <x v="3"/>
    <x v="1"/>
    <x v="0"/>
    <x v="0"/>
    <x v="0"/>
    <x v="1"/>
    <x v="0"/>
    <x v="0"/>
    <x v="1"/>
    <x v="12"/>
    <x v="12"/>
  </r>
  <r>
    <x v="259"/>
    <x v="133"/>
    <x v="84"/>
    <x v="0"/>
    <x v="219"/>
    <x v="259"/>
    <x v="0"/>
    <x v="56"/>
    <x v="268"/>
    <x v="257"/>
    <x v="0"/>
    <x v="259"/>
    <x v="0"/>
    <x v="2"/>
    <x v="30"/>
    <x v="3"/>
    <x v="1"/>
    <x v="0"/>
    <x v="0"/>
    <x v="0"/>
    <x v="1"/>
    <x v="0"/>
    <x v="0"/>
    <x v="1"/>
    <x v="12"/>
    <x v="5"/>
  </r>
  <r>
    <x v="260"/>
    <x v="148"/>
    <x v="84"/>
    <x v="0"/>
    <x v="169"/>
    <x v="260"/>
    <x v="0"/>
    <x v="56"/>
    <x v="269"/>
    <x v="258"/>
    <x v="0"/>
    <x v="260"/>
    <x v="0"/>
    <x v="2"/>
    <x v="30"/>
    <x v="3"/>
    <x v="1"/>
    <x v="0"/>
    <x v="0"/>
    <x v="0"/>
    <x v="1"/>
    <x v="0"/>
    <x v="0"/>
    <x v="1"/>
    <x v="12"/>
    <x v="5"/>
  </r>
  <r>
    <x v="261"/>
    <x v="92"/>
    <x v="85"/>
    <x v="0"/>
    <x v="220"/>
    <x v="261"/>
    <x v="0"/>
    <x v="57"/>
    <x v="270"/>
    <x v="259"/>
    <x v="0"/>
    <x v="261"/>
    <x v="0"/>
    <x v="2"/>
    <x v="20"/>
    <x v="3"/>
    <x v="1"/>
    <x v="0"/>
    <x v="0"/>
    <x v="0"/>
    <x v="1"/>
    <x v="0"/>
    <x v="0"/>
    <x v="1"/>
    <x v="12"/>
    <x v="25"/>
  </r>
  <r>
    <x v="262"/>
    <x v="147"/>
    <x v="86"/>
    <x v="0"/>
    <x v="221"/>
    <x v="262"/>
    <x v="2"/>
    <x v="57"/>
    <x v="271"/>
    <x v="260"/>
    <x v="139"/>
    <x v="262"/>
    <x v="1"/>
    <x v="2"/>
    <x v="26"/>
    <x v="3"/>
    <x v="1"/>
    <x v="0"/>
    <x v="0"/>
    <x v="0"/>
    <x v="1"/>
    <x v="0"/>
    <x v="0"/>
    <x v="1"/>
    <x v="12"/>
    <x v="15"/>
  </r>
  <r>
    <x v="263"/>
    <x v="134"/>
    <x v="87"/>
    <x v="0"/>
    <x v="222"/>
    <x v="263"/>
    <x v="3"/>
    <x v="56"/>
    <x v="272"/>
    <x v="261"/>
    <x v="140"/>
    <x v="263"/>
    <x v="2"/>
    <x v="5"/>
    <x v="3"/>
    <x v="3"/>
    <x v="1"/>
    <x v="0"/>
    <x v="0"/>
    <x v="0"/>
    <x v="1"/>
    <x v="0"/>
    <x v="0"/>
    <x v="1"/>
    <x v="12"/>
    <x v="3"/>
  </r>
  <r>
    <x v="264"/>
    <x v="149"/>
    <x v="87"/>
    <x v="7"/>
    <x v="223"/>
    <x v="264"/>
    <x v="0"/>
    <x v="58"/>
    <x v="273"/>
    <x v="262"/>
    <x v="141"/>
    <x v="264"/>
    <x v="0"/>
    <x v="2"/>
    <x v="20"/>
    <x v="3"/>
    <x v="1"/>
    <x v="0"/>
    <x v="0"/>
    <x v="0"/>
    <x v="1"/>
    <x v="0"/>
    <x v="0"/>
    <x v="1"/>
    <x v="12"/>
    <x v="3"/>
  </r>
  <r>
    <x v="265"/>
    <x v="150"/>
    <x v="87"/>
    <x v="7"/>
    <x v="224"/>
    <x v="265"/>
    <x v="0"/>
    <x v="59"/>
    <x v="274"/>
    <x v="263"/>
    <x v="141"/>
    <x v="265"/>
    <x v="0"/>
    <x v="2"/>
    <x v="20"/>
    <x v="3"/>
    <x v="1"/>
    <x v="0"/>
    <x v="0"/>
    <x v="0"/>
    <x v="1"/>
    <x v="0"/>
    <x v="0"/>
    <x v="1"/>
    <x v="12"/>
    <x v="3"/>
  </r>
  <r>
    <x v="266"/>
    <x v="151"/>
    <x v="88"/>
    <x v="0"/>
    <x v="225"/>
    <x v="266"/>
    <x v="0"/>
    <x v="25"/>
    <x v="275"/>
    <x v="264"/>
    <x v="142"/>
    <x v="266"/>
    <x v="2"/>
    <x v="5"/>
    <x v="3"/>
    <x v="3"/>
    <x v="1"/>
    <x v="0"/>
    <x v="0"/>
    <x v="0"/>
    <x v="1"/>
    <x v="0"/>
    <x v="0"/>
    <x v="1"/>
    <x v="0"/>
    <x v="28"/>
  </r>
  <r>
    <x v="267"/>
    <x v="150"/>
    <x v="89"/>
    <x v="0"/>
    <x v="226"/>
    <x v="267"/>
    <x v="0"/>
    <x v="60"/>
    <x v="276"/>
    <x v="265"/>
    <x v="0"/>
    <x v="267"/>
    <x v="2"/>
    <x v="2"/>
    <x v="4"/>
    <x v="3"/>
    <x v="1"/>
    <x v="0"/>
    <x v="0"/>
    <x v="0"/>
    <x v="1"/>
    <x v="0"/>
    <x v="0"/>
    <x v="1"/>
    <x v="0"/>
    <x v="23"/>
  </r>
  <r>
    <x v="268"/>
    <x v="152"/>
    <x v="89"/>
    <x v="0"/>
    <x v="227"/>
    <x v="268"/>
    <x v="0"/>
    <x v="28"/>
    <x v="277"/>
    <x v="266"/>
    <x v="0"/>
    <x v="268"/>
    <x v="2"/>
    <x v="2"/>
    <x v="4"/>
    <x v="3"/>
    <x v="1"/>
    <x v="0"/>
    <x v="0"/>
    <x v="0"/>
    <x v="1"/>
    <x v="0"/>
    <x v="0"/>
    <x v="1"/>
    <x v="0"/>
    <x v="23"/>
  </r>
  <r>
    <x v="269"/>
    <x v="153"/>
    <x v="89"/>
    <x v="2"/>
    <x v="228"/>
    <x v="269"/>
    <x v="0"/>
    <x v="5"/>
    <x v="278"/>
    <x v="267"/>
    <x v="0"/>
    <x v="269"/>
    <x v="2"/>
    <x v="2"/>
    <x v="12"/>
    <x v="3"/>
    <x v="1"/>
    <x v="0"/>
    <x v="0"/>
    <x v="0"/>
    <x v="1"/>
    <x v="0"/>
    <x v="0"/>
    <x v="1"/>
    <x v="0"/>
    <x v="23"/>
  </r>
  <r>
    <x v="270"/>
    <x v="154"/>
    <x v="89"/>
    <x v="4"/>
    <x v="229"/>
    <x v="270"/>
    <x v="0"/>
    <x v="9"/>
    <x v="279"/>
    <x v="16"/>
    <x v="0"/>
    <x v="270"/>
    <x v="2"/>
    <x v="3"/>
    <x v="4"/>
    <x v="3"/>
    <x v="1"/>
    <x v="0"/>
    <x v="0"/>
    <x v="0"/>
    <x v="1"/>
    <x v="0"/>
    <x v="0"/>
    <x v="1"/>
    <x v="0"/>
    <x v="23"/>
  </r>
  <r>
    <x v="271"/>
    <x v="154"/>
    <x v="89"/>
    <x v="2"/>
    <x v="230"/>
    <x v="271"/>
    <x v="0"/>
    <x v="5"/>
    <x v="280"/>
    <x v="268"/>
    <x v="0"/>
    <x v="271"/>
    <x v="2"/>
    <x v="2"/>
    <x v="12"/>
    <x v="3"/>
    <x v="1"/>
    <x v="0"/>
    <x v="0"/>
    <x v="0"/>
    <x v="1"/>
    <x v="0"/>
    <x v="0"/>
    <x v="1"/>
    <x v="0"/>
    <x v="23"/>
  </r>
  <r>
    <x v="272"/>
    <x v="155"/>
    <x v="89"/>
    <x v="0"/>
    <x v="231"/>
    <x v="272"/>
    <x v="0"/>
    <x v="28"/>
    <x v="281"/>
    <x v="16"/>
    <x v="143"/>
    <x v="272"/>
    <x v="3"/>
    <x v="2"/>
    <x v="7"/>
    <x v="3"/>
    <x v="1"/>
    <x v="0"/>
    <x v="0"/>
    <x v="0"/>
    <x v="1"/>
    <x v="0"/>
    <x v="0"/>
    <x v="1"/>
    <x v="0"/>
    <x v="23"/>
  </r>
  <r>
    <x v="273"/>
    <x v="156"/>
    <x v="89"/>
    <x v="0"/>
    <x v="232"/>
    <x v="273"/>
    <x v="0"/>
    <x v="28"/>
    <x v="282"/>
    <x v="16"/>
    <x v="144"/>
    <x v="273"/>
    <x v="3"/>
    <x v="2"/>
    <x v="7"/>
    <x v="3"/>
    <x v="1"/>
    <x v="0"/>
    <x v="0"/>
    <x v="0"/>
    <x v="1"/>
    <x v="0"/>
    <x v="0"/>
    <x v="1"/>
    <x v="0"/>
    <x v="23"/>
  </r>
  <r>
    <x v="257"/>
    <x v="157"/>
    <x v="89"/>
    <x v="9"/>
    <x v="233"/>
    <x v="274"/>
    <x v="0"/>
    <x v="55"/>
    <x v="283"/>
    <x v="269"/>
    <x v="0"/>
    <x v="257"/>
    <x v="2"/>
    <x v="3"/>
    <x v="4"/>
    <x v="3"/>
    <x v="1"/>
    <x v="0"/>
    <x v="0"/>
    <x v="0"/>
    <x v="1"/>
    <x v="0"/>
    <x v="0"/>
    <x v="1"/>
    <x v="0"/>
    <x v="23"/>
  </r>
  <r>
    <x v="274"/>
    <x v="158"/>
    <x v="89"/>
    <x v="6"/>
    <x v="234"/>
    <x v="275"/>
    <x v="0"/>
    <x v="44"/>
    <x v="284"/>
    <x v="16"/>
    <x v="0"/>
    <x v="274"/>
    <x v="2"/>
    <x v="3"/>
    <x v="4"/>
    <x v="3"/>
    <x v="1"/>
    <x v="0"/>
    <x v="0"/>
    <x v="0"/>
    <x v="1"/>
    <x v="0"/>
    <x v="0"/>
    <x v="1"/>
    <x v="0"/>
    <x v="23"/>
  </r>
  <r>
    <x v="275"/>
    <x v="116"/>
    <x v="90"/>
    <x v="0"/>
    <x v="235"/>
    <x v="276"/>
    <x v="0"/>
    <x v="28"/>
    <x v="285"/>
    <x v="16"/>
    <x v="0"/>
    <x v="275"/>
    <x v="2"/>
    <x v="2"/>
    <x v="3"/>
    <x v="3"/>
    <x v="1"/>
    <x v="0"/>
    <x v="0"/>
    <x v="0"/>
    <x v="1"/>
    <x v="0"/>
    <x v="0"/>
    <x v="1"/>
    <x v="0"/>
    <x v="1"/>
  </r>
  <r>
    <x v="276"/>
    <x v="76"/>
    <x v="41"/>
    <x v="6"/>
    <x v="236"/>
    <x v="277"/>
    <x v="0"/>
    <x v="44"/>
    <x v="286"/>
    <x v="16"/>
    <x v="145"/>
    <x v="276"/>
    <x v="3"/>
    <x v="2"/>
    <x v="31"/>
    <x v="3"/>
    <x v="1"/>
    <x v="0"/>
    <x v="0"/>
    <x v="0"/>
    <x v="1"/>
    <x v="0"/>
    <x v="0"/>
    <x v="2"/>
    <x v="8"/>
    <x v="26"/>
  </r>
  <r>
    <x v="277"/>
    <x v="76"/>
    <x v="41"/>
    <x v="6"/>
    <x v="237"/>
    <x v="278"/>
    <x v="0"/>
    <x v="44"/>
    <x v="287"/>
    <x v="16"/>
    <x v="146"/>
    <x v="277"/>
    <x v="3"/>
    <x v="2"/>
    <x v="31"/>
    <x v="3"/>
    <x v="1"/>
    <x v="0"/>
    <x v="0"/>
    <x v="0"/>
    <x v="1"/>
    <x v="0"/>
    <x v="0"/>
    <x v="2"/>
    <x v="8"/>
    <x v="26"/>
  </r>
  <r>
    <x v="278"/>
    <x v="76"/>
    <x v="41"/>
    <x v="6"/>
    <x v="236"/>
    <x v="279"/>
    <x v="0"/>
    <x v="44"/>
    <x v="288"/>
    <x v="16"/>
    <x v="147"/>
    <x v="278"/>
    <x v="3"/>
    <x v="2"/>
    <x v="31"/>
    <x v="3"/>
    <x v="1"/>
    <x v="0"/>
    <x v="0"/>
    <x v="0"/>
    <x v="1"/>
    <x v="0"/>
    <x v="0"/>
    <x v="2"/>
    <x v="8"/>
    <x v="26"/>
  </r>
  <r>
    <x v="279"/>
    <x v="159"/>
    <x v="91"/>
    <x v="0"/>
    <x v="238"/>
    <x v="280"/>
    <x v="0"/>
    <x v="61"/>
    <x v="289"/>
    <x v="73"/>
    <x v="148"/>
    <x v="279"/>
    <x v="3"/>
    <x v="2"/>
    <x v="31"/>
    <x v="3"/>
    <x v="1"/>
    <x v="0"/>
    <x v="0"/>
    <x v="0"/>
    <x v="1"/>
    <x v="0"/>
    <x v="0"/>
    <x v="1"/>
    <x v="0"/>
    <x v="4"/>
  </r>
  <r>
    <x v="280"/>
    <x v="160"/>
    <x v="92"/>
    <x v="11"/>
    <x v="239"/>
    <x v="281"/>
    <x v="0"/>
    <x v="62"/>
    <x v="290"/>
    <x v="16"/>
    <x v="149"/>
    <x v="280"/>
    <x v="2"/>
    <x v="3"/>
    <x v="4"/>
    <x v="3"/>
    <x v="1"/>
    <x v="0"/>
    <x v="0"/>
    <x v="0"/>
    <x v="1"/>
    <x v="0"/>
    <x v="0"/>
    <x v="1"/>
    <x v="0"/>
    <x v="24"/>
  </r>
  <r>
    <x v="281"/>
    <x v="149"/>
    <x v="93"/>
    <x v="0"/>
    <x v="35"/>
    <x v="282"/>
    <x v="0"/>
    <x v="25"/>
    <x v="291"/>
    <x v="270"/>
    <x v="150"/>
    <x v="281"/>
    <x v="0"/>
    <x v="2"/>
    <x v="14"/>
    <x v="3"/>
    <x v="1"/>
    <x v="0"/>
    <x v="0"/>
    <x v="0"/>
    <x v="1"/>
    <x v="0"/>
    <x v="0"/>
    <x v="1"/>
    <x v="0"/>
    <x v="9"/>
  </r>
  <r>
    <x v="282"/>
    <x v="161"/>
    <x v="93"/>
    <x v="0"/>
    <x v="240"/>
    <x v="283"/>
    <x v="0"/>
    <x v="25"/>
    <x v="292"/>
    <x v="271"/>
    <x v="151"/>
    <x v="282"/>
    <x v="0"/>
    <x v="2"/>
    <x v="14"/>
    <x v="3"/>
    <x v="1"/>
    <x v="0"/>
    <x v="0"/>
    <x v="0"/>
    <x v="1"/>
    <x v="0"/>
    <x v="0"/>
    <x v="1"/>
    <x v="0"/>
    <x v="9"/>
  </r>
  <r>
    <x v="283"/>
    <x v="162"/>
    <x v="93"/>
    <x v="0"/>
    <x v="241"/>
    <x v="284"/>
    <x v="0"/>
    <x v="63"/>
    <x v="293"/>
    <x v="272"/>
    <x v="151"/>
    <x v="283"/>
    <x v="0"/>
    <x v="2"/>
    <x v="14"/>
    <x v="3"/>
    <x v="1"/>
    <x v="0"/>
    <x v="0"/>
    <x v="0"/>
    <x v="1"/>
    <x v="0"/>
    <x v="0"/>
    <x v="1"/>
    <x v="0"/>
    <x v="9"/>
  </r>
  <r>
    <x v="284"/>
    <x v="163"/>
    <x v="93"/>
    <x v="11"/>
    <x v="242"/>
    <x v="285"/>
    <x v="0"/>
    <x v="62"/>
    <x v="71"/>
    <x v="16"/>
    <x v="152"/>
    <x v="284"/>
    <x v="2"/>
    <x v="3"/>
    <x v="4"/>
    <x v="3"/>
    <x v="1"/>
    <x v="0"/>
    <x v="0"/>
    <x v="0"/>
    <x v="1"/>
    <x v="0"/>
    <x v="0"/>
    <x v="1"/>
    <x v="0"/>
    <x v="9"/>
  </r>
  <r>
    <x v="285"/>
    <x v="159"/>
    <x v="94"/>
    <x v="0"/>
    <x v="243"/>
    <x v="286"/>
    <x v="0"/>
    <x v="64"/>
    <x v="294"/>
    <x v="273"/>
    <x v="153"/>
    <x v="285"/>
    <x v="2"/>
    <x v="2"/>
    <x v="4"/>
    <x v="3"/>
    <x v="1"/>
    <x v="0"/>
    <x v="0"/>
    <x v="0"/>
    <x v="1"/>
    <x v="0"/>
    <x v="0"/>
    <x v="1"/>
    <x v="0"/>
    <x v="10"/>
  </r>
  <r>
    <x v="286"/>
    <x v="163"/>
    <x v="94"/>
    <x v="0"/>
    <x v="244"/>
    <x v="287"/>
    <x v="0"/>
    <x v="32"/>
    <x v="295"/>
    <x v="274"/>
    <x v="154"/>
    <x v="286"/>
    <x v="3"/>
    <x v="2"/>
    <x v="31"/>
    <x v="3"/>
    <x v="1"/>
    <x v="0"/>
    <x v="0"/>
    <x v="0"/>
    <x v="1"/>
    <x v="0"/>
    <x v="0"/>
    <x v="1"/>
    <x v="0"/>
    <x v="10"/>
  </r>
  <r>
    <x v="287"/>
    <x v="159"/>
    <x v="94"/>
    <x v="0"/>
    <x v="245"/>
    <x v="288"/>
    <x v="0"/>
    <x v="18"/>
    <x v="296"/>
    <x v="275"/>
    <x v="141"/>
    <x v="287"/>
    <x v="0"/>
    <x v="2"/>
    <x v="30"/>
    <x v="3"/>
    <x v="1"/>
    <x v="0"/>
    <x v="0"/>
    <x v="0"/>
    <x v="1"/>
    <x v="0"/>
    <x v="0"/>
    <x v="1"/>
    <x v="0"/>
    <x v="10"/>
  </r>
  <r>
    <x v="288"/>
    <x v="164"/>
    <x v="94"/>
    <x v="0"/>
    <x v="246"/>
    <x v="289"/>
    <x v="0"/>
    <x v="18"/>
    <x v="297"/>
    <x v="276"/>
    <x v="155"/>
    <x v="288"/>
    <x v="3"/>
    <x v="2"/>
    <x v="7"/>
    <x v="3"/>
    <x v="1"/>
    <x v="0"/>
    <x v="0"/>
    <x v="0"/>
    <x v="1"/>
    <x v="0"/>
    <x v="0"/>
    <x v="1"/>
    <x v="0"/>
    <x v="10"/>
  </r>
  <r>
    <x v="289"/>
    <x v="165"/>
    <x v="94"/>
    <x v="0"/>
    <x v="214"/>
    <x v="290"/>
    <x v="0"/>
    <x v="20"/>
    <x v="298"/>
    <x v="277"/>
    <x v="156"/>
    <x v="289"/>
    <x v="0"/>
    <x v="2"/>
    <x v="20"/>
    <x v="3"/>
    <x v="1"/>
    <x v="0"/>
    <x v="0"/>
    <x v="0"/>
    <x v="1"/>
    <x v="0"/>
    <x v="0"/>
    <x v="1"/>
    <x v="0"/>
    <x v="10"/>
  </r>
  <r>
    <x v="290"/>
    <x v="165"/>
    <x v="94"/>
    <x v="0"/>
    <x v="142"/>
    <x v="291"/>
    <x v="0"/>
    <x v="20"/>
    <x v="299"/>
    <x v="278"/>
    <x v="136"/>
    <x v="290"/>
    <x v="0"/>
    <x v="2"/>
    <x v="20"/>
    <x v="3"/>
    <x v="1"/>
    <x v="0"/>
    <x v="0"/>
    <x v="0"/>
    <x v="1"/>
    <x v="0"/>
    <x v="0"/>
    <x v="1"/>
    <x v="0"/>
    <x v="10"/>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r>
    <x v="1"/>
    <x v="76"/>
    <x v="41"/>
    <x v="1"/>
    <x v="83"/>
    <x v="5"/>
    <x v="0"/>
    <x v="2"/>
    <x v="24"/>
    <x v="16"/>
    <x v="0"/>
    <x v="0"/>
    <x v="4"/>
    <x v="1"/>
    <x v="9"/>
    <x v="3"/>
    <x v="1"/>
    <x v="0"/>
    <x v="0"/>
    <x v="0"/>
    <x v="1"/>
    <x v="0"/>
    <x v="0"/>
    <x v="2"/>
    <x v="8"/>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6:D12" firstHeaderRow="0" firstDataRow="1" firstDataCol="1" rowPageCount="4" colPageCount="1"/>
  <pivotFields count="26">
    <pivotField compact="0" showAll="0">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3"/>
        <item x="104"/>
        <item x="105"/>
        <item x="106"/>
        <item x="107"/>
        <item x="108"/>
        <item x="109"/>
        <item x="110"/>
        <item x="111"/>
        <item x="112"/>
        <item x="113"/>
        <item x="114"/>
        <item x="115"/>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1"/>
        <item x="192"/>
        <item x="193"/>
        <item x="194"/>
        <item x="195"/>
        <item x="196"/>
        <item x="197"/>
        <item x="198"/>
        <item x="199"/>
        <item x="200"/>
        <item x="201"/>
        <item x="202"/>
        <item x="203"/>
        <item x="204"/>
        <item x="205"/>
        <item x="206"/>
        <item x="207"/>
        <item x="208"/>
        <item x="209"/>
        <item x="210"/>
        <item x="211"/>
        <item x="212"/>
        <item x="213"/>
        <item x="214"/>
        <item x="215"/>
        <item x="216"/>
        <item x="217"/>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102"/>
        <item x="116"/>
        <item x="190"/>
        <item x="21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compact="0" showAll="0">
      <items count="167">
        <item x="0"/>
        <item x="1"/>
        <item x="2"/>
        <item x="3"/>
        <item x="4"/>
        <item x="5"/>
        <item x="6"/>
        <item x="7"/>
        <item x="8"/>
        <item x="9"/>
        <item x="10"/>
        <item x="11"/>
        <item x="12"/>
        <item x="13"/>
        <item x="14"/>
        <item x="15"/>
        <item x="16"/>
        <item x="17"/>
        <item x="18"/>
        <item x="19"/>
        <item x="76"/>
        <item x="21"/>
        <item x="22"/>
        <item x="23"/>
        <item x="24"/>
        <item x="25"/>
        <item x="26"/>
        <item x="27"/>
        <item x="28"/>
        <item x="29"/>
        <item x="30"/>
        <item x="31"/>
        <item x="32"/>
        <item x="33"/>
        <item x="35"/>
        <item x="36"/>
        <item x="37"/>
        <item x="38"/>
        <item x="39"/>
        <item x="40"/>
        <item x="41"/>
        <item x="42"/>
        <item x="43"/>
        <item x="44"/>
        <item x="45"/>
        <item x="51"/>
        <item x="52"/>
        <item x="53"/>
        <item x="54"/>
        <item x="55"/>
        <item x="56"/>
        <item x="57"/>
        <item x="58"/>
        <item x="59"/>
        <item x="60"/>
        <item x="61"/>
        <item x="62"/>
        <item x="63"/>
        <item x="64"/>
        <item x="65"/>
        <item x="66"/>
        <item x="68"/>
        <item x="71"/>
        <item x="73"/>
        <item x="67"/>
        <item x="69"/>
        <item x="74"/>
        <item x="75"/>
        <item x="77"/>
        <item x="78"/>
        <item x="79"/>
        <item x="80"/>
        <item x="81"/>
        <item x="82"/>
        <item x="83"/>
        <item x="72"/>
        <item x="84"/>
        <item x="85"/>
        <item x="86"/>
        <item x="49"/>
        <item x="87"/>
        <item x="88"/>
        <item x="89"/>
        <item x="90"/>
        <item x="91"/>
        <item x="92"/>
        <item x="93"/>
        <item x="94"/>
        <item x="95"/>
        <item x="96"/>
        <item x="97"/>
        <item x="98"/>
        <item x="99"/>
        <item x="100"/>
        <item x="101"/>
        <item x="102"/>
        <item x="103"/>
        <item x="104"/>
        <item x="105"/>
        <item x="106"/>
        <item x="107"/>
        <item x="108"/>
        <item x="111"/>
        <item x="112"/>
        <item x="114"/>
        <item x="116"/>
        <item x="117"/>
        <item x="118"/>
        <item x="119"/>
        <item x="120"/>
        <item x="121"/>
        <item x="122"/>
        <item x="123"/>
        <item x="124"/>
        <item x="125"/>
        <item x="126"/>
        <item x="127"/>
        <item x="128"/>
        <item x="129"/>
        <item x="130"/>
        <item x="131"/>
        <item x="132"/>
        <item x="133"/>
        <item x="134"/>
        <item x="135"/>
        <item x="136"/>
        <item x="137"/>
        <item x="138"/>
        <item x="139"/>
        <item x="140"/>
        <item x="141"/>
        <item x="20"/>
        <item x="34"/>
        <item x="46"/>
        <item x="47"/>
        <item x="48"/>
        <item x="50"/>
        <item x="70"/>
        <item x="109"/>
        <item x="110"/>
        <item x="113"/>
        <item x="142"/>
        <item x="143"/>
        <item x="144"/>
        <item x="145"/>
        <item x="146"/>
        <item x="147"/>
        <item x="115"/>
        <item x="148"/>
        <item x="149"/>
        <item x="150"/>
        <item x="151"/>
        <item x="152"/>
        <item x="153"/>
        <item x="154"/>
        <item x="155"/>
        <item x="156"/>
        <item x="157"/>
        <item x="158"/>
        <item x="159"/>
        <item x="160"/>
        <item x="161"/>
        <item x="162"/>
        <item x="163"/>
        <item x="164"/>
        <item x="165"/>
        <item t="default"/>
      </items>
    </pivotField>
    <pivotField compact="0"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2"/>
        <item x="43"/>
        <item x="44"/>
        <item x="45"/>
        <item x="46"/>
        <item x="47"/>
        <item x="48"/>
        <item x="49"/>
        <item x="50"/>
        <item x="51"/>
        <item x="52"/>
        <item x="53"/>
        <item x="54"/>
        <item x="55"/>
        <item x="56"/>
        <item x="57"/>
        <item x="58"/>
        <item x="59"/>
        <item x="61"/>
        <item x="62"/>
        <item x="63"/>
        <item x="64"/>
        <item x="65"/>
        <item x="66"/>
        <item x="67"/>
        <item x="68"/>
        <item x="69"/>
        <item x="70"/>
        <item x="71"/>
        <item x="72"/>
        <item x="73"/>
        <item x="74"/>
        <item x="75"/>
        <item x="76"/>
        <item x="77"/>
        <item x="78"/>
        <item x="79"/>
        <item x="80"/>
        <item x="81"/>
        <item x="82"/>
        <item x="83"/>
        <item x="41"/>
        <item x="60"/>
        <item x="84"/>
        <item x="85"/>
        <item x="86"/>
        <item x="87"/>
        <item x="88"/>
        <item x="89"/>
        <item x="90"/>
        <item x="91"/>
        <item x="92"/>
        <item x="93"/>
        <item x="94"/>
        <item t="default"/>
      </items>
    </pivotField>
    <pivotField axis="axisPage" compact="0" multipleItemSelectionAllowed="1" showAll="0">
      <items count="13">
        <item h="1" x="6"/>
        <item h="1" x="2"/>
        <item h="1" x="3"/>
        <item x="0"/>
        <item h="1" x="7"/>
        <item h="1" x="5"/>
        <item h="1" x="4"/>
        <item h="1" x="1"/>
        <item h="1" x="8"/>
        <item h="1" x="9"/>
        <item h="1" x="10"/>
        <item h="1" x="11"/>
        <item t="default"/>
      </items>
    </pivotField>
    <pivotField compact="0" showAll="0">
      <items count="2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83"/>
        <item x="152"/>
        <item x="182"/>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compact="0"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183"/>
        <item x="215"/>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compact="0" showAll="0">
      <items count="5">
        <item x="1"/>
        <item x="2"/>
        <item x="0"/>
        <item x="3"/>
        <item t="default"/>
      </items>
    </pivotField>
    <pivotField compact="0"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dataField="1" compact="0"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03"/>
        <item x="252"/>
        <item x="253"/>
        <item x="254"/>
        <item x="255"/>
        <item x="256"/>
        <item x="257"/>
        <item x="258"/>
        <item x="259"/>
        <item x="260"/>
        <item x="261"/>
        <item x="262"/>
        <item x="263"/>
        <item x="264"/>
        <item x="265"/>
        <item x="266"/>
        <item x="267"/>
        <item x="227"/>
        <item x="268"/>
        <item x="269"/>
        <item x="270"/>
        <item x="271"/>
        <item x="273"/>
        <item x="274"/>
        <item x="275"/>
        <item x="276"/>
        <item x="277"/>
        <item x="278"/>
        <item x="279"/>
        <item x="280"/>
        <item x="281"/>
        <item x="282"/>
        <item x="283"/>
        <item x="284"/>
        <item x="285"/>
        <item x="272"/>
        <item x="286"/>
        <item x="287"/>
        <item x="288"/>
        <item x="289"/>
        <item x="290"/>
        <item x="291"/>
        <item x="292"/>
        <item x="293"/>
        <item x="294"/>
        <item x="295"/>
        <item x="296"/>
        <item x="297"/>
        <item x="298"/>
        <item x="299"/>
        <item t="default"/>
      </items>
    </pivotField>
    <pivotField dataField="1" compact="0"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19"/>
        <item x="257"/>
        <item x="258"/>
        <item x="259"/>
        <item x="260"/>
        <item x="261"/>
        <item x="262"/>
        <item x="263"/>
        <item x="264"/>
        <item x="265"/>
        <item x="266"/>
        <item x="267"/>
        <item x="268"/>
        <item x="269"/>
        <item x="270"/>
        <item x="271"/>
        <item x="272"/>
        <item x="273"/>
        <item x="274"/>
        <item x="275"/>
        <item x="276"/>
        <item x="277"/>
        <item x="278"/>
        <item t="default"/>
      </items>
    </pivotField>
    <pivotField compact="0"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128"/>
        <item x="129"/>
        <item x="130"/>
        <item x="131"/>
        <item x="132"/>
        <item x="133"/>
        <item x="134"/>
        <item x="135"/>
        <item x="136"/>
        <item x="137"/>
        <item x="138"/>
        <item x="122"/>
        <item x="139"/>
        <item x="140"/>
        <item x="141"/>
        <item x="142"/>
        <item x="143"/>
        <item x="144"/>
        <item x="145"/>
        <item x="146"/>
        <item x="147"/>
        <item x="148"/>
        <item x="149"/>
        <item x="150"/>
        <item x="151"/>
        <item x="152"/>
        <item x="153"/>
        <item x="154"/>
        <item x="155"/>
        <item x="156"/>
        <item t="default"/>
      </items>
    </pivotField>
    <pivotField compact="0" showAll="0">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10"/>
        <item x="211"/>
        <item x="212"/>
        <item x="213"/>
        <item x="214"/>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16"/>
        <item x="259"/>
        <item x="260"/>
        <item x="261"/>
        <item x="262"/>
        <item x="263"/>
        <item x="264"/>
        <item x="265"/>
        <item x="266"/>
        <item x="267"/>
        <item x="268"/>
        <item x="269"/>
        <item x="270"/>
        <item x="271"/>
        <item x="272"/>
        <item x="273"/>
        <item x="274"/>
        <item x="275"/>
        <item x="209"/>
        <item x="276"/>
        <item x="277"/>
        <item x="278"/>
        <item x="279"/>
        <item x="280"/>
        <item x="281"/>
        <item x="282"/>
        <item x="283"/>
        <item x="284"/>
        <item x="285"/>
        <item x="286"/>
        <item x="287"/>
        <item x="288"/>
        <item x="289"/>
        <item x="290"/>
        <item t="default"/>
      </items>
    </pivotField>
    <pivotField axis="axisRow" compact="0" multipleItemSelectionAllowed="1" showAll="0">
      <items count="9">
        <item h="1" x="4"/>
        <item x="2"/>
        <item x="3"/>
        <item x="1"/>
        <item x="0"/>
        <item m="1" x="7"/>
        <item x="6"/>
        <item x="5"/>
        <item t="default"/>
      </items>
    </pivotField>
    <pivotField dataField="1" compact="0" showAll="0">
      <items count="7">
        <item x="0"/>
        <item x="1"/>
        <item x="2"/>
        <item x="3"/>
        <item x="4"/>
        <item x="5"/>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howAll="0">
      <items count="2">
        <item x="0"/>
        <item t="default"/>
      </items>
    </pivotField>
    <pivotField compact="0" showAll="0">
      <items count="3">
        <item x="0"/>
        <item x="1"/>
        <item t="default"/>
      </items>
    </pivotField>
    <pivotField compact="0" showAll="0">
      <items count="2">
        <item x="0"/>
        <item t="default"/>
      </items>
    </pivotField>
    <pivotField compact="0" showAll="0">
      <items count="2">
        <item x="0"/>
        <item t="default"/>
      </items>
    </pivotField>
    <pivotField axis="axisPage" compact="0" multipleItemSelectionAllowed="1" showAll="0">
      <items count="5">
        <item h="1" x="2"/>
        <item h="1" x="0"/>
        <item x="1"/>
        <item h="1" x="3"/>
        <item t="default"/>
      </items>
    </pivotField>
    <pivotField axis="axisPage" compact="0" multipleItemSelectionAllowed="1" showAll="0">
      <items count="14">
        <item x="8"/>
        <item x="9"/>
        <item x="10"/>
        <item x="12"/>
        <item x="0"/>
        <item h="1" x="1"/>
        <item h="1" x="2"/>
        <item h="1" x="3"/>
        <item h="1" x="7"/>
        <item h="1" x="6"/>
        <item h="1" x="5"/>
        <item h="1" x="4"/>
        <item h="1" x="11"/>
        <item t="default"/>
      </items>
    </pivotField>
    <pivotField axis="axisPage" compact="0" multipleItemSelectionAllowed="1" showAll="0">
      <items count="32">
        <item h="1" x="26"/>
        <item x="27"/>
        <item x="13"/>
        <item x="21"/>
        <item x="0"/>
        <item x="28"/>
        <item x="22"/>
        <item x="23"/>
        <item x="1"/>
        <item x="11"/>
        <item x="4"/>
        <item x="19"/>
        <item x="24"/>
        <item x="9"/>
        <item x="10"/>
        <item x="12"/>
        <item x="30"/>
        <item x="2"/>
        <item x="6"/>
        <item x="5"/>
        <item x="25"/>
        <item x="14"/>
        <item x="15"/>
        <item x="16"/>
        <item x="17"/>
        <item x="18"/>
        <item x="8"/>
        <item x="3"/>
        <item x="7"/>
        <item x="20"/>
        <item h="1" x="29"/>
        <item t="default"/>
      </items>
    </pivotField>
  </pivotFields>
  <rowFields count="1">
    <field x="12"/>
  </rowFields>
  <rowItems count="6">
    <i>
      <x v="1"/>
    </i>
    <i>
      <x v="2"/>
    </i>
    <i>
      <x v="3"/>
    </i>
    <i>
      <x v="4"/>
    </i>
    <i>
      <x v="7"/>
    </i>
    <i t="grand">
      <x/>
    </i>
  </rowItems>
  <colFields count="1">
    <field x="-2"/>
  </colFields>
  <colItems count="3">
    <i>
      <x/>
    </i>
    <i i="1">
      <x v="1"/>
    </i>
    <i i="2">
      <x v="2"/>
    </i>
  </colItems>
  <pageFields count="4">
    <pageField fld="23"/>
    <pageField fld="24"/>
    <pageField fld="25"/>
    <pageField fld="3"/>
  </pageFields>
  <dataFields count="3">
    <dataField name="计数项:接收部门" fld="13" subtotal="count" baseField="0" baseItem="0"/>
    <dataField name="求和项:费用金额" fld="8" baseField="0" baseItem="0"/>
    <dataField name="求和项:费用对应吨数" fld="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3"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27:C74" firstHeaderRow="0" firstDataRow="1" firstDataCol="1" rowPageCount="4" colPageCount="1"/>
  <pivotFields count="26">
    <pivotField compact="0" showAll="0">
      <items count="292">
        <item x="11"/>
        <item x="10"/>
        <item x="214"/>
        <item x="0"/>
        <item x="206"/>
        <item x="185"/>
        <item x="222"/>
        <item x="197"/>
        <item x="223"/>
        <item x="65"/>
        <item x="159"/>
        <item x="188"/>
        <item x="165"/>
        <item x="62"/>
        <item x="195"/>
        <item x="227"/>
        <item x="129"/>
        <item x="76"/>
        <item x="16"/>
        <item x="67"/>
        <item x="173"/>
        <item x="174"/>
        <item x="12"/>
        <item x="25"/>
        <item x="75"/>
        <item x="193"/>
        <item x="121"/>
        <item x="125"/>
        <item x="158"/>
        <item x="180"/>
        <item x="145"/>
        <item x="179"/>
        <item x="170"/>
        <item x="61"/>
        <item x="48"/>
        <item x="60"/>
        <item x="47"/>
        <item x="66"/>
        <item x="80"/>
        <item x="143"/>
        <item x="2"/>
        <item x="40"/>
        <item x="208"/>
        <item x="23"/>
        <item x="69"/>
        <item x="73"/>
        <item x="204"/>
        <item x="77"/>
        <item x="126"/>
        <item x="127"/>
        <item x="150"/>
        <item x="89"/>
        <item x="74"/>
        <item x="79"/>
        <item x="101"/>
        <item x="172"/>
        <item x="135"/>
        <item x="215"/>
        <item x="216"/>
        <item x="134"/>
        <item x="72"/>
        <item x="149"/>
        <item x="232"/>
        <item x="199"/>
        <item x="78"/>
        <item x="7"/>
        <item x="24"/>
        <item x="27"/>
        <item x="111"/>
        <item x="63"/>
        <item x="45"/>
        <item x="87"/>
        <item x="21"/>
        <item x="166"/>
        <item x="86"/>
        <item x="177"/>
        <item x="178"/>
        <item x="42"/>
        <item x="109"/>
        <item x="64"/>
        <item x="110"/>
        <item x="181"/>
        <item x="233"/>
        <item x="207"/>
        <item x="131"/>
        <item x="120"/>
        <item x="147"/>
        <item x="224"/>
        <item x="119"/>
        <item x="171"/>
        <item x="236"/>
        <item x="228"/>
        <item x="205"/>
        <item x="231"/>
        <item x="230"/>
        <item x="6"/>
        <item x="4"/>
        <item x="3"/>
        <item x="5"/>
        <item x="46"/>
        <item x="22"/>
        <item x="44"/>
        <item x="117"/>
        <item x="133"/>
        <item x="118"/>
        <item x="132"/>
        <item x="194"/>
        <item x="141"/>
        <item x="148"/>
        <item x="142"/>
        <item x="240"/>
        <item x="241"/>
        <item x="225"/>
        <item x="160"/>
        <item x="128"/>
        <item x="103"/>
        <item x="137"/>
        <item x="90"/>
        <item x="88"/>
        <item x="100"/>
        <item x="136"/>
        <item x="196"/>
        <item x="192"/>
        <item x="85"/>
        <item x="84"/>
        <item x="168"/>
        <item x="198"/>
        <item x="221"/>
        <item x="43"/>
        <item x="104"/>
        <item x="38"/>
        <item x="209"/>
        <item x="57"/>
        <item x="58"/>
        <item x="37"/>
        <item x="31"/>
        <item x="29"/>
        <item x="28"/>
        <item x="35"/>
        <item x="34"/>
        <item x="36"/>
        <item x="33"/>
        <item x="41"/>
        <item x="32"/>
        <item x="30"/>
        <item x="17"/>
        <item x="201"/>
        <item x="157"/>
        <item x="210"/>
        <item x="191"/>
        <item x="156"/>
        <item x="19"/>
        <item x="153"/>
        <item x="154"/>
        <item x="96"/>
        <item x="97"/>
        <item x="182"/>
        <item x="183"/>
        <item x="187"/>
        <item x="184"/>
        <item x="186"/>
        <item x="82"/>
        <item x="9"/>
        <item x="26"/>
        <item x="167"/>
        <item x="123"/>
        <item x="122"/>
        <item x="124"/>
        <item x="169"/>
        <item x="146"/>
        <item x="200"/>
        <item x="144"/>
        <item x="238"/>
        <item x="237"/>
        <item x="239"/>
        <item x="50"/>
        <item x="99"/>
        <item x="219"/>
        <item x="234"/>
        <item x="235"/>
        <item x="51"/>
        <item x="70"/>
        <item x="138"/>
        <item x="176"/>
        <item x="139"/>
        <item x="175"/>
        <item x="151"/>
        <item x="152"/>
        <item x="54"/>
        <item x="53"/>
        <item x="55"/>
        <item x="56"/>
        <item x="52"/>
        <item x="81"/>
        <item x="83"/>
        <item x="92"/>
        <item x="93"/>
        <item x="112"/>
        <item x="162"/>
        <item x="163"/>
        <item x="155"/>
        <item x="113"/>
        <item x="95"/>
        <item x="220"/>
        <item x="59"/>
        <item x="130"/>
        <item x="115"/>
        <item x="114"/>
        <item x="8"/>
        <item x="91"/>
        <item x="98"/>
        <item x="140"/>
        <item x="212"/>
        <item x="202"/>
        <item x="164"/>
        <item x="213"/>
        <item x="203"/>
        <item x="226"/>
        <item x="211"/>
        <item x="217"/>
        <item x="229"/>
        <item x="49"/>
        <item x="15"/>
        <item x="105"/>
        <item x="14"/>
        <item x="13"/>
        <item x="71"/>
        <item x="106"/>
        <item x="189"/>
        <item x="107"/>
        <item x="108"/>
        <item x="161"/>
        <item x="94"/>
        <item x="18"/>
        <item x="68"/>
        <item x="39"/>
        <item x="20"/>
        <item x="1"/>
        <item x="242"/>
        <item x="243"/>
        <item x="244"/>
        <item x="245"/>
        <item x="246"/>
        <item x="247"/>
        <item x="248"/>
        <item x="249"/>
        <item x="250"/>
        <item x="251"/>
        <item x="252"/>
        <item x="253"/>
        <item x="254"/>
        <item x="255"/>
        <item x="256"/>
        <item x="257"/>
        <item x="258"/>
        <item x="102"/>
        <item x="116"/>
        <item x="190"/>
        <item x="21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compact="0" showAll="0">
      <items count="167">
        <item x="0"/>
        <item x="1"/>
        <item x="2"/>
        <item x="3"/>
        <item x="4"/>
        <item x="5"/>
        <item x="6"/>
        <item x="7"/>
        <item x="8"/>
        <item x="9"/>
        <item x="10"/>
        <item x="11"/>
        <item x="12"/>
        <item x="13"/>
        <item x="14"/>
        <item x="15"/>
        <item x="16"/>
        <item x="17"/>
        <item x="18"/>
        <item x="19"/>
        <item x="76"/>
        <item x="21"/>
        <item x="22"/>
        <item x="23"/>
        <item x="24"/>
        <item x="25"/>
        <item x="26"/>
        <item x="27"/>
        <item x="28"/>
        <item x="29"/>
        <item x="30"/>
        <item x="31"/>
        <item x="32"/>
        <item x="33"/>
        <item x="35"/>
        <item x="36"/>
        <item x="37"/>
        <item x="38"/>
        <item x="39"/>
        <item x="40"/>
        <item x="41"/>
        <item x="42"/>
        <item x="43"/>
        <item x="44"/>
        <item x="45"/>
        <item x="51"/>
        <item x="52"/>
        <item x="53"/>
        <item x="54"/>
        <item x="55"/>
        <item x="56"/>
        <item x="57"/>
        <item x="58"/>
        <item x="59"/>
        <item x="60"/>
        <item x="61"/>
        <item x="62"/>
        <item x="63"/>
        <item x="64"/>
        <item x="65"/>
        <item x="66"/>
        <item x="68"/>
        <item x="71"/>
        <item x="73"/>
        <item x="67"/>
        <item x="69"/>
        <item x="74"/>
        <item x="75"/>
        <item x="77"/>
        <item x="78"/>
        <item x="79"/>
        <item x="80"/>
        <item x="81"/>
        <item x="82"/>
        <item x="83"/>
        <item x="72"/>
        <item x="84"/>
        <item x="85"/>
        <item x="86"/>
        <item x="49"/>
        <item x="87"/>
        <item x="88"/>
        <item x="89"/>
        <item x="90"/>
        <item x="91"/>
        <item x="92"/>
        <item x="93"/>
        <item x="94"/>
        <item x="95"/>
        <item x="96"/>
        <item x="97"/>
        <item x="98"/>
        <item x="99"/>
        <item x="100"/>
        <item x="101"/>
        <item x="102"/>
        <item x="103"/>
        <item x="104"/>
        <item x="105"/>
        <item x="106"/>
        <item x="107"/>
        <item x="108"/>
        <item x="111"/>
        <item x="112"/>
        <item x="114"/>
        <item x="116"/>
        <item x="117"/>
        <item x="118"/>
        <item x="119"/>
        <item x="120"/>
        <item x="121"/>
        <item x="122"/>
        <item x="123"/>
        <item x="124"/>
        <item x="125"/>
        <item x="126"/>
        <item x="127"/>
        <item x="128"/>
        <item x="129"/>
        <item x="130"/>
        <item x="131"/>
        <item x="132"/>
        <item x="133"/>
        <item x="134"/>
        <item x="135"/>
        <item x="136"/>
        <item x="137"/>
        <item x="138"/>
        <item x="139"/>
        <item x="140"/>
        <item x="141"/>
        <item x="20"/>
        <item x="34"/>
        <item x="46"/>
        <item x="47"/>
        <item x="48"/>
        <item x="50"/>
        <item x="70"/>
        <item x="109"/>
        <item x="110"/>
        <item x="113"/>
        <item x="142"/>
        <item x="143"/>
        <item x="144"/>
        <item x="145"/>
        <item x="146"/>
        <item x="147"/>
        <item x="115"/>
        <item x="148"/>
        <item x="149"/>
        <item x="150"/>
        <item x="151"/>
        <item x="152"/>
        <item x="153"/>
        <item x="154"/>
        <item x="155"/>
        <item x="156"/>
        <item x="157"/>
        <item x="158"/>
        <item x="159"/>
        <item x="160"/>
        <item x="161"/>
        <item x="162"/>
        <item x="163"/>
        <item x="164"/>
        <item x="165"/>
        <item t="default"/>
      </items>
    </pivotField>
    <pivotField compact="0"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2"/>
        <item x="43"/>
        <item x="44"/>
        <item x="45"/>
        <item x="46"/>
        <item x="47"/>
        <item x="48"/>
        <item x="49"/>
        <item x="50"/>
        <item x="51"/>
        <item x="52"/>
        <item x="53"/>
        <item x="54"/>
        <item x="55"/>
        <item x="56"/>
        <item x="57"/>
        <item x="58"/>
        <item x="59"/>
        <item x="61"/>
        <item x="62"/>
        <item x="63"/>
        <item x="64"/>
        <item x="65"/>
        <item x="66"/>
        <item x="67"/>
        <item x="68"/>
        <item x="69"/>
        <item x="70"/>
        <item x="71"/>
        <item x="72"/>
        <item x="73"/>
        <item x="74"/>
        <item x="75"/>
        <item x="76"/>
        <item x="77"/>
        <item x="78"/>
        <item x="79"/>
        <item x="80"/>
        <item x="81"/>
        <item x="82"/>
        <item x="83"/>
        <item x="41"/>
        <item x="60"/>
        <item x="84"/>
        <item x="85"/>
        <item x="86"/>
        <item x="87"/>
        <item x="88"/>
        <item x="89"/>
        <item x="90"/>
        <item x="91"/>
        <item x="92"/>
        <item x="93"/>
        <item x="94"/>
        <item t="default"/>
      </items>
    </pivotField>
    <pivotField axis="axisPage" compact="0" multipleItemSelectionAllowed="1" showAll="0">
      <items count="13">
        <item h="1" x="6"/>
        <item h="1" x="2"/>
        <item h="1" x="3"/>
        <item x="0"/>
        <item h="1" x="7"/>
        <item h="1" x="5"/>
        <item h="1" x="4"/>
        <item h="1" x="1"/>
        <item h="1" x="8"/>
        <item h="1" x="9"/>
        <item h="1" x="10"/>
        <item h="1" x="11"/>
        <item t="default"/>
      </items>
    </pivotField>
    <pivotField compact="0" showAll="0">
      <items count="2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83"/>
        <item x="152"/>
        <item x="182"/>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compact="0"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183"/>
        <item x="215"/>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compact="0" showAll="0">
      <items count="5">
        <item x="1"/>
        <item x="2"/>
        <item x="0"/>
        <item x="3"/>
        <item t="default"/>
      </items>
    </pivotField>
    <pivotField axis="axisRow" compact="0" sortType="ascending" multipleItemSelectionAllowed="1" showAll="0">
      <items count="66">
        <item x="38"/>
        <item x="3"/>
        <item x="55"/>
        <item x="45"/>
        <item x="44"/>
        <item x="5"/>
        <item x="6"/>
        <item x="12"/>
        <item x="54"/>
        <item x="4"/>
        <item x="1"/>
        <item x="30"/>
        <item x="51"/>
        <item x="10"/>
        <item x="52"/>
        <item x="23"/>
        <item x="27"/>
        <item x="13"/>
        <item x="14"/>
        <item x="15"/>
        <item x="11"/>
        <item x="7"/>
        <item x="58"/>
        <item x="19"/>
        <item x="59"/>
        <item x="36"/>
        <item x="35"/>
        <item x="37"/>
        <item x="21"/>
        <item x="50"/>
        <item x="57"/>
        <item x="31"/>
        <item x="46"/>
        <item x="16"/>
        <item x="0"/>
        <item x="60"/>
        <item x="39"/>
        <item x="61"/>
        <item x="53"/>
        <item x="17"/>
        <item x="22"/>
        <item x="64"/>
        <item x="32"/>
        <item x="29"/>
        <item x="24"/>
        <item x="40"/>
        <item x="41"/>
        <item x="42"/>
        <item x="28"/>
        <item x="63"/>
        <item x="8"/>
        <item x="20"/>
        <item x="49"/>
        <item x="48"/>
        <item x="33"/>
        <item x="43"/>
        <item x="18"/>
        <item x="56"/>
        <item x="34"/>
        <item x="25"/>
        <item x="26"/>
        <item x="47"/>
        <item x="62"/>
        <item x="9"/>
        <item x="2"/>
        <item t="default"/>
      </items>
    </pivotField>
    <pivotField dataField="1" compact="0"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4"/>
        <item x="205"/>
        <item x="206"/>
        <item x="207"/>
        <item x="208"/>
        <item x="209"/>
        <item x="210"/>
        <item x="211"/>
        <item x="212"/>
        <item x="213"/>
        <item x="214"/>
        <item x="215"/>
        <item x="216"/>
        <item x="217"/>
        <item x="218"/>
        <item x="219"/>
        <item x="220"/>
        <item x="221"/>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03"/>
        <item x="252"/>
        <item x="253"/>
        <item x="254"/>
        <item x="255"/>
        <item x="256"/>
        <item x="257"/>
        <item x="258"/>
        <item x="259"/>
        <item x="260"/>
        <item x="261"/>
        <item x="262"/>
        <item x="263"/>
        <item x="264"/>
        <item x="265"/>
        <item x="266"/>
        <item x="267"/>
        <item x="227"/>
        <item x="268"/>
        <item x="269"/>
        <item x="270"/>
        <item x="271"/>
        <item x="273"/>
        <item x="274"/>
        <item x="275"/>
        <item x="276"/>
        <item x="277"/>
        <item x="278"/>
        <item x="279"/>
        <item x="280"/>
        <item x="281"/>
        <item x="282"/>
        <item x="283"/>
        <item x="284"/>
        <item x="285"/>
        <item x="272"/>
        <item x="286"/>
        <item x="287"/>
        <item x="288"/>
        <item x="289"/>
        <item x="290"/>
        <item x="291"/>
        <item x="292"/>
        <item x="293"/>
        <item x="294"/>
        <item x="295"/>
        <item x="296"/>
        <item x="297"/>
        <item x="298"/>
        <item x="299"/>
        <item t="default"/>
      </items>
    </pivotField>
    <pivotField dataField="1" compact="0"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19"/>
        <item x="257"/>
        <item x="258"/>
        <item x="259"/>
        <item x="260"/>
        <item x="261"/>
        <item x="262"/>
        <item x="263"/>
        <item x="264"/>
        <item x="265"/>
        <item x="266"/>
        <item x="267"/>
        <item x="268"/>
        <item x="269"/>
        <item x="270"/>
        <item x="271"/>
        <item x="272"/>
        <item x="273"/>
        <item x="274"/>
        <item x="275"/>
        <item x="276"/>
        <item x="277"/>
        <item x="278"/>
        <item t="default"/>
      </items>
    </pivotField>
    <pivotField compact="0"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128"/>
        <item x="129"/>
        <item x="130"/>
        <item x="131"/>
        <item x="132"/>
        <item x="133"/>
        <item x="134"/>
        <item x="135"/>
        <item x="136"/>
        <item x="137"/>
        <item x="138"/>
        <item x="122"/>
        <item x="139"/>
        <item x="140"/>
        <item x="141"/>
        <item x="142"/>
        <item x="143"/>
        <item x="144"/>
        <item x="145"/>
        <item x="146"/>
        <item x="147"/>
        <item x="148"/>
        <item x="149"/>
        <item x="150"/>
        <item x="151"/>
        <item x="152"/>
        <item x="153"/>
        <item x="154"/>
        <item x="155"/>
        <item x="156"/>
        <item t="default"/>
      </items>
    </pivotField>
    <pivotField compact="0" showAll="0">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10"/>
        <item x="211"/>
        <item x="212"/>
        <item x="213"/>
        <item x="214"/>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16"/>
        <item x="259"/>
        <item x="260"/>
        <item x="261"/>
        <item x="262"/>
        <item x="263"/>
        <item x="264"/>
        <item x="265"/>
        <item x="266"/>
        <item x="267"/>
        <item x="268"/>
        <item x="269"/>
        <item x="270"/>
        <item x="271"/>
        <item x="272"/>
        <item x="273"/>
        <item x="274"/>
        <item x="275"/>
        <item x="209"/>
        <item x="276"/>
        <item x="277"/>
        <item x="278"/>
        <item x="279"/>
        <item x="280"/>
        <item x="281"/>
        <item x="282"/>
        <item x="283"/>
        <item x="284"/>
        <item x="285"/>
        <item x="286"/>
        <item x="287"/>
        <item x="288"/>
        <item x="289"/>
        <item x="290"/>
        <item t="default"/>
      </items>
    </pivotField>
    <pivotField axis="axisPage" compact="0" multipleItemSelectionAllowed="1" showAll="0">
      <items count="9">
        <item h="1" x="4"/>
        <item x="2"/>
        <item x="3"/>
        <item x="1"/>
        <item x="0"/>
        <item m="1" x="7"/>
        <item x="6"/>
        <item x="5"/>
        <item t="default"/>
      </items>
    </pivotField>
    <pivotField compact="0" showAll="0">
      <items count="7">
        <item x="0"/>
        <item x="1"/>
        <item x="2"/>
        <item x="3"/>
        <item x="4"/>
        <item x="5"/>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3">
        <item x="0"/>
        <item x="1"/>
        <item t="default"/>
      </items>
    </pivotField>
    <pivotField compact="0" showAll="0">
      <items count="3">
        <item x="0"/>
        <item x="1"/>
        <item t="default"/>
      </items>
    </pivotField>
    <pivotField compact="0" showAll="0">
      <items count="2">
        <item x="0"/>
        <item t="default"/>
      </items>
    </pivotField>
    <pivotField compact="0" showAll="0">
      <items count="2">
        <item x="0"/>
        <item t="default"/>
      </items>
    </pivotField>
    <pivotField compact="0" showAll="0">
      <items count="3">
        <item x="0"/>
        <item x="1"/>
        <item t="default"/>
      </items>
    </pivotField>
    <pivotField compact="0" showAll="0">
      <items count="2">
        <item x="0"/>
        <item t="default"/>
      </items>
    </pivotField>
    <pivotField compact="0" showAll="0">
      <items count="2">
        <item x="0"/>
        <item t="default"/>
      </items>
    </pivotField>
    <pivotField axis="axisPage" compact="0" multipleItemSelectionAllowed="1" showAll="0">
      <items count="5">
        <item h="1" x="2"/>
        <item h="1" x="0"/>
        <item x="1"/>
        <item h="1" x="3"/>
        <item t="default"/>
      </items>
    </pivotField>
    <pivotField axis="axisPage" compact="0" multipleItemSelectionAllowed="1" showAll="0">
      <items count="14">
        <item x="8"/>
        <item x="9"/>
        <item x="10"/>
        <item x="12"/>
        <item x="0"/>
        <item h="1" x="1"/>
        <item h="1" x="2"/>
        <item h="1" x="3"/>
        <item h="1" x="7"/>
        <item h="1" x="6"/>
        <item h="1" x="5"/>
        <item h="1" x="4"/>
        <item h="1" x="11"/>
        <item t="default"/>
      </items>
    </pivotField>
    <pivotField compact="0" showAll="0"/>
  </pivotFields>
  <rowFields count="1">
    <field x="7"/>
  </rowFields>
  <rowItems count="47">
    <i>
      <x v="10"/>
    </i>
    <i>
      <x v="11"/>
    </i>
    <i>
      <x v="12"/>
    </i>
    <i>
      <x v="13"/>
    </i>
    <i>
      <x v="14"/>
    </i>
    <i>
      <x v="15"/>
    </i>
    <i>
      <x v="16"/>
    </i>
    <i>
      <x v="17"/>
    </i>
    <i>
      <x v="18"/>
    </i>
    <i>
      <x v="19"/>
    </i>
    <i>
      <x v="23"/>
    </i>
    <i>
      <x v="25"/>
    </i>
    <i>
      <x v="26"/>
    </i>
    <i>
      <x v="27"/>
    </i>
    <i>
      <x v="28"/>
    </i>
    <i>
      <x v="29"/>
    </i>
    <i>
      <x v="30"/>
    </i>
    <i>
      <x v="31"/>
    </i>
    <i>
      <x v="32"/>
    </i>
    <i>
      <x v="33"/>
    </i>
    <i>
      <x v="34"/>
    </i>
    <i>
      <x v="35"/>
    </i>
    <i>
      <x v="36"/>
    </i>
    <i>
      <x v="37"/>
    </i>
    <i>
      <x v="39"/>
    </i>
    <i>
      <x v="40"/>
    </i>
    <i>
      <x v="41"/>
    </i>
    <i>
      <x v="42"/>
    </i>
    <i>
      <x v="43"/>
    </i>
    <i>
      <x v="44"/>
    </i>
    <i>
      <x v="45"/>
    </i>
    <i>
      <x v="46"/>
    </i>
    <i>
      <x v="47"/>
    </i>
    <i>
      <x v="48"/>
    </i>
    <i>
      <x v="49"/>
    </i>
    <i>
      <x v="51"/>
    </i>
    <i>
      <x v="52"/>
    </i>
    <i>
      <x v="53"/>
    </i>
    <i>
      <x v="54"/>
    </i>
    <i>
      <x v="55"/>
    </i>
    <i>
      <x v="56"/>
    </i>
    <i>
      <x v="57"/>
    </i>
    <i>
      <x v="58"/>
    </i>
    <i>
      <x v="59"/>
    </i>
    <i>
      <x v="60"/>
    </i>
    <i>
      <x v="61"/>
    </i>
    <i t="grand">
      <x/>
    </i>
  </rowItems>
  <colFields count="1">
    <field x="-2"/>
  </colFields>
  <colItems count="2">
    <i>
      <x/>
    </i>
    <i i="1">
      <x v="1"/>
    </i>
  </colItems>
  <pageFields count="4">
    <pageField fld="23"/>
    <pageField fld="24"/>
    <pageField fld="3"/>
    <pageField fld="12"/>
  </pageFields>
  <dataFields count="2">
    <dataField name="求和项:费用金额" fld="8" baseField="0" baseItem="0"/>
    <dataField name="求和项:费用对应吨数" fld="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表1" displayName="表1" ref="A1:Z992" totalsRowShown="0">
  <autoFilter xmlns:etc="http://www.wps.cn/officeDocument/2017/etCustomData" ref="A1:Z992" etc:filterBottomFollowUsedRange="0">
    <filterColumn colId="2">
      <filters blank="1"/>
    </filterColumn>
  </autoFilter>
  <sortState ref="A1:Z992">
    <sortCondition ref="B1"/>
  </sortState>
  <tableColumns count="26">
    <tableColumn id="1" name="联系单编号" dataDxfId="0"/>
    <tableColumn id="2" name="费用发生时间" dataDxfId="1"/>
    <tableColumn id="3" name="费用申请时间" dataDxfId="2"/>
    <tableColumn id="24" name="费用类型" dataDxfId="3"/>
    <tableColumn id="25" name="主题" dataDxfId="4"/>
    <tableColumn id="4" name="内容" dataDxfId="5"/>
    <tableColumn id="5" name="销售溢价是否覆盖扣款费用" dataDxfId="6"/>
    <tableColumn id="6" name="费用原因分类" dataDxfId="7"/>
    <tableColumn id="23" name="费用金额" dataDxfId="8"/>
    <tableColumn id="7" name="费用对应吨数" dataDxfId="9"/>
    <tableColumn id="8" name="费用对应大船名" dataDxfId="10"/>
    <tableColumn id="9" name="费用对应销售合同号" dataDxfId="11"/>
    <tableColumn id="21" name="发出部门" dataDxfId="12"/>
    <tableColumn id="22" name="接收部门" dataDxfId="13"/>
    <tableColumn id="10" name="发起人" dataDxfId="14"/>
    <tableColumn id="11" name="复核人1" dataDxfId="15"/>
    <tableColumn id="12" name="复核人2" dataDxfId="16"/>
    <tableColumn id="13" name="复核人3" dataDxfId="17"/>
    <tableColumn id="14" name="复核人4" dataDxfId="18"/>
    <tableColumn id="15" name="复核人5" dataDxfId="19"/>
    <tableColumn id="16" name="费用最终承担方" dataDxfId="20"/>
    <tableColumn id="17" name="承担方名称/对应合同号" dataDxfId="21"/>
    <tableColumn id="18" name="复核结果备注" dataDxfId="22"/>
    <tableColumn id="19" name="年" dataDxfId="23">
      <calculatedColumnFormula>YEAR(C2)</calculatedColumnFormula>
    </tableColumn>
    <tableColumn id="26" name="月" dataDxfId="24">
      <calculatedColumnFormula>MONTH(C2)</calculatedColumnFormula>
    </tableColumn>
    <tableColumn id="20" name="日" dataDxfId="25">
      <calculatedColumnFormula>DAY(C2)</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4"/>
  <sheetViews>
    <sheetView tabSelected="1" topLeftCell="A4" workbookViewId="0">
      <selection activeCell="A14" sqref="A14:H20"/>
    </sheetView>
  </sheetViews>
  <sheetFormatPr defaultColWidth="9.02654867256637" defaultRowHeight="13.5"/>
  <cols>
    <col min="1" max="8" width="13.1504424778761" customWidth="1"/>
    <col min="9" max="11" width="12.7964601769912"/>
  </cols>
  <sheetData>
    <row r="1" customHeight="1" spans="1:8">
      <c r="A1" t="s">
        <v>0</v>
      </c>
      <c r="B1" s="142">
        <v>2026</v>
      </c>
    </row>
    <row r="2" spans="1:8">
      <c r="A2" t="s">
        <v>1</v>
      </c>
      <c r="B2" t="s">
        <v>2</v>
      </c>
    </row>
    <row r="3" spans="1:8">
      <c r="A3" t="s">
        <v>3</v>
      </c>
      <c r="B3" t="s">
        <v>2</v>
      </c>
    </row>
    <row r="4" spans="1:8">
      <c r="A4" t="s">
        <v>4</v>
      </c>
      <c r="B4" t="s">
        <v>5</v>
      </c>
    </row>
    <row r="6" spans="1:8">
      <c r="A6" t="s">
        <v>6</v>
      </c>
      <c r="B6" t="s">
        <v>7</v>
      </c>
      <c r="C6" t="s">
        <v>8</v>
      </c>
      <c r="D6" t="s">
        <v>9</v>
      </c>
    </row>
    <row r="7" spans="1:8">
      <c r="A7" t="s">
        <v>10</v>
      </c>
      <c r="B7">
        <v>93</v>
      </c>
      <c r="C7">
        <v>1285283.875</v>
      </c>
      <c r="D7">
        <v>90752.50404</v>
      </c>
    </row>
    <row r="8" spans="1:8">
      <c r="A8" t="s">
        <v>11</v>
      </c>
      <c r="B8">
        <v>22</v>
      </c>
      <c r="C8">
        <v>141253.65</v>
      </c>
      <c r="D8">
        <v>18500.88</v>
      </c>
    </row>
    <row r="9" spans="1:8">
      <c r="A9" t="s">
        <v>12</v>
      </c>
      <c r="B9">
        <v>23</v>
      </c>
      <c r="C9">
        <v>190180.41</v>
      </c>
      <c r="D9">
        <v>21207.914</v>
      </c>
    </row>
    <row r="10" spans="1:8">
      <c r="A10" t="s">
        <v>13</v>
      </c>
      <c r="B10">
        <v>49</v>
      </c>
      <c r="C10">
        <v>659855.18</v>
      </c>
      <c r="D10">
        <v>83159.9011</v>
      </c>
    </row>
    <row r="11" spans="1:8">
      <c r="A11" t="s">
        <v>14</v>
      </c>
      <c r="B11">
        <v>3</v>
      </c>
      <c r="C11">
        <v>38215.6</v>
      </c>
      <c r="D11">
        <v>2095.34</v>
      </c>
    </row>
    <row r="12" spans="1:8">
      <c r="A12" t="s">
        <v>15</v>
      </c>
      <c r="B12">
        <v>190</v>
      </c>
      <c r="C12">
        <v>2314788.715</v>
      </c>
      <c r="D12">
        <v>215716.53914</v>
      </c>
    </row>
    <row r="14" s="136" customFormat="1" ht="31.5" spans="1:8">
      <c r="A14" s="143" t="s">
        <v>16</v>
      </c>
      <c r="B14" s="143" t="s">
        <v>17</v>
      </c>
      <c r="C14" s="143" t="s">
        <v>18</v>
      </c>
      <c r="D14" s="143" t="s">
        <v>19</v>
      </c>
      <c r="E14" s="143" t="s">
        <v>20</v>
      </c>
      <c r="F14" s="143" t="s">
        <v>21</v>
      </c>
      <c r="G14" s="143" t="s">
        <v>22</v>
      </c>
      <c r="H14" s="143" t="s">
        <v>23</v>
      </c>
    </row>
    <row r="15" ht="15" spans="1:8">
      <c r="A15" s="144" t="s">
        <v>24</v>
      </c>
      <c r="B15" s="145">
        <v>93</v>
      </c>
      <c r="C15" s="146">
        <v>128.5283875</v>
      </c>
      <c r="D15" s="146">
        <v>9.075250404</v>
      </c>
      <c r="E15" s="146">
        <f t="shared" ref="E15:E20" si="0">C15/D15</f>
        <v>14.1625169310314</v>
      </c>
      <c r="F15" s="146">
        <v>91.88</v>
      </c>
      <c r="G15" s="146">
        <f t="shared" ref="G15:G20" si="1">C15/F15</f>
        <v>1.39887230626905</v>
      </c>
      <c r="H15" s="147">
        <f t="shared" ref="H15:H20" si="2">D15/F15</f>
        <v>0.0987728602960383</v>
      </c>
    </row>
    <row r="16" ht="15" spans="1:8">
      <c r="A16" s="144" t="s">
        <v>25</v>
      </c>
      <c r="B16" s="145">
        <v>22</v>
      </c>
      <c r="C16" s="146">
        <v>14.125365</v>
      </c>
      <c r="D16" s="146">
        <v>1.850088</v>
      </c>
      <c r="E16" s="146">
        <f t="shared" si="0"/>
        <v>7.63496925551649</v>
      </c>
      <c r="F16" s="146">
        <v>66.14</v>
      </c>
      <c r="G16" s="146">
        <f t="shared" si="1"/>
        <v>0.21356765951013</v>
      </c>
      <c r="H16" s="147">
        <f t="shared" si="2"/>
        <v>0.0279723011793166</v>
      </c>
    </row>
    <row r="17" ht="15" spans="1:12">
      <c r="A17" s="144" t="s">
        <v>26</v>
      </c>
      <c r="B17" s="145">
        <v>23</v>
      </c>
      <c r="C17" s="146">
        <v>19.018041</v>
      </c>
      <c r="D17" s="146">
        <v>2.1207914</v>
      </c>
      <c r="E17" s="146">
        <f t="shared" si="0"/>
        <v>8.96742649937189</v>
      </c>
      <c r="F17" s="146">
        <v>39.89</v>
      </c>
      <c r="G17" s="146">
        <f t="shared" si="1"/>
        <v>0.476762120832289</v>
      </c>
      <c r="H17" s="147">
        <f t="shared" si="2"/>
        <v>0.0531659914765605</v>
      </c>
    </row>
    <row r="18" ht="15" spans="1:12">
      <c r="A18" s="144" t="s">
        <v>27</v>
      </c>
      <c r="B18" s="145">
        <v>49</v>
      </c>
      <c r="C18" s="146">
        <v>65.985518</v>
      </c>
      <c r="D18" s="146">
        <v>8.31599011</v>
      </c>
      <c r="E18" s="146">
        <f t="shared" si="0"/>
        <v>7.9347759108867</v>
      </c>
      <c r="F18" s="146">
        <v>44.51</v>
      </c>
      <c r="G18" s="146">
        <f t="shared" si="1"/>
        <v>1.48248748595821</v>
      </c>
      <c r="H18" s="147">
        <f t="shared" si="2"/>
        <v>0.186834197034374</v>
      </c>
    </row>
    <row r="19" ht="15" spans="1:12">
      <c r="A19" s="144" t="s">
        <v>28</v>
      </c>
      <c r="B19" s="145">
        <v>3</v>
      </c>
      <c r="C19" s="146">
        <v>3.82156</v>
      </c>
      <c r="D19" s="146">
        <v>0.209534</v>
      </c>
      <c r="E19" s="146">
        <f t="shared" si="0"/>
        <v>18.2383765880478</v>
      </c>
      <c r="F19" s="146">
        <v>32.81</v>
      </c>
      <c r="G19" s="146">
        <f t="shared" si="1"/>
        <v>0.116475464797318</v>
      </c>
      <c r="H19" s="147">
        <f t="shared" si="2"/>
        <v>0.00638628466930814</v>
      </c>
    </row>
    <row r="20" ht="14.6" spans="1:12">
      <c r="A20" s="148" t="s">
        <v>15</v>
      </c>
      <c r="B20" s="149">
        <v>190</v>
      </c>
      <c r="C20" s="150">
        <v>231.4788715</v>
      </c>
      <c r="D20" s="150">
        <v>21.571653914</v>
      </c>
      <c r="E20" s="150">
        <f t="shared" si="0"/>
        <v>10.7306965160316</v>
      </c>
      <c r="F20" s="150">
        <v>275.23</v>
      </c>
      <c r="G20" s="150">
        <f t="shared" si="1"/>
        <v>0.841037937361479</v>
      </c>
      <c r="H20" s="151">
        <f t="shared" si="2"/>
        <v>0.0783768263416052</v>
      </c>
    </row>
    <row r="21" spans="1:12">
      <c r="C21">
        <v>10000</v>
      </c>
    </row>
    <row r="22" spans="1:12">
      <c r="A22" t="s">
        <v>0</v>
      </c>
      <c r="B22" s="142">
        <v>2026</v>
      </c>
    </row>
    <row r="23" spans="1:12">
      <c r="A23" t="s">
        <v>1</v>
      </c>
      <c r="B23" t="s">
        <v>2</v>
      </c>
    </row>
    <row r="24" spans="1:12">
      <c r="A24" t="s">
        <v>4</v>
      </c>
      <c r="B24" t="s">
        <v>5</v>
      </c>
    </row>
    <row r="25" spans="1:12">
      <c r="A25" t="s">
        <v>6</v>
      </c>
      <c r="B25" t="s">
        <v>2</v>
      </c>
    </row>
    <row r="27" ht="15.75" spans="1:12">
      <c r="A27" t="s">
        <v>29</v>
      </c>
      <c r="B27" t="s">
        <v>8</v>
      </c>
      <c r="C27" t="s">
        <v>9</v>
      </c>
      <c r="F27" s="152" t="s">
        <v>6</v>
      </c>
      <c r="G27" s="152" t="s">
        <v>18</v>
      </c>
      <c r="H27" s="152" t="s">
        <v>30</v>
      </c>
      <c r="I27" s="152" t="s">
        <v>31</v>
      </c>
      <c r="J27" s="152" t="s">
        <v>32</v>
      </c>
      <c r="K27" s="152" t="s">
        <v>33</v>
      </c>
      <c r="L27" s="152" t="s">
        <v>22</v>
      </c>
    </row>
    <row r="28" ht="15" spans="1:12">
      <c r="A28" t="s">
        <v>34</v>
      </c>
      <c r="B28">
        <v>308270.82</v>
      </c>
      <c r="C28">
        <v>21081.678</v>
      </c>
      <c r="F28" s="144" t="s">
        <v>24</v>
      </c>
      <c r="G28" s="146">
        <v>110.0005485</v>
      </c>
      <c r="H28" s="146">
        <v>110.0005485</v>
      </c>
      <c r="I28" s="146">
        <v>8.504767904</v>
      </c>
      <c r="J28" s="146">
        <f>H28/I28</f>
        <v>12.9339859407879</v>
      </c>
      <c r="K28" s="146">
        <v>58.6033027000001</v>
      </c>
      <c r="L28" s="146">
        <f t="shared" ref="L28:L33" si="3">H28/K28</f>
        <v>1.87703667595512</v>
      </c>
    </row>
    <row r="29" ht="15" spans="1:12">
      <c r="A29" t="s">
        <v>35</v>
      </c>
      <c r="B29">
        <v>42834.1</v>
      </c>
      <c r="C29">
        <v>1951.44</v>
      </c>
      <c r="F29" s="144" t="s">
        <v>25</v>
      </c>
      <c r="G29" s="146">
        <v>10.126227</v>
      </c>
      <c r="H29" s="146">
        <v>10.126227</v>
      </c>
      <c r="I29" s="146">
        <v>1.835137</v>
      </c>
      <c r="J29" s="146">
        <f>H29/I29</f>
        <v>5.51796786833899</v>
      </c>
      <c r="K29" s="146">
        <v>40.1055934</v>
      </c>
      <c r="L29" s="146">
        <f t="shared" si="3"/>
        <v>0.252489145317072</v>
      </c>
    </row>
    <row r="30" ht="15" spans="1:12">
      <c r="A30" t="s">
        <v>36</v>
      </c>
      <c r="B30">
        <v>364.08</v>
      </c>
      <c r="C30">
        <v>30.74</v>
      </c>
      <c r="F30" s="144" t="s">
        <v>26</v>
      </c>
      <c r="G30" s="146">
        <v>18.819648</v>
      </c>
      <c r="H30" s="146">
        <v>18.819648</v>
      </c>
      <c r="I30" s="146">
        <v>2.0740954</v>
      </c>
      <c r="J30" s="146">
        <f>H30/I30</f>
        <v>9.07366556041733</v>
      </c>
      <c r="K30" s="146">
        <v>25.6114439</v>
      </c>
      <c r="L30" s="146">
        <f t="shared" si="3"/>
        <v>0.734814018041365</v>
      </c>
    </row>
    <row r="31" ht="15" spans="1:12">
      <c r="A31" t="s">
        <v>37</v>
      </c>
      <c r="B31">
        <v>1582.8</v>
      </c>
      <c r="C31">
        <v>337.562</v>
      </c>
      <c r="F31" s="144" t="s">
        <v>27</v>
      </c>
      <c r="G31" s="146">
        <v>45.764981</v>
      </c>
      <c r="H31" s="146">
        <v>45.764981</v>
      </c>
      <c r="I31" s="146">
        <v>7.55632</v>
      </c>
      <c r="J31" s="146">
        <f>H31/I31</f>
        <v>6.05651706121498</v>
      </c>
      <c r="K31" s="146">
        <v>27.52568</v>
      </c>
      <c r="L31" s="146">
        <f t="shared" si="3"/>
        <v>1.66262853451758</v>
      </c>
    </row>
    <row r="32" ht="15" spans="1:12">
      <c r="A32" t="s">
        <v>38</v>
      </c>
      <c r="B32"/>
      <c r="C32"/>
      <c r="F32" s="144" t="s">
        <v>28</v>
      </c>
      <c r="G32" s="146">
        <v>3.82156</v>
      </c>
      <c r="H32" s="146">
        <v>3.82156</v>
      </c>
      <c r="I32" s="146">
        <v>0.209534</v>
      </c>
      <c r="J32" s="146">
        <f>H32/I32</f>
        <v>18.2383765880478</v>
      </c>
      <c r="K32" s="146">
        <v>20.8135483</v>
      </c>
      <c r="L32" s="146">
        <f t="shared" si="3"/>
        <v>0.183609250326625</v>
      </c>
    </row>
    <row r="33" ht="14.6" spans="1:12">
      <c r="A33" t="s">
        <v>39</v>
      </c>
      <c r="B33">
        <v>248716.05</v>
      </c>
      <c r="C33">
        <v>10012.32</v>
      </c>
      <c r="F33" s="148" t="s">
        <v>15</v>
      </c>
      <c r="G33" s="150">
        <v>231.4788715</v>
      </c>
      <c r="H33" s="150">
        <v>98.99</v>
      </c>
      <c r="I33" s="150">
        <v>8.83</v>
      </c>
      <c r="J33" s="150">
        <v>37.57</v>
      </c>
      <c r="K33" s="150">
        <v>80.88</v>
      </c>
      <c r="L33" s="150">
        <f t="shared" si="3"/>
        <v>1.22391196834817</v>
      </c>
    </row>
    <row r="34" spans="1:12">
      <c r="A34" t="s">
        <v>40</v>
      </c>
      <c r="B34">
        <v>47116.625</v>
      </c>
      <c r="C34">
        <v>19.44</v>
      </c>
      <c r="G34">
        <f>G33-210.81</f>
        <v>20.6688715</v>
      </c>
      <c r="H34" s="153">
        <f>H33/$G$33</f>
        <v>0.427641621710602</v>
      </c>
      <c r="I34" s="153">
        <f>I33/$G$33</f>
        <v>0.0381460301010669</v>
      </c>
      <c r="J34" s="153">
        <f>J33/$G$33</f>
        <v>0.16230422999967</v>
      </c>
      <c r="K34" s="153">
        <f>K33/$G$33</f>
        <v>0.349405539589388</v>
      </c>
    </row>
    <row r="35" spans="1:12">
      <c r="A35" t="s">
        <v>41</v>
      </c>
      <c r="B35">
        <v>4950.3</v>
      </c>
      <c r="C35">
        <v>330.02</v>
      </c>
    </row>
    <row r="36" spans="1:12">
      <c r="A36" t="s">
        <v>42</v>
      </c>
      <c r="B36">
        <v>6352</v>
      </c>
      <c r="C36">
        <v>317.6</v>
      </c>
    </row>
    <row r="37" spans="1:12">
      <c r="A37" t="s">
        <v>43</v>
      </c>
      <c r="B37">
        <v>1977.9</v>
      </c>
      <c r="C37">
        <v>197.79</v>
      </c>
    </row>
    <row r="38" spans="1:12">
      <c r="A38" t="s">
        <v>44</v>
      </c>
      <c r="B38">
        <v>4309.1</v>
      </c>
      <c r="C38">
        <v>506.4</v>
      </c>
    </row>
    <row r="39" spans="1:12">
      <c r="A39" t="s">
        <v>45</v>
      </c>
      <c r="B39">
        <v>17140.4</v>
      </c>
      <c r="C39">
        <v>989.46</v>
      </c>
    </row>
    <row r="40" spans="1:12">
      <c r="A40" t="s">
        <v>46</v>
      </c>
      <c r="B40">
        <v>10533</v>
      </c>
      <c r="C40">
        <v>702.2</v>
      </c>
    </row>
    <row r="41" spans="1:12">
      <c r="A41" t="s">
        <v>47</v>
      </c>
      <c r="B41">
        <v>29877.6</v>
      </c>
      <c r="C41">
        <v>1052.93</v>
      </c>
    </row>
    <row r="42" spans="1:12">
      <c r="A42" t="s">
        <v>48</v>
      </c>
      <c r="B42">
        <v>39135.72</v>
      </c>
      <c r="C42">
        <v>2460.8</v>
      </c>
    </row>
    <row r="43" spans="1:12">
      <c r="A43" t="s">
        <v>49</v>
      </c>
      <c r="B43">
        <v>9787.76</v>
      </c>
      <c r="C43">
        <v>270</v>
      </c>
    </row>
    <row r="44" spans="1:12">
      <c r="A44" t="s">
        <v>50</v>
      </c>
      <c r="B44">
        <v>4272.73</v>
      </c>
      <c r="C44">
        <v>519.76</v>
      </c>
    </row>
    <row r="45" spans="1:12">
      <c r="A45" t="s">
        <v>51</v>
      </c>
      <c r="B45">
        <v>521.23</v>
      </c>
      <c r="C45">
        <v>20352.5</v>
      </c>
    </row>
    <row r="46" spans="1:12">
      <c r="A46" t="s">
        <v>52</v>
      </c>
      <c r="B46">
        <v>422</v>
      </c>
      <c r="C46">
        <v>84.4</v>
      </c>
    </row>
    <row r="47" spans="1:12">
      <c r="A47" t="s">
        <v>53</v>
      </c>
      <c r="B47">
        <v>1530.6</v>
      </c>
      <c r="C47">
        <v>76.53</v>
      </c>
    </row>
    <row r="48" spans="1:12">
      <c r="A48" t="s">
        <v>54</v>
      </c>
      <c r="B48">
        <v>9630.02</v>
      </c>
      <c r="C48">
        <v>755.23</v>
      </c>
    </row>
    <row r="49" spans="1:3">
      <c r="A49" t="s">
        <v>55</v>
      </c>
      <c r="B49">
        <v>67418.87</v>
      </c>
      <c r="C49">
        <v>549.685</v>
      </c>
    </row>
    <row r="50" spans="1:3">
      <c r="A50" t="s">
        <v>56</v>
      </c>
      <c r="B50">
        <v>5360</v>
      </c>
      <c r="C50">
        <v>5.36</v>
      </c>
    </row>
    <row r="51" spans="1:3">
      <c r="A51" t="s">
        <v>57</v>
      </c>
      <c r="B51">
        <v>2176.8</v>
      </c>
      <c r="C51">
        <v>27.21</v>
      </c>
    </row>
    <row r="52" spans="1:3">
      <c r="A52" t="s">
        <v>58</v>
      </c>
      <c r="B52">
        <v>1223</v>
      </c>
      <c r="C52">
        <v>61.15</v>
      </c>
    </row>
    <row r="53" spans="1:3">
      <c r="A53" t="s">
        <v>59</v>
      </c>
      <c r="B53">
        <v>1506.6</v>
      </c>
      <c r="C53">
        <v>75.33</v>
      </c>
    </row>
    <row r="54" spans="1:3">
      <c r="A54" t="s">
        <v>60</v>
      </c>
      <c r="B54">
        <v>45000</v>
      </c>
      <c r="C54">
        <v>446.5</v>
      </c>
    </row>
    <row r="55" spans="1:3">
      <c r="A55" t="s">
        <v>61</v>
      </c>
      <c r="B55">
        <v>80094.05</v>
      </c>
      <c r="C55">
        <v>10544.74</v>
      </c>
    </row>
    <row r="56" spans="1:3">
      <c r="A56" t="s">
        <v>62</v>
      </c>
      <c r="B56">
        <v>171813.58</v>
      </c>
      <c r="C56">
        <v>32972.58</v>
      </c>
    </row>
    <row r="57" spans="1:3">
      <c r="A57" t="s">
        <v>63</v>
      </c>
      <c r="B57">
        <v>21154.44</v>
      </c>
      <c r="C57">
        <v>7197.15704</v>
      </c>
    </row>
    <row r="58" spans="1:3">
      <c r="A58" t="s">
        <v>64</v>
      </c>
      <c r="B58">
        <v>8926.81</v>
      </c>
      <c r="C58">
        <v>563.98</v>
      </c>
    </row>
    <row r="59" spans="1:3">
      <c r="A59" t="s">
        <v>65</v>
      </c>
      <c r="B59">
        <v>6971.7</v>
      </c>
      <c r="C59">
        <v>397.59</v>
      </c>
    </row>
    <row r="60" spans="1:3">
      <c r="A60" t="s">
        <v>66</v>
      </c>
      <c r="B60">
        <v>15682.4</v>
      </c>
      <c r="C60">
        <v>784.12</v>
      </c>
    </row>
    <row r="61" spans="1:3">
      <c r="A61" t="s">
        <v>67</v>
      </c>
      <c r="B61">
        <v>120865.44</v>
      </c>
      <c r="C61">
        <v>5536.574</v>
      </c>
    </row>
    <row r="62" spans="1:3">
      <c r="A62" t="s">
        <v>68</v>
      </c>
      <c r="B62">
        <v>14508.88</v>
      </c>
      <c r="C62">
        <v>15.02</v>
      </c>
    </row>
    <row r="63" spans="1:3">
      <c r="A63" t="s">
        <v>69</v>
      </c>
      <c r="B63">
        <v>445767.6</v>
      </c>
      <c r="C63">
        <v>51392.308</v>
      </c>
    </row>
    <row r="64" spans="1:3">
      <c r="A64" t="s">
        <v>70</v>
      </c>
      <c r="B64">
        <v>27840.4</v>
      </c>
      <c r="C64">
        <v>1392.02</v>
      </c>
    </row>
    <row r="65" spans="1:3">
      <c r="A65" t="s">
        <v>71</v>
      </c>
      <c r="B65">
        <v>21838.5</v>
      </c>
      <c r="C65">
        <v>873.54</v>
      </c>
    </row>
    <row r="66" spans="1:3">
      <c r="A66" t="s">
        <v>72</v>
      </c>
      <c r="B66">
        <v>36388.5</v>
      </c>
      <c r="C66">
        <v>2009.36</v>
      </c>
    </row>
    <row r="67" spans="1:3">
      <c r="A67" t="s">
        <v>73</v>
      </c>
      <c r="B67">
        <v>15041.16</v>
      </c>
      <c r="C67">
        <v>791.64</v>
      </c>
    </row>
    <row r="68" spans="1:3">
      <c r="A68" t="s">
        <v>74</v>
      </c>
      <c r="B68">
        <v>52639.7</v>
      </c>
      <c r="C68">
        <v>20127.41</v>
      </c>
    </row>
    <row r="69" spans="1:3">
      <c r="A69" t="s">
        <v>75</v>
      </c>
      <c r="B69">
        <v>105583.2</v>
      </c>
      <c r="C69">
        <v>5117.958</v>
      </c>
    </row>
    <row r="70" spans="1:3">
      <c r="A70" t="s">
        <v>76</v>
      </c>
      <c r="B70">
        <v>79988.24</v>
      </c>
      <c r="C70">
        <v>1999.706</v>
      </c>
    </row>
    <row r="71" spans="1:3">
      <c r="A71" t="s">
        <v>77</v>
      </c>
      <c r="B71">
        <v>156901.29</v>
      </c>
      <c r="C71">
        <v>10289.7311</v>
      </c>
    </row>
    <row r="72" spans="1:3">
      <c r="A72" t="s">
        <v>78</v>
      </c>
      <c r="B72">
        <v>6371.22</v>
      </c>
      <c r="C72">
        <v>209.04</v>
      </c>
    </row>
    <row r="73" spans="1:3">
      <c r="A73" t="s">
        <v>79</v>
      </c>
      <c r="B73">
        <v>14401.5</v>
      </c>
      <c r="C73">
        <v>288.03</v>
      </c>
    </row>
    <row r="74" spans="1:3">
      <c r="A74" t="s">
        <v>15</v>
      </c>
      <c r="B74">
        <v>2314788.715</v>
      </c>
      <c r="C74">
        <v>215716.53914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2"/>
  <sheetViews>
    <sheetView workbookViewId="0">
      <pane ySplit="1" topLeftCell="A150" activePane="bottomLeft" state="frozen"/>
      <selection/>
      <selection pane="bottomLeft" activeCell="D237" sqref="D237"/>
    </sheetView>
  </sheetViews>
  <sheetFormatPr defaultColWidth="15.4070796460177" defaultRowHeight="13.5"/>
  <cols>
    <col min="1" max="1" width="35.9203539823009" style="21" customWidth="1"/>
    <col min="2" max="2" width="22.5044247787611" style="24" customWidth="1"/>
    <col min="3" max="3" width="15.4070796460177" style="24" customWidth="1"/>
    <col min="4" max="5" width="15.4070796460177" style="25" customWidth="1"/>
    <col min="6" max="6" width="13.5929203539823" style="21" customWidth="1"/>
    <col min="7" max="7" width="40.787610619469" style="21" customWidth="1"/>
    <col min="8" max="8" width="109.982300884956" style="21" customWidth="1"/>
    <col min="9" max="9" width="20.9115044247788" style="21" customWidth="1"/>
    <col min="10" max="10" width="18.2477876106195" style="21" customWidth="1"/>
    <col min="11" max="11" width="15.4070796460177" style="21" customWidth="1"/>
    <col min="12" max="12" width="16.8053097345133" style="21" customWidth="1"/>
    <col min="13" max="13" width="23.7522123893805" style="21" customWidth="1"/>
    <col min="14" max="14" width="20.6283185840708" style="21" customWidth="1"/>
    <col min="15" max="21" width="15.4070796460177" style="21" customWidth="1"/>
    <col min="22" max="22" width="36.9203539823009" style="21" customWidth="1"/>
    <col min="23" max="26" width="15.4070796460177" style="21" customWidth="1"/>
    <col min="27" max="16384" width="15.4070796460177" style="21"/>
  </cols>
  <sheetData>
    <row r="1" s="21" customFormat="1" ht="28" customHeight="1" spans="1:26">
      <c r="A1" s="26" t="s">
        <v>80</v>
      </c>
      <c r="B1" s="27" t="s">
        <v>81</v>
      </c>
      <c r="C1" s="27" t="s">
        <v>82</v>
      </c>
      <c r="D1" s="26" t="s">
        <v>4</v>
      </c>
      <c r="E1" s="26" t="s">
        <v>83</v>
      </c>
      <c r="F1" s="26" t="s">
        <v>84</v>
      </c>
      <c r="G1" s="26" t="s">
        <v>85</v>
      </c>
      <c r="H1" s="26" t="s">
        <v>29</v>
      </c>
      <c r="I1" s="26" t="s">
        <v>86</v>
      </c>
      <c r="J1" s="26" t="s">
        <v>87</v>
      </c>
      <c r="K1" s="26" t="s">
        <v>88</v>
      </c>
      <c r="L1" s="26" t="s">
        <v>89</v>
      </c>
      <c r="M1" s="26" t="s">
        <v>6</v>
      </c>
      <c r="N1" s="26" t="s">
        <v>90</v>
      </c>
      <c r="O1" s="26" t="s">
        <v>91</v>
      </c>
      <c r="P1" s="26" t="s">
        <v>92</v>
      </c>
      <c r="Q1" s="26" t="s">
        <v>93</v>
      </c>
      <c r="R1" s="26" t="s">
        <v>94</v>
      </c>
      <c r="S1" s="26" t="s">
        <v>95</v>
      </c>
      <c r="T1" s="26" t="s">
        <v>96</v>
      </c>
      <c r="U1" s="28" t="s">
        <v>97</v>
      </c>
      <c r="V1" s="28" t="s">
        <v>98</v>
      </c>
      <c r="W1" s="28" t="s">
        <v>99</v>
      </c>
      <c r="X1" s="29" t="s">
        <v>0</v>
      </c>
      <c r="Y1" s="29" t="s">
        <v>1</v>
      </c>
      <c r="Z1" s="29" t="s">
        <v>3</v>
      </c>
    </row>
    <row r="2" ht="409.5" hidden="1" spans="1:26">
      <c r="A2" s="30" t="s">
        <v>100</v>
      </c>
      <c r="B2" s="31">
        <v>45752</v>
      </c>
      <c r="C2" s="31">
        <v>45782</v>
      </c>
      <c r="D2" s="30" t="s">
        <v>5</v>
      </c>
      <c r="E2" s="26" t="s">
        <v>101</v>
      </c>
      <c r="F2" s="26" t="s">
        <v>102</v>
      </c>
      <c r="G2" s="26"/>
      <c r="H2" s="26" t="s">
        <v>54</v>
      </c>
      <c r="I2" s="30">
        <v>2099.7</v>
      </c>
      <c r="J2" s="30">
        <v>209.97</v>
      </c>
      <c r="K2" s="30"/>
      <c r="L2" s="30"/>
      <c r="M2" s="26" t="s">
        <v>13</v>
      </c>
      <c r="N2" s="32" t="s">
        <v>103</v>
      </c>
      <c r="O2" s="30" t="s">
        <v>104</v>
      </c>
      <c r="P2" s="30" t="s">
        <v>13</v>
      </c>
      <c r="Q2" s="30" t="s">
        <v>105</v>
      </c>
      <c r="R2" s="30"/>
      <c r="S2" s="30"/>
      <c r="T2" s="30"/>
      <c r="U2" s="30" t="s">
        <v>106</v>
      </c>
      <c r="V2" s="30"/>
      <c r="W2" s="30"/>
      <c r="X2" s="33">
        <f t="shared" ref="X2:X65" si="0">YEAR(C2)</f>
        <v>2025</v>
      </c>
      <c r="Y2" s="33">
        <f t="shared" ref="Y2:Y65" si="1">MONTH(C2)</f>
        <v>5</v>
      </c>
      <c r="Z2" s="33">
        <f t="shared" ref="Z2:Z65" si="2">DAY(C2)</f>
        <v>5</v>
      </c>
    </row>
    <row r="3" ht="409.5" hidden="1" spans="1:26">
      <c r="A3" s="30"/>
      <c r="B3" s="34" t="s">
        <v>107</v>
      </c>
      <c r="C3" s="31">
        <v>45817</v>
      </c>
      <c r="D3" s="30" t="s">
        <v>5</v>
      </c>
      <c r="E3" s="32" t="s">
        <v>108</v>
      </c>
      <c r="F3" s="32" t="s">
        <v>109</v>
      </c>
      <c r="G3" s="26"/>
      <c r="H3" s="26" t="s">
        <v>34</v>
      </c>
      <c r="I3" s="30">
        <v>11099.4</v>
      </c>
      <c r="J3" s="30">
        <v>554.97</v>
      </c>
      <c r="K3" s="30"/>
      <c r="L3" s="30" t="s">
        <v>110</v>
      </c>
      <c r="M3" s="32" t="s">
        <v>12</v>
      </c>
      <c r="N3" s="26"/>
      <c r="O3" s="35" t="s">
        <v>111</v>
      </c>
      <c r="P3" s="35" t="s">
        <v>12</v>
      </c>
      <c r="Q3" s="30" t="s">
        <v>105</v>
      </c>
      <c r="R3" s="30"/>
      <c r="S3" s="30"/>
      <c r="T3" s="30"/>
      <c r="U3" s="30"/>
      <c r="V3" s="30"/>
      <c r="W3" s="30"/>
      <c r="X3" s="33">
        <f t="shared" si="0"/>
        <v>2025</v>
      </c>
      <c r="Y3" s="33">
        <f t="shared" si="1"/>
        <v>6</v>
      </c>
      <c r="Z3" s="33">
        <f t="shared" si="2"/>
        <v>9</v>
      </c>
    </row>
    <row r="4" ht="360.4" hidden="1" spans="1:26">
      <c r="A4" s="30"/>
      <c r="B4" s="34" t="s">
        <v>112</v>
      </c>
      <c r="C4" s="31">
        <v>45826</v>
      </c>
      <c r="D4" s="30" t="s">
        <v>5</v>
      </c>
      <c r="E4" s="32" t="s">
        <v>113</v>
      </c>
      <c r="F4" s="32" t="s">
        <v>114</v>
      </c>
      <c r="G4" s="26"/>
      <c r="H4" s="26" t="s">
        <v>34</v>
      </c>
      <c r="I4" s="36">
        <f>2754.76-50</f>
        <v>2704.76</v>
      </c>
      <c r="J4" s="37">
        <v>471.075</v>
      </c>
      <c r="K4" s="30"/>
      <c r="L4" s="30"/>
      <c r="M4" s="32" t="s">
        <v>13</v>
      </c>
      <c r="N4" s="32" t="s">
        <v>115</v>
      </c>
      <c r="O4" s="35" t="s">
        <v>116</v>
      </c>
      <c r="P4" s="30" t="s">
        <v>13</v>
      </c>
      <c r="Q4" s="30" t="s">
        <v>105</v>
      </c>
      <c r="R4" s="30"/>
      <c r="S4" s="30"/>
      <c r="T4" s="30"/>
      <c r="U4" s="30"/>
      <c r="V4" s="30"/>
      <c r="W4" s="30"/>
      <c r="X4" s="33">
        <f t="shared" si="0"/>
        <v>2025</v>
      </c>
      <c r="Y4" s="33">
        <f t="shared" si="1"/>
        <v>6</v>
      </c>
      <c r="Z4" s="33">
        <f t="shared" si="2"/>
        <v>18</v>
      </c>
    </row>
    <row r="5" ht="304.9" hidden="1" spans="1:26">
      <c r="A5" s="30"/>
      <c r="B5" s="34" t="s">
        <v>117</v>
      </c>
      <c r="C5" s="31">
        <v>45826</v>
      </c>
      <c r="D5" s="30" t="s">
        <v>5</v>
      </c>
      <c r="E5" s="32" t="s">
        <v>118</v>
      </c>
      <c r="F5" s="32" t="s">
        <v>119</v>
      </c>
      <c r="G5" s="26"/>
      <c r="H5" s="26" t="s">
        <v>34</v>
      </c>
      <c r="I5" s="36">
        <v>2204.8</v>
      </c>
      <c r="J5" s="37">
        <v>414.4</v>
      </c>
      <c r="K5" s="30"/>
      <c r="L5" s="30"/>
      <c r="M5" s="32" t="s">
        <v>13</v>
      </c>
      <c r="N5" s="32" t="s">
        <v>115</v>
      </c>
      <c r="O5" s="35" t="s">
        <v>116</v>
      </c>
      <c r="P5" s="30" t="s">
        <v>13</v>
      </c>
      <c r="Q5" s="30" t="s">
        <v>105</v>
      </c>
      <c r="R5" s="30"/>
      <c r="S5" s="30"/>
      <c r="T5" s="30"/>
      <c r="U5" s="30"/>
      <c r="V5" s="30"/>
      <c r="W5" s="30"/>
      <c r="X5" s="33">
        <f t="shared" si="0"/>
        <v>2025</v>
      </c>
      <c r="Y5" s="33">
        <f t="shared" si="1"/>
        <v>6</v>
      </c>
      <c r="Z5" s="33">
        <f t="shared" si="2"/>
        <v>18</v>
      </c>
    </row>
    <row r="6" ht="291" hidden="1" spans="1:26">
      <c r="A6" s="30"/>
      <c r="B6" s="31">
        <v>45811</v>
      </c>
      <c r="C6" s="31">
        <v>45826</v>
      </c>
      <c r="D6" s="30" t="s">
        <v>5</v>
      </c>
      <c r="E6" s="32" t="s">
        <v>120</v>
      </c>
      <c r="F6" s="32" t="s">
        <v>121</v>
      </c>
      <c r="G6" s="26"/>
      <c r="H6" s="26" t="s">
        <v>34</v>
      </c>
      <c r="I6" s="36">
        <v>1071.4</v>
      </c>
      <c r="J6" s="37">
        <v>221.905</v>
      </c>
      <c r="K6" s="30"/>
      <c r="L6" s="30"/>
      <c r="M6" s="32" t="s">
        <v>13</v>
      </c>
      <c r="N6" s="32" t="s">
        <v>115</v>
      </c>
      <c r="O6" s="35" t="s">
        <v>116</v>
      </c>
      <c r="P6" s="30" t="s">
        <v>13</v>
      </c>
      <c r="Q6" s="30" t="s">
        <v>105</v>
      </c>
      <c r="R6" s="30"/>
      <c r="S6" s="30"/>
      <c r="T6" s="30"/>
      <c r="U6" s="30"/>
      <c r="V6" s="30"/>
      <c r="W6" s="30"/>
      <c r="X6" s="33">
        <f t="shared" si="0"/>
        <v>2025</v>
      </c>
      <c r="Y6" s="33">
        <f t="shared" si="1"/>
        <v>6</v>
      </c>
      <c r="Z6" s="33">
        <f t="shared" si="2"/>
        <v>18</v>
      </c>
    </row>
    <row r="7" ht="27.75" hidden="1" spans="1:26">
      <c r="A7" s="38" t="s">
        <v>122</v>
      </c>
      <c r="B7" s="31">
        <v>45866</v>
      </c>
      <c r="C7" s="31">
        <v>45866</v>
      </c>
      <c r="D7" s="30" t="s">
        <v>5</v>
      </c>
      <c r="E7" s="26" t="s">
        <v>123</v>
      </c>
      <c r="F7" s="26"/>
      <c r="G7" s="26"/>
      <c r="H7" s="26"/>
      <c r="I7" s="30">
        <v>11255</v>
      </c>
      <c r="J7" s="39">
        <v>11255</v>
      </c>
      <c r="K7" s="32" t="s">
        <v>124</v>
      </c>
      <c r="L7" s="38" t="s">
        <v>125</v>
      </c>
      <c r="M7" s="32" t="s">
        <v>13</v>
      </c>
      <c r="N7" s="32" t="s">
        <v>115</v>
      </c>
      <c r="O7" s="35" t="s">
        <v>116</v>
      </c>
      <c r="P7" s="30" t="s">
        <v>13</v>
      </c>
      <c r="Q7" s="30" t="s">
        <v>105</v>
      </c>
      <c r="R7" s="30"/>
      <c r="S7" s="30"/>
      <c r="T7" s="30"/>
      <c r="U7" s="30"/>
      <c r="V7" s="30"/>
      <c r="W7" s="30"/>
      <c r="X7" s="33">
        <f t="shared" si="0"/>
        <v>2025</v>
      </c>
      <c r="Y7" s="33">
        <f t="shared" si="1"/>
        <v>7</v>
      </c>
      <c r="Z7" s="33">
        <f t="shared" si="2"/>
        <v>28</v>
      </c>
    </row>
    <row r="8" ht="27.75" hidden="1" spans="1:26">
      <c r="A8" s="35" t="s">
        <v>126</v>
      </c>
      <c r="B8" s="31">
        <v>45880</v>
      </c>
      <c r="C8" s="31">
        <v>45880</v>
      </c>
      <c r="D8" s="30" t="s">
        <v>5</v>
      </c>
      <c r="E8" s="26" t="s">
        <v>127</v>
      </c>
      <c r="F8" s="26"/>
      <c r="G8" s="26"/>
      <c r="H8" s="26"/>
      <c r="I8" s="30">
        <v>1782</v>
      </c>
      <c r="J8" s="39">
        <v>1782</v>
      </c>
      <c r="K8" s="35" t="s">
        <v>128</v>
      </c>
      <c r="L8" s="35" t="s">
        <v>129</v>
      </c>
      <c r="M8" s="32" t="s">
        <v>13</v>
      </c>
      <c r="N8" s="32" t="s">
        <v>115</v>
      </c>
      <c r="O8" s="35" t="s">
        <v>116</v>
      </c>
      <c r="P8" s="30" t="s">
        <v>13</v>
      </c>
      <c r="Q8" s="30" t="s">
        <v>105</v>
      </c>
      <c r="R8" s="30"/>
      <c r="S8" s="30"/>
      <c r="T8" s="30"/>
      <c r="U8" s="30"/>
      <c r="V8" s="30"/>
      <c r="W8" s="30"/>
      <c r="X8" s="33">
        <f t="shared" si="0"/>
        <v>2025</v>
      </c>
      <c r="Y8" s="33">
        <f t="shared" si="1"/>
        <v>8</v>
      </c>
      <c r="Z8" s="33">
        <f t="shared" si="2"/>
        <v>11</v>
      </c>
    </row>
    <row r="9" ht="27.75" hidden="1" spans="1:26">
      <c r="A9" s="35" t="s">
        <v>130</v>
      </c>
      <c r="B9" s="31">
        <v>45889</v>
      </c>
      <c r="C9" s="31">
        <v>45889</v>
      </c>
      <c r="D9" s="30" t="s">
        <v>5</v>
      </c>
      <c r="E9" s="26" t="s">
        <v>131</v>
      </c>
      <c r="F9" s="26"/>
      <c r="G9" s="26"/>
      <c r="H9" s="26"/>
      <c r="I9" s="30">
        <v>10655.1</v>
      </c>
      <c r="J9" s="39">
        <v>10655.1</v>
      </c>
      <c r="K9" s="35" t="s">
        <v>132</v>
      </c>
      <c r="L9" s="35" t="s">
        <v>133</v>
      </c>
      <c r="M9" s="32" t="s">
        <v>13</v>
      </c>
      <c r="N9" s="32" t="s">
        <v>115</v>
      </c>
      <c r="O9" s="35" t="s">
        <v>116</v>
      </c>
      <c r="P9" s="30" t="s">
        <v>13</v>
      </c>
      <c r="Q9" s="30" t="s">
        <v>105</v>
      </c>
      <c r="R9" s="30"/>
      <c r="S9" s="30"/>
      <c r="T9" s="30"/>
      <c r="U9" s="30"/>
      <c r="V9" s="30"/>
      <c r="W9" s="30"/>
      <c r="X9" s="33">
        <f t="shared" si="0"/>
        <v>2025</v>
      </c>
      <c r="Y9" s="33">
        <f t="shared" si="1"/>
        <v>8</v>
      </c>
      <c r="Z9" s="33">
        <f t="shared" si="2"/>
        <v>20</v>
      </c>
    </row>
    <row r="10" ht="27.75" hidden="1" spans="1:26">
      <c r="A10" s="35" t="s">
        <v>134</v>
      </c>
      <c r="B10" s="31">
        <v>45889</v>
      </c>
      <c r="C10" s="31">
        <v>45889</v>
      </c>
      <c r="D10" s="30" t="s">
        <v>5</v>
      </c>
      <c r="E10" s="26" t="s">
        <v>135</v>
      </c>
      <c r="F10" s="26"/>
      <c r="G10" s="26"/>
      <c r="H10" s="26"/>
      <c r="I10" s="30">
        <v>4698.52</v>
      </c>
      <c r="J10" s="39">
        <v>4698.52</v>
      </c>
      <c r="K10" s="35" t="s">
        <v>136</v>
      </c>
      <c r="L10" s="35" t="s">
        <v>137</v>
      </c>
      <c r="M10" s="32" t="s">
        <v>13</v>
      </c>
      <c r="N10" s="32" t="s">
        <v>115</v>
      </c>
      <c r="O10" s="35" t="s">
        <v>116</v>
      </c>
      <c r="P10" s="30" t="s">
        <v>13</v>
      </c>
      <c r="Q10" s="30" t="s">
        <v>105</v>
      </c>
      <c r="R10" s="30"/>
      <c r="S10" s="30"/>
      <c r="T10" s="30"/>
      <c r="U10" s="30"/>
      <c r="V10" s="30"/>
      <c r="W10" s="30"/>
      <c r="X10" s="33">
        <f t="shared" si="0"/>
        <v>2025</v>
      </c>
      <c r="Y10" s="33">
        <f t="shared" si="1"/>
        <v>8</v>
      </c>
      <c r="Z10" s="33">
        <f t="shared" si="2"/>
        <v>20</v>
      </c>
    </row>
    <row r="11" ht="27.75" hidden="1" spans="1:26">
      <c r="A11" s="35" t="s">
        <v>138</v>
      </c>
      <c r="B11" s="31">
        <v>45888</v>
      </c>
      <c r="C11" s="31">
        <v>45888</v>
      </c>
      <c r="D11" s="30" t="s">
        <v>5</v>
      </c>
      <c r="E11" s="26" t="s">
        <v>139</v>
      </c>
      <c r="F11" s="26"/>
      <c r="G11" s="26"/>
      <c r="H11" s="26"/>
      <c r="I11" s="30">
        <v>936</v>
      </c>
      <c r="J11" s="39">
        <v>936</v>
      </c>
      <c r="K11" s="35" t="s">
        <v>132</v>
      </c>
      <c r="L11" s="30" t="s">
        <v>140</v>
      </c>
      <c r="M11" s="32" t="s">
        <v>13</v>
      </c>
      <c r="N11" s="32" t="s">
        <v>115</v>
      </c>
      <c r="O11" s="35" t="s">
        <v>116</v>
      </c>
      <c r="P11" s="30" t="s">
        <v>13</v>
      </c>
      <c r="Q11" s="30" t="s">
        <v>105</v>
      </c>
      <c r="R11" s="30"/>
      <c r="S11" s="30"/>
      <c r="T11" s="30"/>
      <c r="U11" s="30"/>
      <c r="V11" s="30"/>
      <c r="W11" s="30"/>
      <c r="X11" s="33">
        <f t="shared" si="0"/>
        <v>2025</v>
      </c>
      <c r="Y11" s="33">
        <f t="shared" si="1"/>
        <v>8</v>
      </c>
      <c r="Z11" s="33">
        <f t="shared" si="2"/>
        <v>19</v>
      </c>
    </row>
    <row r="12" ht="27.75" hidden="1" spans="1:26">
      <c r="A12" s="35" t="s">
        <v>141</v>
      </c>
      <c r="B12" s="31">
        <v>45888</v>
      </c>
      <c r="C12" s="31">
        <v>45888</v>
      </c>
      <c r="D12" s="30" t="s">
        <v>5</v>
      </c>
      <c r="E12" s="26" t="s">
        <v>142</v>
      </c>
      <c r="F12" s="26"/>
      <c r="G12" s="26"/>
      <c r="H12" s="26"/>
      <c r="I12" s="30">
        <v>311.4</v>
      </c>
      <c r="J12" s="39">
        <v>311.4</v>
      </c>
      <c r="K12" s="35" t="s">
        <v>143</v>
      </c>
      <c r="L12" s="35" t="s">
        <v>144</v>
      </c>
      <c r="M12" s="32" t="s">
        <v>13</v>
      </c>
      <c r="N12" s="32" t="s">
        <v>115</v>
      </c>
      <c r="O12" s="35" t="s">
        <v>116</v>
      </c>
      <c r="P12" s="30" t="s">
        <v>13</v>
      </c>
      <c r="Q12" s="30" t="s">
        <v>105</v>
      </c>
      <c r="R12" s="30"/>
      <c r="S12" s="30"/>
      <c r="T12" s="30"/>
      <c r="U12" s="30"/>
      <c r="V12" s="30"/>
      <c r="W12" s="30"/>
      <c r="X12" s="33">
        <f t="shared" si="0"/>
        <v>2025</v>
      </c>
      <c r="Y12" s="33">
        <f t="shared" si="1"/>
        <v>8</v>
      </c>
      <c r="Z12" s="33">
        <f t="shared" si="2"/>
        <v>19</v>
      </c>
    </row>
    <row r="13" ht="409.5" hidden="1" spans="1:26">
      <c r="A13" s="35" t="s">
        <v>145</v>
      </c>
      <c r="B13" s="31">
        <v>46001</v>
      </c>
      <c r="C13" s="31">
        <v>46002</v>
      </c>
      <c r="D13" s="30" t="s">
        <v>5</v>
      </c>
      <c r="E13" s="26" t="s">
        <v>146</v>
      </c>
      <c r="F13" s="32" t="s">
        <v>147</v>
      </c>
      <c r="G13" s="26"/>
      <c r="H13" s="26" t="s">
        <v>34</v>
      </c>
      <c r="I13" s="30">
        <v>1003.1</v>
      </c>
      <c r="J13" s="30">
        <v>100.31</v>
      </c>
      <c r="K13" s="35" t="s">
        <v>148</v>
      </c>
      <c r="L13" s="35" t="s">
        <v>145</v>
      </c>
      <c r="M13" s="32" t="s">
        <v>10</v>
      </c>
      <c r="N13" s="32" t="s">
        <v>115</v>
      </c>
      <c r="O13" s="35" t="s">
        <v>149</v>
      </c>
      <c r="P13" s="35" t="s">
        <v>10</v>
      </c>
      <c r="Q13" s="35" t="s">
        <v>105</v>
      </c>
      <c r="R13" s="30"/>
      <c r="S13" s="30"/>
      <c r="T13" s="30"/>
      <c r="U13" s="30"/>
      <c r="V13" s="30"/>
      <c r="W13" s="30"/>
      <c r="X13" s="33">
        <f t="shared" si="0"/>
        <v>2025</v>
      </c>
      <c r="Y13" s="33">
        <f t="shared" si="1"/>
        <v>12</v>
      </c>
      <c r="Z13" s="33">
        <f t="shared" si="2"/>
        <v>11</v>
      </c>
    </row>
    <row r="14" ht="409.5" hidden="1" spans="1:26">
      <c r="A14" s="35" t="s">
        <v>150</v>
      </c>
      <c r="B14" s="31">
        <v>46001</v>
      </c>
      <c r="C14" s="31">
        <v>46002</v>
      </c>
      <c r="D14" s="30" t="s">
        <v>5</v>
      </c>
      <c r="E14" s="32" t="s">
        <v>146</v>
      </c>
      <c r="F14" s="32" t="s">
        <v>151</v>
      </c>
      <c r="G14" s="26"/>
      <c r="H14" s="26" t="s">
        <v>34</v>
      </c>
      <c r="I14" s="30">
        <v>1535.9</v>
      </c>
      <c r="J14" s="30">
        <v>153.59</v>
      </c>
      <c r="K14" s="35" t="s">
        <v>152</v>
      </c>
      <c r="L14" s="35" t="s">
        <v>150</v>
      </c>
      <c r="M14" s="32" t="s">
        <v>10</v>
      </c>
      <c r="N14" s="32" t="s">
        <v>115</v>
      </c>
      <c r="O14" s="35" t="s">
        <v>149</v>
      </c>
      <c r="P14" s="35" t="s">
        <v>10</v>
      </c>
      <c r="Q14" s="35" t="s">
        <v>105</v>
      </c>
      <c r="R14" s="30"/>
      <c r="S14" s="30"/>
      <c r="T14" s="30"/>
      <c r="U14" s="30"/>
      <c r="V14" s="30"/>
      <c r="W14" s="30"/>
      <c r="X14" s="33">
        <f t="shared" si="0"/>
        <v>2025</v>
      </c>
      <c r="Y14" s="33">
        <f t="shared" si="1"/>
        <v>12</v>
      </c>
      <c r="Z14" s="33">
        <f t="shared" si="2"/>
        <v>11</v>
      </c>
    </row>
    <row r="15" ht="69.4" hidden="1" spans="1:26">
      <c r="A15" s="35" t="s">
        <v>153</v>
      </c>
      <c r="B15" s="31">
        <v>45925</v>
      </c>
      <c r="C15" s="31">
        <v>46000</v>
      </c>
      <c r="D15" s="35" t="s">
        <v>5</v>
      </c>
      <c r="E15" s="32" t="s">
        <v>154</v>
      </c>
      <c r="F15" s="32" t="s">
        <v>155</v>
      </c>
      <c r="G15" s="26"/>
      <c r="H15" s="26" t="s">
        <v>156</v>
      </c>
      <c r="I15" s="30">
        <v>23574.6</v>
      </c>
      <c r="J15" s="30">
        <v>46.19</v>
      </c>
      <c r="K15" s="35" t="s">
        <v>157</v>
      </c>
      <c r="L15" s="30" t="s">
        <v>158</v>
      </c>
      <c r="M15" s="32" t="s">
        <v>10</v>
      </c>
      <c r="N15" s="32" t="s">
        <v>115</v>
      </c>
      <c r="O15" s="35" t="s">
        <v>159</v>
      </c>
      <c r="P15" s="35" t="s">
        <v>10</v>
      </c>
      <c r="Q15" s="35" t="s">
        <v>105</v>
      </c>
      <c r="R15" s="30"/>
      <c r="S15" s="30"/>
      <c r="T15" s="30"/>
      <c r="U15" s="30"/>
      <c r="V15" s="30"/>
      <c r="W15" s="30"/>
      <c r="X15" s="33">
        <f t="shared" si="0"/>
        <v>2025</v>
      </c>
      <c r="Y15" s="33">
        <f t="shared" si="1"/>
        <v>12</v>
      </c>
      <c r="Z15" s="33">
        <f t="shared" si="2"/>
        <v>9</v>
      </c>
    </row>
    <row r="16" ht="409.5" hidden="1" spans="1:26">
      <c r="A16" s="30" t="s">
        <v>160</v>
      </c>
      <c r="B16" s="31">
        <v>45925</v>
      </c>
      <c r="C16" s="31">
        <v>46000</v>
      </c>
      <c r="D16" s="35" t="s">
        <v>5</v>
      </c>
      <c r="E16" s="32" t="s">
        <v>154</v>
      </c>
      <c r="F16" s="32" t="s">
        <v>161</v>
      </c>
      <c r="G16" s="26"/>
      <c r="H16" s="26" t="s">
        <v>54</v>
      </c>
      <c r="I16" s="30">
        <v>7965.9</v>
      </c>
      <c r="J16" s="30">
        <v>142.33</v>
      </c>
      <c r="K16" s="38"/>
      <c r="L16" s="30" t="s">
        <v>158</v>
      </c>
      <c r="M16" s="32" t="s">
        <v>10</v>
      </c>
      <c r="N16" s="32" t="s">
        <v>115</v>
      </c>
      <c r="O16" s="35" t="s">
        <v>159</v>
      </c>
      <c r="P16" s="35" t="s">
        <v>10</v>
      </c>
      <c r="Q16" s="35" t="s">
        <v>105</v>
      </c>
      <c r="R16" s="30"/>
      <c r="S16" s="30"/>
      <c r="T16" s="30"/>
      <c r="U16" s="30"/>
      <c r="V16" s="30"/>
      <c r="W16" s="30"/>
      <c r="X16" s="33">
        <f t="shared" si="0"/>
        <v>2025</v>
      </c>
      <c r="Y16" s="33">
        <f t="shared" si="1"/>
        <v>12</v>
      </c>
      <c r="Z16" s="33">
        <f t="shared" si="2"/>
        <v>9</v>
      </c>
    </row>
    <row r="17" ht="409.5" hidden="1" spans="1:26">
      <c r="A17" s="35" t="s">
        <v>162</v>
      </c>
      <c r="B17" s="31">
        <v>45992</v>
      </c>
      <c r="C17" s="31">
        <v>46002</v>
      </c>
      <c r="D17" s="30"/>
      <c r="E17" s="26" t="s">
        <v>163</v>
      </c>
      <c r="F17" s="32" t="s">
        <v>164</v>
      </c>
      <c r="G17" s="26"/>
      <c r="H17" s="26" t="s">
        <v>165</v>
      </c>
      <c r="I17" s="30">
        <v>3205.11</v>
      </c>
      <c r="J17" s="35">
        <v>1148.35</v>
      </c>
      <c r="K17" s="35" t="s">
        <v>166</v>
      </c>
      <c r="L17" s="35" t="s">
        <v>167</v>
      </c>
      <c r="M17" s="32" t="s">
        <v>12</v>
      </c>
      <c r="N17" s="32" t="s">
        <v>115</v>
      </c>
      <c r="O17" s="35" t="s">
        <v>168</v>
      </c>
      <c r="P17" s="35" t="s">
        <v>12</v>
      </c>
      <c r="Q17" s="35" t="s">
        <v>105</v>
      </c>
      <c r="R17" s="30"/>
      <c r="S17" s="30"/>
      <c r="T17" s="30"/>
      <c r="U17" s="30"/>
      <c r="V17" s="30"/>
      <c r="W17" s="30"/>
      <c r="X17" s="33">
        <f t="shared" si="0"/>
        <v>2025</v>
      </c>
      <c r="Y17" s="33">
        <f t="shared" si="1"/>
        <v>12</v>
      </c>
      <c r="Z17" s="33">
        <f t="shared" si="2"/>
        <v>11</v>
      </c>
    </row>
    <row r="18" ht="409.5" hidden="1" spans="1:26">
      <c r="A18" s="35" t="s">
        <v>169</v>
      </c>
      <c r="B18" s="31">
        <v>45980</v>
      </c>
      <c r="C18" s="31">
        <v>46002</v>
      </c>
      <c r="D18" s="35" t="s">
        <v>5</v>
      </c>
      <c r="E18" s="32" t="s">
        <v>170</v>
      </c>
      <c r="F18" s="32" t="s">
        <v>171</v>
      </c>
      <c r="G18" s="26"/>
      <c r="H18" s="26" t="s">
        <v>54</v>
      </c>
      <c r="I18" s="30">
        <v>5451.6</v>
      </c>
      <c r="J18" s="30"/>
      <c r="K18" s="35" t="s">
        <v>172</v>
      </c>
      <c r="L18" s="35" t="s">
        <v>169</v>
      </c>
      <c r="M18" s="32" t="s">
        <v>10</v>
      </c>
      <c r="N18" s="32" t="s">
        <v>115</v>
      </c>
      <c r="O18" s="35" t="s">
        <v>173</v>
      </c>
      <c r="P18" s="35" t="s">
        <v>10</v>
      </c>
      <c r="Q18" s="35" t="s">
        <v>105</v>
      </c>
      <c r="R18" s="30"/>
      <c r="S18" s="30"/>
      <c r="T18" s="30"/>
      <c r="U18" s="30"/>
      <c r="V18" s="30"/>
      <c r="W18" s="30"/>
      <c r="X18" s="33">
        <f t="shared" si="0"/>
        <v>2025</v>
      </c>
      <c r="Y18" s="33">
        <f t="shared" si="1"/>
        <v>12</v>
      </c>
      <c r="Z18" s="33">
        <f t="shared" si="2"/>
        <v>11</v>
      </c>
    </row>
    <row r="19" ht="409.5" hidden="1" spans="1:26">
      <c r="A19" s="35" t="s">
        <v>174</v>
      </c>
      <c r="B19" s="31">
        <v>45982</v>
      </c>
      <c r="C19" s="31">
        <v>46002</v>
      </c>
      <c r="D19" s="35" t="s">
        <v>5</v>
      </c>
      <c r="E19" s="32" t="s">
        <v>175</v>
      </c>
      <c r="F19" s="32" t="s">
        <v>176</v>
      </c>
      <c r="G19" s="26"/>
      <c r="H19" s="26" t="s">
        <v>54</v>
      </c>
      <c r="I19" s="30">
        <v>6649</v>
      </c>
      <c r="J19" s="30"/>
      <c r="K19" s="35" t="s">
        <v>177</v>
      </c>
      <c r="L19" s="35" t="s">
        <v>174</v>
      </c>
      <c r="M19" s="32" t="s">
        <v>10</v>
      </c>
      <c r="N19" s="32" t="s">
        <v>115</v>
      </c>
      <c r="O19" s="35" t="s">
        <v>173</v>
      </c>
      <c r="P19" s="35" t="s">
        <v>10</v>
      </c>
      <c r="Q19" s="35" t="s">
        <v>105</v>
      </c>
      <c r="R19" s="30"/>
      <c r="S19" s="30"/>
      <c r="T19" s="30"/>
      <c r="U19" s="30"/>
      <c r="V19" s="30"/>
      <c r="W19" s="30"/>
      <c r="X19" s="33">
        <f t="shared" si="0"/>
        <v>2025</v>
      </c>
      <c r="Y19" s="33">
        <f t="shared" si="1"/>
        <v>12</v>
      </c>
      <c r="Z19" s="33">
        <f t="shared" si="2"/>
        <v>11</v>
      </c>
    </row>
    <row r="20" ht="409.5" hidden="1" spans="1:26">
      <c r="A20" s="30" t="s">
        <v>178</v>
      </c>
      <c r="B20" s="31">
        <v>45985</v>
      </c>
      <c r="C20" s="31">
        <v>46002</v>
      </c>
      <c r="D20" s="35" t="s">
        <v>5</v>
      </c>
      <c r="E20" s="32" t="s">
        <v>179</v>
      </c>
      <c r="F20" s="32" t="s">
        <v>180</v>
      </c>
      <c r="G20" s="26"/>
      <c r="H20" s="26" t="s">
        <v>54</v>
      </c>
      <c r="I20" s="30">
        <v>1344.8</v>
      </c>
      <c r="J20" s="30"/>
      <c r="K20" s="35" t="s">
        <v>172</v>
      </c>
      <c r="L20" s="30" t="s">
        <v>178</v>
      </c>
      <c r="M20" s="32" t="s">
        <v>10</v>
      </c>
      <c r="N20" s="32" t="s">
        <v>115</v>
      </c>
      <c r="O20" s="35" t="s">
        <v>173</v>
      </c>
      <c r="P20" s="35" t="s">
        <v>10</v>
      </c>
      <c r="Q20" s="35" t="s">
        <v>105</v>
      </c>
      <c r="R20" s="30"/>
      <c r="S20" s="30"/>
      <c r="T20" s="30"/>
      <c r="U20" s="30"/>
      <c r="V20" s="30"/>
      <c r="W20" s="30"/>
      <c r="X20" s="33">
        <f t="shared" si="0"/>
        <v>2025</v>
      </c>
      <c r="Y20" s="33">
        <f t="shared" si="1"/>
        <v>12</v>
      </c>
      <c r="Z20" s="33">
        <f t="shared" si="2"/>
        <v>11</v>
      </c>
    </row>
    <row r="21" ht="304.9" hidden="1" spans="1:26">
      <c r="A21" s="35" t="s">
        <v>181</v>
      </c>
      <c r="B21" s="31">
        <v>45988</v>
      </c>
      <c r="C21" s="31">
        <v>46020</v>
      </c>
      <c r="D21" s="30" t="s">
        <v>5</v>
      </c>
      <c r="E21" s="32" t="s">
        <v>182</v>
      </c>
      <c r="F21" s="32" t="s">
        <v>183</v>
      </c>
      <c r="G21" s="26"/>
      <c r="H21" s="26" t="s">
        <v>34</v>
      </c>
      <c r="I21" s="35">
        <v>1967.6</v>
      </c>
      <c r="J21" s="35">
        <v>98.38</v>
      </c>
      <c r="K21" s="35" t="s">
        <v>184</v>
      </c>
      <c r="L21" s="35" t="s">
        <v>181</v>
      </c>
      <c r="M21" s="32" t="s">
        <v>10</v>
      </c>
      <c r="N21" s="32" t="s">
        <v>115</v>
      </c>
      <c r="O21" s="32" t="s">
        <v>173</v>
      </c>
      <c r="P21" s="32"/>
      <c r="Q21" s="35"/>
      <c r="R21" s="30"/>
      <c r="S21" s="30"/>
      <c r="T21" s="30"/>
      <c r="U21" s="30"/>
      <c r="V21" s="30"/>
      <c r="W21" s="30"/>
      <c r="X21" s="33">
        <f t="shared" si="0"/>
        <v>2025</v>
      </c>
      <c r="Y21" s="33">
        <f t="shared" si="1"/>
        <v>12</v>
      </c>
      <c r="Z21" s="33">
        <f t="shared" si="2"/>
        <v>29</v>
      </c>
    </row>
    <row r="22" ht="304.9" hidden="1" spans="1:26">
      <c r="A22" s="35" t="s">
        <v>185</v>
      </c>
      <c r="B22" s="31">
        <v>45979</v>
      </c>
      <c r="C22" s="34">
        <v>46002</v>
      </c>
      <c r="D22" s="35" t="s">
        <v>5</v>
      </c>
      <c r="E22" s="32" t="s">
        <v>186</v>
      </c>
      <c r="F22" s="32" t="s">
        <v>187</v>
      </c>
      <c r="G22" s="26"/>
      <c r="H22" s="26" t="s">
        <v>54</v>
      </c>
      <c r="I22" s="30">
        <v>14134.8</v>
      </c>
      <c r="J22" s="30">
        <v>706.74</v>
      </c>
      <c r="K22" s="35" t="s">
        <v>188</v>
      </c>
      <c r="L22" s="35" t="s">
        <v>185</v>
      </c>
      <c r="M22" s="32" t="s">
        <v>11</v>
      </c>
      <c r="N22" s="32" t="s">
        <v>115</v>
      </c>
      <c r="O22" s="32" t="s">
        <v>189</v>
      </c>
      <c r="P22" s="32" t="s">
        <v>115</v>
      </c>
      <c r="Q22" s="35" t="s">
        <v>105</v>
      </c>
      <c r="R22" s="35"/>
      <c r="S22" s="30"/>
      <c r="T22" s="30"/>
      <c r="U22" s="30"/>
      <c r="V22" s="30"/>
      <c r="W22" s="30"/>
      <c r="X22" s="33">
        <f t="shared" si="0"/>
        <v>2025</v>
      </c>
      <c r="Y22" s="33">
        <f t="shared" si="1"/>
        <v>12</v>
      </c>
      <c r="Z22" s="33">
        <f t="shared" si="2"/>
        <v>11</v>
      </c>
    </row>
    <row r="23" ht="409.5" hidden="1" spans="1:26">
      <c r="A23" s="35" t="s">
        <v>190</v>
      </c>
      <c r="B23" s="31">
        <v>45933</v>
      </c>
      <c r="C23" s="31">
        <v>46002</v>
      </c>
      <c r="D23" s="30" t="s">
        <v>5</v>
      </c>
      <c r="E23" s="32" t="s">
        <v>191</v>
      </c>
      <c r="F23" s="32" t="s">
        <v>192</v>
      </c>
      <c r="G23" s="26"/>
      <c r="H23" s="26" t="s">
        <v>156</v>
      </c>
      <c r="I23" s="35">
        <v>21035.21</v>
      </c>
      <c r="J23" s="30">
        <v>62.723</v>
      </c>
      <c r="K23" s="35"/>
      <c r="L23" s="30" t="s">
        <v>193</v>
      </c>
      <c r="M23" s="32" t="s">
        <v>10</v>
      </c>
      <c r="N23" s="32" t="s">
        <v>115</v>
      </c>
      <c r="O23" s="35" t="s">
        <v>159</v>
      </c>
      <c r="P23" s="35" t="s">
        <v>10</v>
      </c>
      <c r="Q23" s="35" t="s">
        <v>105</v>
      </c>
      <c r="R23" s="30"/>
      <c r="S23" s="30"/>
      <c r="T23" s="30"/>
      <c r="U23" s="30"/>
      <c r="V23" s="30"/>
      <c r="W23" s="30"/>
      <c r="X23" s="33">
        <f t="shared" si="0"/>
        <v>2025</v>
      </c>
      <c r="Y23" s="33">
        <f t="shared" si="1"/>
        <v>12</v>
      </c>
      <c r="Z23" s="33">
        <f t="shared" si="2"/>
        <v>11</v>
      </c>
    </row>
    <row r="24" ht="409.5" hidden="1" spans="1:26">
      <c r="A24" s="30" t="s">
        <v>194</v>
      </c>
      <c r="B24" s="31">
        <v>46002</v>
      </c>
      <c r="C24" s="31">
        <v>46002</v>
      </c>
      <c r="D24" s="30" t="s">
        <v>5</v>
      </c>
      <c r="E24" s="26" t="s">
        <v>195</v>
      </c>
      <c r="F24" s="32" t="s">
        <v>196</v>
      </c>
      <c r="G24" s="26"/>
      <c r="H24" s="26" t="s">
        <v>34</v>
      </c>
      <c r="I24" s="30">
        <v>18983.6</v>
      </c>
      <c r="J24" s="30">
        <v>949.18</v>
      </c>
      <c r="K24" s="40" t="s">
        <v>197</v>
      </c>
      <c r="L24" s="30" t="s">
        <v>194</v>
      </c>
      <c r="M24" s="32" t="s">
        <v>11</v>
      </c>
      <c r="N24" s="32" t="s">
        <v>115</v>
      </c>
      <c r="O24" s="32" t="s">
        <v>198</v>
      </c>
      <c r="P24" s="32" t="s">
        <v>115</v>
      </c>
      <c r="Q24" s="35" t="s">
        <v>105</v>
      </c>
      <c r="R24" s="30"/>
      <c r="S24" s="30"/>
      <c r="T24" s="30"/>
      <c r="U24" s="30"/>
      <c r="V24" s="30"/>
      <c r="W24" s="30"/>
      <c r="X24" s="33">
        <f t="shared" si="0"/>
        <v>2025</v>
      </c>
      <c r="Y24" s="33">
        <f t="shared" si="1"/>
        <v>12</v>
      </c>
      <c r="Z24" s="33">
        <f t="shared" si="2"/>
        <v>11</v>
      </c>
    </row>
    <row r="25" ht="346.5" hidden="1" spans="1:26">
      <c r="A25" s="35" t="s">
        <v>199</v>
      </c>
      <c r="B25" s="31">
        <v>45895</v>
      </c>
      <c r="C25" s="31">
        <v>45988</v>
      </c>
      <c r="D25" s="30" t="s">
        <v>5</v>
      </c>
      <c r="E25" s="32" t="s">
        <v>200</v>
      </c>
      <c r="F25" s="32" t="s">
        <v>201</v>
      </c>
      <c r="G25" s="26"/>
      <c r="H25" s="26" t="s">
        <v>34</v>
      </c>
      <c r="I25" s="35">
        <v>4801.5</v>
      </c>
      <c r="J25" s="35">
        <v>160.05</v>
      </c>
      <c r="K25" s="35" t="s">
        <v>202</v>
      </c>
      <c r="L25" s="35" t="s">
        <v>203</v>
      </c>
      <c r="M25" s="32" t="s">
        <v>11</v>
      </c>
      <c r="N25" s="32" t="s">
        <v>115</v>
      </c>
      <c r="O25" s="32" t="s">
        <v>189</v>
      </c>
      <c r="P25" s="32" t="s">
        <v>115</v>
      </c>
      <c r="Q25" s="35" t="s">
        <v>105</v>
      </c>
      <c r="R25" s="30"/>
      <c r="S25" s="30"/>
      <c r="T25" s="30"/>
      <c r="U25" s="30"/>
      <c r="V25" s="30"/>
      <c r="W25" s="30"/>
      <c r="X25" s="33">
        <f t="shared" si="0"/>
        <v>2025</v>
      </c>
      <c r="Y25" s="33">
        <f t="shared" si="1"/>
        <v>11</v>
      </c>
      <c r="Z25" s="33">
        <f t="shared" si="2"/>
        <v>27</v>
      </c>
    </row>
    <row r="26" ht="409.5" hidden="1" spans="1:26">
      <c r="A26" s="35" t="s">
        <v>204</v>
      </c>
      <c r="B26" s="34">
        <v>40703</v>
      </c>
      <c r="C26" s="31">
        <v>46000</v>
      </c>
      <c r="D26" s="35" t="s">
        <v>5</v>
      </c>
      <c r="E26" s="30" t="s">
        <v>127</v>
      </c>
      <c r="F26" s="32" t="s">
        <v>205</v>
      </c>
      <c r="G26" s="26"/>
      <c r="H26" s="26"/>
      <c r="I26" s="30"/>
      <c r="J26" s="30"/>
      <c r="K26" s="30"/>
      <c r="L26" s="30"/>
      <c r="M26" s="26"/>
      <c r="N26" s="26"/>
      <c r="O26" s="30"/>
      <c r="P26" s="30"/>
      <c r="Q26" s="30"/>
      <c r="R26" s="30"/>
      <c r="S26" s="30"/>
      <c r="T26" s="30"/>
      <c r="U26" s="30"/>
      <c r="V26" s="30"/>
      <c r="W26" s="30"/>
      <c r="X26" s="33">
        <f t="shared" si="0"/>
        <v>2025</v>
      </c>
      <c r="Y26" s="33">
        <f t="shared" si="1"/>
        <v>12</v>
      </c>
      <c r="Z26" s="33">
        <f t="shared" si="2"/>
        <v>9</v>
      </c>
    </row>
    <row r="27" ht="27.75" hidden="1" spans="1:26">
      <c r="A27" s="30" t="s">
        <v>206</v>
      </c>
      <c r="B27" s="31">
        <v>45983</v>
      </c>
      <c r="C27" s="31">
        <v>46005</v>
      </c>
      <c r="D27" s="35" t="s">
        <v>5</v>
      </c>
      <c r="E27" s="32" t="s">
        <v>207</v>
      </c>
      <c r="F27" s="30"/>
      <c r="G27" s="26"/>
      <c r="H27" s="26"/>
      <c r="I27" s="30"/>
      <c r="J27" s="30"/>
      <c r="K27" s="30"/>
      <c r="L27" s="30"/>
      <c r="M27" s="26"/>
      <c r="N27" s="26"/>
      <c r="O27" s="30"/>
      <c r="P27" s="30"/>
      <c r="Q27" s="30"/>
      <c r="R27" s="30"/>
      <c r="S27" s="30"/>
      <c r="T27" s="30"/>
      <c r="U27" s="30"/>
      <c r="V27" s="30"/>
      <c r="W27" s="30"/>
      <c r="X27" s="33">
        <f t="shared" si="0"/>
        <v>2025</v>
      </c>
      <c r="Y27" s="33">
        <f t="shared" si="1"/>
        <v>12</v>
      </c>
      <c r="Z27" s="33">
        <f t="shared" si="2"/>
        <v>14</v>
      </c>
    </row>
    <row r="28" ht="409.5" hidden="1" spans="1:26">
      <c r="A28" s="35" t="s">
        <v>208</v>
      </c>
      <c r="B28" s="31">
        <v>45975</v>
      </c>
      <c r="C28" s="31">
        <v>46005</v>
      </c>
      <c r="D28" s="35" t="s">
        <v>5</v>
      </c>
      <c r="E28" s="32" t="s">
        <v>209</v>
      </c>
      <c r="F28" s="32" t="s">
        <v>210</v>
      </c>
      <c r="G28" s="41"/>
      <c r="H28" s="41" t="s">
        <v>34</v>
      </c>
      <c r="I28" s="30">
        <v>7791</v>
      </c>
      <c r="J28" s="30">
        <v>389.55</v>
      </c>
      <c r="K28" s="30"/>
      <c r="L28" s="35" t="s">
        <v>208</v>
      </c>
      <c r="M28" s="32" t="s">
        <v>12</v>
      </c>
      <c r="N28" s="32" t="s">
        <v>115</v>
      </c>
      <c r="O28" s="35" t="s">
        <v>211</v>
      </c>
      <c r="P28" s="30"/>
      <c r="Q28" s="30"/>
      <c r="R28" s="30"/>
      <c r="S28" s="30"/>
      <c r="T28" s="30"/>
      <c r="U28" s="30"/>
      <c r="V28" s="30"/>
      <c r="W28" s="30"/>
      <c r="X28" s="33">
        <f t="shared" si="0"/>
        <v>2025</v>
      </c>
      <c r="Y28" s="33">
        <f t="shared" si="1"/>
        <v>12</v>
      </c>
      <c r="Z28" s="33">
        <f t="shared" si="2"/>
        <v>14</v>
      </c>
    </row>
    <row r="29" ht="409.5" hidden="1" spans="1:26">
      <c r="A29" s="35" t="s">
        <v>212</v>
      </c>
      <c r="B29" s="34" t="s">
        <v>213</v>
      </c>
      <c r="C29" s="31">
        <v>46006</v>
      </c>
      <c r="D29" s="35" t="s">
        <v>5</v>
      </c>
      <c r="E29" s="32" t="s">
        <v>214</v>
      </c>
      <c r="F29" s="32" t="s">
        <v>215</v>
      </c>
      <c r="G29" s="41"/>
      <c r="H29" s="41" t="s">
        <v>54</v>
      </c>
      <c r="I29" s="30">
        <v>14164.5</v>
      </c>
      <c r="J29" s="30">
        <v>472.15</v>
      </c>
      <c r="K29" s="30" t="s">
        <v>216</v>
      </c>
      <c r="L29" s="35" t="s">
        <v>212</v>
      </c>
      <c r="M29" s="32" t="s">
        <v>12</v>
      </c>
      <c r="N29" s="32" t="s">
        <v>115</v>
      </c>
      <c r="O29" s="35" t="s">
        <v>211</v>
      </c>
      <c r="P29" s="30"/>
      <c r="Q29" s="30"/>
      <c r="R29" s="30"/>
      <c r="S29" s="30"/>
      <c r="T29" s="30"/>
      <c r="U29" s="30"/>
      <c r="V29" s="30"/>
      <c r="W29" s="30"/>
      <c r="X29" s="33">
        <f t="shared" si="0"/>
        <v>2025</v>
      </c>
      <c r="Y29" s="33">
        <f t="shared" si="1"/>
        <v>12</v>
      </c>
      <c r="Z29" s="33">
        <f t="shared" si="2"/>
        <v>15</v>
      </c>
    </row>
    <row r="30" ht="30" hidden="1" customHeight="1" spans="1:26">
      <c r="A30" s="35" t="s">
        <v>217</v>
      </c>
      <c r="B30" s="31">
        <v>45996</v>
      </c>
      <c r="C30" s="31">
        <v>46006</v>
      </c>
      <c r="D30" s="35" t="s">
        <v>218</v>
      </c>
      <c r="E30" s="42" t="s">
        <v>219</v>
      </c>
      <c r="F30" s="32" t="s">
        <v>220</v>
      </c>
      <c r="G30" s="32"/>
      <c r="H30" s="32" t="s">
        <v>221</v>
      </c>
      <c r="I30" s="30">
        <v>979.56</v>
      </c>
      <c r="J30" s="30">
        <v>2600</v>
      </c>
      <c r="K30" s="35" t="s">
        <v>222</v>
      </c>
      <c r="L30" s="35" t="s">
        <v>217</v>
      </c>
      <c r="M30" s="32" t="s">
        <v>11</v>
      </c>
      <c r="N30" s="32" t="s">
        <v>115</v>
      </c>
      <c r="O30" s="35" t="s">
        <v>223</v>
      </c>
      <c r="P30" s="32" t="s">
        <v>115</v>
      </c>
      <c r="Q30" s="35" t="s">
        <v>105</v>
      </c>
      <c r="R30" s="30"/>
      <c r="S30" s="30"/>
      <c r="T30" s="30"/>
      <c r="U30" s="30"/>
      <c r="V30" s="30"/>
      <c r="W30" s="30"/>
      <c r="X30" s="33">
        <f t="shared" si="0"/>
        <v>2025</v>
      </c>
      <c r="Y30" s="33">
        <f t="shared" si="1"/>
        <v>12</v>
      </c>
      <c r="Z30" s="33">
        <f t="shared" si="2"/>
        <v>15</v>
      </c>
    </row>
    <row r="31" ht="409.5" hidden="1" spans="1:26">
      <c r="A31" s="35" t="s">
        <v>224</v>
      </c>
      <c r="B31" s="31">
        <v>45867</v>
      </c>
      <c r="C31" s="31">
        <v>46006</v>
      </c>
      <c r="D31" s="35" t="s">
        <v>5</v>
      </c>
      <c r="E31" s="32" t="s">
        <v>225</v>
      </c>
      <c r="F31" s="32" t="s">
        <v>226</v>
      </c>
      <c r="G31" s="32"/>
      <c r="H31" s="32" t="s">
        <v>227</v>
      </c>
      <c r="I31" s="30">
        <v>91846.45</v>
      </c>
      <c r="J31" s="30"/>
      <c r="K31" s="35" t="s">
        <v>228</v>
      </c>
      <c r="L31" s="35" t="s">
        <v>224</v>
      </c>
      <c r="M31" s="32" t="s">
        <v>10</v>
      </c>
      <c r="N31" s="32" t="s">
        <v>115</v>
      </c>
      <c r="O31" s="35" t="s">
        <v>229</v>
      </c>
      <c r="P31" s="30"/>
      <c r="Q31" s="30"/>
      <c r="R31" s="30"/>
      <c r="S31" s="30"/>
      <c r="T31" s="30"/>
      <c r="U31" s="30"/>
      <c r="V31" s="30"/>
      <c r="W31" s="30"/>
      <c r="X31" s="33">
        <f t="shared" si="0"/>
        <v>2025</v>
      </c>
      <c r="Y31" s="33">
        <f t="shared" si="1"/>
        <v>12</v>
      </c>
      <c r="Z31" s="33">
        <f t="shared" si="2"/>
        <v>15</v>
      </c>
    </row>
    <row r="32" ht="27.75" hidden="1" spans="1:26">
      <c r="A32" s="30"/>
      <c r="B32" s="31">
        <v>46001</v>
      </c>
      <c r="C32" s="31">
        <v>46006</v>
      </c>
      <c r="D32" s="35" t="s">
        <v>5</v>
      </c>
      <c r="E32" s="32" t="s">
        <v>230</v>
      </c>
      <c r="F32" s="35" t="s">
        <v>231</v>
      </c>
      <c r="G32" s="32"/>
      <c r="H32" s="32" t="s">
        <v>132</v>
      </c>
      <c r="I32" s="30">
        <v>29949.34</v>
      </c>
      <c r="J32" s="30">
        <v>2994.934</v>
      </c>
      <c r="K32" s="35" t="s">
        <v>232</v>
      </c>
      <c r="L32" s="35" t="s">
        <v>233</v>
      </c>
      <c r="M32" s="32" t="s">
        <v>12</v>
      </c>
      <c r="N32" s="32" t="s">
        <v>115</v>
      </c>
      <c r="O32" s="35" t="s">
        <v>234</v>
      </c>
      <c r="P32" s="30"/>
      <c r="Q32" s="30"/>
      <c r="R32" s="30"/>
      <c r="S32" s="30"/>
      <c r="T32" s="30"/>
      <c r="U32" s="30"/>
      <c r="V32" s="30"/>
      <c r="W32" s="30"/>
      <c r="X32" s="33">
        <f t="shared" si="0"/>
        <v>2025</v>
      </c>
      <c r="Y32" s="33">
        <f t="shared" si="1"/>
        <v>12</v>
      </c>
      <c r="Z32" s="33">
        <f t="shared" si="2"/>
        <v>15</v>
      </c>
    </row>
    <row r="33" ht="27.75" hidden="1" spans="1:26">
      <c r="A33" s="35" t="s">
        <v>235</v>
      </c>
      <c r="B33" s="31">
        <v>45987</v>
      </c>
      <c r="C33" s="31">
        <v>46006</v>
      </c>
      <c r="D33" s="35" t="s">
        <v>5</v>
      </c>
      <c r="E33" s="32" t="s">
        <v>225</v>
      </c>
      <c r="F33" s="35" t="s">
        <v>236</v>
      </c>
      <c r="G33" s="32"/>
      <c r="H33" s="32" t="s">
        <v>237</v>
      </c>
      <c r="I33" s="30">
        <v>519.6</v>
      </c>
      <c r="J33" s="30">
        <v>0.3</v>
      </c>
      <c r="K33" s="35" t="s">
        <v>238</v>
      </c>
      <c r="L33" s="35" t="s">
        <v>235</v>
      </c>
      <c r="M33" s="32" t="s">
        <v>10</v>
      </c>
      <c r="N33" s="32" t="s">
        <v>115</v>
      </c>
      <c r="O33" s="35" t="s">
        <v>229</v>
      </c>
      <c r="P33" s="30"/>
      <c r="Q33" s="30"/>
      <c r="R33" s="30"/>
      <c r="S33" s="30"/>
      <c r="T33" s="30"/>
      <c r="U33" s="30"/>
      <c r="V33" s="30"/>
      <c r="W33" s="30"/>
      <c r="X33" s="33">
        <f t="shared" si="0"/>
        <v>2025</v>
      </c>
      <c r="Y33" s="33">
        <f t="shared" si="1"/>
        <v>12</v>
      </c>
      <c r="Z33" s="33">
        <f t="shared" si="2"/>
        <v>15</v>
      </c>
    </row>
    <row r="34" ht="83.25" hidden="1" spans="1:26">
      <c r="A34" s="35" t="s">
        <v>239</v>
      </c>
      <c r="B34" s="31">
        <v>45943</v>
      </c>
      <c r="C34" s="31">
        <v>46006</v>
      </c>
      <c r="D34" s="35" t="s">
        <v>5</v>
      </c>
      <c r="E34" s="32" t="s">
        <v>240</v>
      </c>
      <c r="F34" s="35" t="s">
        <v>241</v>
      </c>
      <c r="G34" s="41"/>
      <c r="H34" s="41" t="s">
        <v>34</v>
      </c>
      <c r="I34" s="30">
        <v>9482.4</v>
      </c>
      <c r="J34" s="30">
        <v>316.08</v>
      </c>
      <c r="K34" s="30" t="s">
        <v>242</v>
      </c>
      <c r="L34" s="35" t="s">
        <v>239</v>
      </c>
      <c r="M34" s="32" t="s">
        <v>11</v>
      </c>
      <c r="N34" s="32" t="s">
        <v>115</v>
      </c>
      <c r="O34" s="35" t="s">
        <v>189</v>
      </c>
      <c r="P34" s="32" t="s">
        <v>115</v>
      </c>
      <c r="Q34" s="35" t="s">
        <v>105</v>
      </c>
      <c r="R34" s="30"/>
      <c r="S34" s="30"/>
      <c r="T34" s="30"/>
      <c r="U34" s="30"/>
      <c r="V34" s="30"/>
      <c r="W34" s="30"/>
      <c r="X34" s="33">
        <f t="shared" si="0"/>
        <v>2025</v>
      </c>
      <c r="Y34" s="33">
        <f t="shared" si="1"/>
        <v>12</v>
      </c>
      <c r="Z34" s="33">
        <f t="shared" si="2"/>
        <v>15</v>
      </c>
    </row>
    <row r="35" ht="83.25" hidden="1" spans="1:26">
      <c r="A35" s="35" t="s">
        <v>243</v>
      </c>
      <c r="B35" s="31">
        <v>45943</v>
      </c>
      <c r="C35" s="31">
        <v>46006</v>
      </c>
      <c r="D35" s="35" t="s">
        <v>5</v>
      </c>
      <c r="E35" s="32" t="s">
        <v>240</v>
      </c>
      <c r="F35" s="35" t="s">
        <v>241</v>
      </c>
      <c r="G35" s="41"/>
      <c r="H35" s="41" t="s">
        <v>34</v>
      </c>
      <c r="I35" s="30">
        <v>7481.1</v>
      </c>
      <c r="J35" s="30">
        <v>249.37</v>
      </c>
      <c r="K35" s="30" t="s">
        <v>242</v>
      </c>
      <c r="L35" s="35" t="s">
        <v>243</v>
      </c>
      <c r="M35" s="32" t="s">
        <v>11</v>
      </c>
      <c r="N35" s="32" t="s">
        <v>115</v>
      </c>
      <c r="O35" s="35" t="s">
        <v>189</v>
      </c>
      <c r="P35" s="32" t="s">
        <v>115</v>
      </c>
      <c r="Q35" s="35" t="s">
        <v>105</v>
      </c>
      <c r="R35" s="30"/>
      <c r="S35" s="30"/>
      <c r="T35" s="30"/>
      <c r="U35" s="30"/>
      <c r="V35" s="30"/>
      <c r="W35" s="30"/>
      <c r="X35" s="33">
        <f t="shared" si="0"/>
        <v>2025</v>
      </c>
      <c r="Y35" s="33">
        <f t="shared" si="1"/>
        <v>12</v>
      </c>
      <c r="Z35" s="33">
        <f t="shared" si="2"/>
        <v>15</v>
      </c>
    </row>
    <row r="36" ht="83.25" hidden="1" spans="1:26">
      <c r="A36" s="35" t="s">
        <v>244</v>
      </c>
      <c r="B36" s="31">
        <v>45947</v>
      </c>
      <c r="C36" s="31">
        <v>46006</v>
      </c>
      <c r="D36" s="35" t="s">
        <v>5</v>
      </c>
      <c r="E36" s="32" t="s">
        <v>240</v>
      </c>
      <c r="F36" s="35" t="s">
        <v>241</v>
      </c>
      <c r="G36" s="41"/>
      <c r="H36" s="41" t="s">
        <v>34</v>
      </c>
      <c r="I36" s="30">
        <v>14221.2</v>
      </c>
      <c r="J36" s="30">
        <v>474.04</v>
      </c>
      <c r="K36" s="35" t="s">
        <v>245</v>
      </c>
      <c r="L36" s="35" t="s">
        <v>244</v>
      </c>
      <c r="M36" s="32" t="s">
        <v>11</v>
      </c>
      <c r="N36" s="32" t="s">
        <v>115</v>
      </c>
      <c r="O36" s="35" t="s">
        <v>189</v>
      </c>
      <c r="P36" s="32" t="s">
        <v>115</v>
      </c>
      <c r="Q36" s="35" t="s">
        <v>105</v>
      </c>
      <c r="R36" s="30"/>
      <c r="S36" s="30"/>
      <c r="T36" s="30"/>
      <c r="U36" s="30"/>
      <c r="V36" s="30"/>
      <c r="W36" s="30"/>
      <c r="X36" s="33">
        <f t="shared" si="0"/>
        <v>2025</v>
      </c>
      <c r="Y36" s="33">
        <f t="shared" si="1"/>
        <v>12</v>
      </c>
      <c r="Z36" s="33">
        <f t="shared" si="2"/>
        <v>15</v>
      </c>
    </row>
    <row r="37" ht="83.25" hidden="1" spans="1:26">
      <c r="A37" s="35" t="s">
        <v>246</v>
      </c>
      <c r="B37" s="31">
        <v>45943</v>
      </c>
      <c r="C37" s="31">
        <v>46006</v>
      </c>
      <c r="D37" s="35" t="s">
        <v>5</v>
      </c>
      <c r="E37" s="32" t="s">
        <v>240</v>
      </c>
      <c r="F37" s="35" t="s">
        <v>241</v>
      </c>
      <c r="G37" s="41"/>
      <c r="H37" s="41" t="s">
        <v>34</v>
      </c>
      <c r="I37" s="30">
        <v>8663.4</v>
      </c>
      <c r="J37" s="30">
        <v>288.78</v>
      </c>
      <c r="K37" s="35" t="s">
        <v>247</v>
      </c>
      <c r="L37" s="35" t="s">
        <v>246</v>
      </c>
      <c r="M37" s="32" t="s">
        <v>11</v>
      </c>
      <c r="N37" s="32" t="s">
        <v>115</v>
      </c>
      <c r="O37" s="35" t="s">
        <v>189</v>
      </c>
      <c r="P37" s="32" t="s">
        <v>115</v>
      </c>
      <c r="Q37" s="35" t="s">
        <v>105</v>
      </c>
      <c r="R37" s="30"/>
      <c r="S37" s="30"/>
      <c r="T37" s="30"/>
      <c r="U37" s="30"/>
      <c r="V37" s="30"/>
      <c r="W37" s="30"/>
      <c r="X37" s="33">
        <f t="shared" si="0"/>
        <v>2025</v>
      </c>
      <c r="Y37" s="33">
        <f t="shared" si="1"/>
        <v>12</v>
      </c>
      <c r="Z37" s="33">
        <f t="shared" si="2"/>
        <v>15</v>
      </c>
    </row>
    <row r="38" ht="83.25" hidden="1" spans="1:26">
      <c r="A38" s="35" t="s">
        <v>248</v>
      </c>
      <c r="B38" s="31">
        <v>45950</v>
      </c>
      <c r="C38" s="31">
        <v>46006</v>
      </c>
      <c r="D38" s="35" t="s">
        <v>5</v>
      </c>
      <c r="E38" s="32" t="s">
        <v>240</v>
      </c>
      <c r="F38" s="35" t="s">
        <v>241</v>
      </c>
      <c r="G38" s="41"/>
      <c r="H38" s="41" t="s">
        <v>34</v>
      </c>
      <c r="I38" s="30">
        <v>14747.1</v>
      </c>
      <c r="J38" s="30">
        <v>491.57</v>
      </c>
      <c r="K38" s="30" t="s">
        <v>249</v>
      </c>
      <c r="L38" s="35" t="s">
        <v>248</v>
      </c>
      <c r="M38" s="32" t="s">
        <v>11</v>
      </c>
      <c r="N38" s="32" t="s">
        <v>115</v>
      </c>
      <c r="O38" s="35" t="s">
        <v>189</v>
      </c>
      <c r="P38" s="32" t="s">
        <v>115</v>
      </c>
      <c r="Q38" s="35" t="s">
        <v>105</v>
      </c>
      <c r="R38" s="30"/>
      <c r="S38" s="30"/>
      <c r="T38" s="30"/>
      <c r="U38" s="30"/>
      <c r="V38" s="30"/>
      <c r="W38" s="30"/>
      <c r="X38" s="33">
        <f t="shared" si="0"/>
        <v>2025</v>
      </c>
      <c r="Y38" s="33">
        <f t="shared" si="1"/>
        <v>12</v>
      </c>
      <c r="Z38" s="33">
        <f t="shared" si="2"/>
        <v>15</v>
      </c>
    </row>
    <row r="39" ht="83.25" hidden="1" spans="1:26">
      <c r="A39" s="35" t="s">
        <v>250</v>
      </c>
      <c r="B39" s="31">
        <v>45943</v>
      </c>
      <c r="C39" s="31">
        <v>46006</v>
      </c>
      <c r="D39" s="35" t="s">
        <v>5</v>
      </c>
      <c r="E39" s="32" t="s">
        <v>240</v>
      </c>
      <c r="F39" s="35" t="s">
        <v>241</v>
      </c>
      <c r="G39" s="41"/>
      <c r="H39" s="41" t="s">
        <v>34</v>
      </c>
      <c r="I39" s="30">
        <v>11266.2</v>
      </c>
      <c r="J39" s="30">
        <v>375.54</v>
      </c>
      <c r="K39" s="30" t="s">
        <v>242</v>
      </c>
      <c r="L39" s="35" t="s">
        <v>250</v>
      </c>
      <c r="M39" s="32" t="s">
        <v>11</v>
      </c>
      <c r="N39" s="32" t="s">
        <v>115</v>
      </c>
      <c r="O39" s="35" t="s">
        <v>189</v>
      </c>
      <c r="P39" s="32" t="s">
        <v>115</v>
      </c>
      <c r="Q39" s="35" t="s">
        <v>105</v>
      </c>
      <c r="R39" s="30"/>
      <c r="S39" s="30"/>
      <c r="T39" s="30"/>
      <c r="U39" s="30"/>
      <c r="V39" s="30"/>
      <c r="W39" s="30"/>
      <c r="X39" s="33">
        <f t="shared" si="0"/>
        <v>2025</v>
      </c>
      <c r="Y39" s="33">
        <f t="shared" si="1"/>
        <v>12</v>
      </c>
      <c r="Z39" s="33">
        <f t="shared" si="2"/>
        <v>15</v>
      </c>
    </row>
    <row r="40" ht="83.25" hidden="1" spans="1:26">
      <c r="A40" s="35" t="s">
        <v>251</v>
      </c>
      <c r="B40" s="31">
        <v>45943</v>
      </c>
      <c r="C40" s="31">
        <v>46006</v>
      </c>
      <c r="D40" s="35" t="s">
        <v>5</v>
      </c>
      <c r="E40" s="32" t="s">
        <v>240</v>
      </c>
      <c r="F40" s="35" t="s">
        <v>241</v>
      </c>
      <c r="G40" s="41"/>
      <c r="H40" s="41" t="s">
        <v>34</v>
      </c>
      <c r="I40" s="30">
        <v>4800</v>
      </c>
      <c r="J40" s="30">
        <v>160</v>
      </c>
      <c r="K40" s="30" t="s">
        <v>242</v>
      </c>
      <c r="L40" s="35" t="s">
        <v>251</v>
      </c>
      <c r="M40" s="32" t="s">
        <v>11</v>
      </c>
      <c r="N40" s="32" t="s">
        <v>115</v>
      </c>
      <c r="O40" s="35" t="s">
        <v>189</v>
      </c>
      <c r="P40" s="32" t="s">
        <v>115</v>
      </c>
      <c r="Q40" s="35" t="s">
        <v>105</v>
      </c>
      <c r="R40" s="30"/>
      <c r="S40" s="30"/>
      <c r="T40" s="30"/>
      <c r="U40" s="30"/>
      <c r="V40" s="30"/>
      <c r="W40" s="30"/>
      <c r="X40" s="33">
        <f t="shared" si="0"/>
        <v>2025</v>
      </c>
      <c r="Y40" s="33">
        <f t="shared" si="1"/>
        <v>12</v>
      </c>
      <c r="Z40" s="33">
        <f t="shared" si="2"/>
        <v>15</v>
      </c>
    </row>
    <row r="41" ht="83.25" hidden="1" spans="1:26">
      <c r="A41" s="35" t="s">
        <v>252</v>
      </c>
      <c r="B41" s="31">
        <v>45943</v>
      </c>
      <c r="C41" s="31">
        <v>46006</v>
      </c>
      <c r="D41" s="35" t="s">
        <v>5</v>
      </c>
      <c r="E41" s="32" t="s">
        <v>240</v>
      </c>
      <c r="F41" s="35" t="s">
        <v>241</v>
      </c>
      <c r="G41" s="41"/>
      <c r="H41" s="41" t="s">
        <v>34</v>
      </c>
      <c r="I41" s="30">
        <v>12204</v>
      </c>
      <c r="J41" s="30">
        <v>406.8</v>
      </c>
      <c r="K41" s="30" t="s">
        <v>242</v>
      </c>
      <c r="L41" s="35" t="s">
        <v>252</v>
      </c>
      <c r="M41" s="32" t="s">
        <v>11</v>
      </c>
      <c r="N41" s="32" t="s">
        <v>115</v>
      </c>
      <c r="O41" s="35" t="s">
        <v>189</v>
      </c>
      <c r="P41" s="32" t="s">
        <v>115</v>
      </c>
      <c r="Q41" s="35" t="s">
        <v>105</v>
      </c>
      <c r="R41" s="30"/>
      <c r="S41" s="30"/>
      <c r="T41" s="30"/>
      <c r="U41" s="30"/>
      <c r="V41" s="30"/>
      <c r="W41" s="30"/>
      <c r="X41" s="33">
        <f t="shared" si="0"/>
        <v>2025</v>
      </c>
      <c r="Y41" s="33">
        <f t="shared" si="1"/>
        <v>12</v>
      </c>
      <c r="Z41" s="33">
        <f t="shared" si="2"/>
        <v>15</v>
      </c>
    </row>
    <row r="42" ht="83.25" hidden="1" spans="1:26">
      <c r="A42" s="35" t="s">
        <v>253</v>
      </c>
      <c r="B42" s="31">
        <v>45943</v>
      </c>
      <c r="C42" s="31">
        <v>46006</v>
      </c>
      <c r="D42" s="35" t="s">
        <v>5</v>
      </c>
      <c r="E42" s="32" t="s">
        <v>240</v>
      </c>
      <c r="F42" s="35" t="s">
        <v>241</v>
      </c>
      <c r="G42" s="41"/>
      <c r="H42" s="41" t="s">
        <v>34</v>
      </c>
      <c r="I42" s="30">
        <v>14578.5</v>
      </c>
      <c r="J42" s="30">
        <v>485.95</v>
      </c>
      <c r="K42" s="30" t="s">
        <v>249</v>
      </c>
      <c r="L42" s="35" t="s">
        <v>253</v>
      </c>
      <c r="M42" s="32" t="s">
        <v>11</v>
      </c>
      <c r="N42" s="32" t="s">
        <v>115</v>
      </c>
      <c r="O42" s="35" t="s">
        <v>189</v>
      </c>
      <c r="P42" s="32" t="s">
        <v>115</v>
      </c>
      <c r="Q42" s="35" t="s">
        <v>105</v>
      </c>
      <c r="R42" s="30"/>
      <c r="S42" s="30"/>
      <c r="T42" s="30"/>
      <c r="U42" s="30"/>
      <c r="V42" s="30"/>
      <c r="W42" s="30"/>
      <c r="X42" s="33">
        <f t="shared" si="0"/>
        <v>2025</v>
      </c>
      <c r="Y42" s="33">
        <f t="shared" si="1"/>
        <v>12</v>
      </c>
      <c r="Z42" s="33">
        <f t="shared" si="2"/>
        <v>15</v>
      </c>
    </row>
    <row r="43" ht="83.25" hidden="1" spans="1:26">
      <c r="A43" s="35" t="s">
        <v>254</v>
      </c>
      <c r="B43" s="31">
        <v>45946</v>
      </c>
      <c r="C43" s="31">
        <v>46006</v>
      </c>
      <c r="D43" s="35" t="s">
        <v>5</v>
      </c>
      <c r="E43" s="32" t="s">
        <v>240</v>
      </c>
      <c r="F43" s="35" t="s">
        <v>241</v>
      </c>
      <c r="G43" s="41"/>
      <c r="H43" s="41" t="s">
        <v>34</v>
      </c>
      <c r="I43" s="30">
        <v>24489</v>
      </c>
      <c r="J43" s="30">
        <v>816.3</v>
      </c>
      <c r="K43" s="30" t="s">
        <v>255</v>
      </c>
      <c r="L43" s="35" t="s">
        <v>254</v>
      </c>
      <c r="M43" s="32" t="s">
        <v>11</v>
      </c>
      <c r="N43" s="32" t="s">
        <v>115</v>
      </c>
      <c r="O43" s="35" t="s">
        <v>189</v>
      </c>
      <c r="P43" s="32" t="s">
        <v>115</v>
      </c>
      <c r="Q43" s="35" t="s">
        <v>105</v>
      </c>
      <c r="R43" s="30"/>
      <c r="S43" s="30"/>
      <c r="T43" s="30"/>
      <c r="U43" s="30"/>
      <c r="V43" s="30"/>
      <c r="W43" s="30"/>
      <c r="X43" s="33">
        <f t="shared" si="0"/>
        <v>2025</v>
      </c>
      <c r="Y43" s="33">
        <f t="shared" si="1"/>
        <v>12</v>
      </c>
      <c r="Z43" s="33">
        <f t="shared" si="2"/>
        <v>15</v>
      </c>
    </row>
    <row r="44" ht="409.5" hidden="1" spans="1:26">
      <c r="A44" s="35" t="s">
        <v>256</v>
      </c>
      <c r="B44" s="31">
        <v>45957</v>
      </c>
      <c r="C44" s="31">
        <v>46001</v>
      </c>
      <c r="D44" s="35" t="s">
        <v>5</v>
      </c>
      <c r="E44" s="32" t="s">
        <v>257</v>
      </c>
      <c r="F44" s="32" t="s">
        <v>258</v>
      </c>
      <c r="G44" s="41"/>
      <c r="H44" s="41" t="s">
        <v>54</v>
      </c>
      <c r="I44" s="30">
        <v>30382</v>
      </c>
      <c r="J44" s="30">
        <v>1500</v>
      </c>
      <c r="K44" s="35" t="s">
        <v>259</v>
      </c>
      <c r="L44" s="30" t="s">
        <v>256</v>
      </c>
      <c r="M44" s="32" t="s">
        <v>13</v>
      </c>
      <c r="N44" s="32" t="s">
        <v>115</v>
      </c>
      <c r="O44" s="35" t="s">
        <v>260</v>
      </c>
      <c r="P44" s="30"/>
      <c r="Q44" s="30"/>
      <c r="R44" s="30"/>
      <c r="S44" s="30"/>
      <c r="T44" s="30"/>
      <c r="U44" s="30"/>
      <c r="V44" s="30"/>
      <c r="W44" s="30"/>
      <c r="X44" s="33">
        <f t="shared" si="0"/>
        <v>2025</v>
      </c>
      <c r="Y44" s="33">
        <f t="shared" si="1"/>
        <v>12</v>
      </c>
      <c r="Z44" s="33">
        <f t="shared" si="2"/>
        <v>10</v>
      </c>
    </row>
    <row r="45" ht="27.75" hidden="1" spans="1:26">
      <c r="A45" s="35" t="s">
        <v>261</v>
      </c>
      <c r="B45" s="34" t="s">
        <v>262</v>
      </c>
      <c r="C45" s="31">
        <v>46001</v>
      </c>
      <c r="D45" s="35" t="s">
        <v>263</v>
      </c>
      <c r="E45" s="32" t="s">
        <v>264</v>
      </c>
      <c r="F45" s="30" t="s">
        <v>265</v>
      </c>
      <c r="G45" s="32"/>
      <c r="H45" s="32" t="s">
        <v>266</v>
      </c>
      <c r="I45" s="30">
        <v>34549</v>
      </c>
      <c r="J45" s="35" t="s">
        <v>267</v>
      </c>
      <c r="K45" s="35" t="s">
        <v>259</v>
      </c>
      <c r="L45" s="35" t="s">
        <v>268</v>
      </c>
      <c r="M45" s="32" t="s">
        <v>13</v>
      </c>
      <c r="N45" s="32" t="s">
        <v>115</v>
      </c>
      <c r="O45" s="35" t="s">
        <v>260</v>
      </c>
      <c r="P45" s="30"/>
      <c r="Q45" s="30"/>
      <c r="R45" s="30"/>
      <c r="S45" s="30"/>
      <c r="T45" s="30"/>
      <c r="U45" s="30"/>
      <c r="V45" s="30"/>
      <c r="W45" s="30"/>
      <c r="X45" s="33">
        <f t="shared" si="0"/>
        <v>2025</v>
      </c>
      <c r="Y45" s="33">
        <f t="shared" si="1"/>
        <v>12</v>
      </c>
      <c r="Z45" s="33">
        <f t="shared" si="2"/>
        <v>10</v>
      </c>
    </row>
    <row r="46" ht="41.65" hidden="1" spans="1:26">
      <c r="A46" s="35" t="s">
        <v>269</v>
      </c>
      <c r="B46" s="31">
        <v>45950</v>
      </c>
      <c r="C46" s="31">
        <v>45988</v>
      </c>
      <c r="D46" s="35" t="s">
        <v>5</v>
      </c>
      <c r="E46" s="26" t="s">
        <v>270</v>
      </c>
      <c r="F46" s="35" t="s">
        <v>271</v>
      </c>
      <c r="G46" s="41"/>
      <c r="H46" s="41" t="s">
        <v>54</v>
      </c>
      <c r="I46" s="30">
        <v>97622</v>
      </c>
      <c r="J46" s="30">
        <v>1952.44</v>
      </c>
      <c r="K46" s="35" t="s">
        <v>259</v>
      </c>
      <c r="L46" s="30" t="s">
        <v>272</v>
      </c>
      <c r="M46" s="32" t="s">
        <v>13</v>
      </c>
      <c r="N46" s="32" t="s">
        <v>115</v>
      </c>
      <c r="O46" s="35" t="s">
        <v>273</v>
      </c>
      <c r="P46" s="32" t="s">
        <v>115</v>
      </c>
      <c r="Q46" s="35" t="s">
        <v>105</v>
      </c>
      <c r="R46" s="30"/>
      <c r="S46" s="30"/>
      <c r="T46" s="30"/>
      <c r="U46" s="30"/>
      <c r="V46" s="30"/>
      <c r="W46" s="30"/>
      <c r="X46" s="33">
        <f t="shared" si="0"/>
        <v>2025</v>
      </c>
      <c r="Y46" s="33">
        <f t="shared" si="1"/>
        <v>11</v>
      </c>
      <c r="Z46" s="33">
        <f t="shared" si="2"/>
        <v>27</v>
      </c>
    </row>
    <row r="47" ht="55.5" hidden="1" spans="1:26">
      <c r="A47" s="35" t="s">
        <v>272</v>
      </c>
      <c r="B47" s="31">
        <v>45961</v>
      </c>
      <c r="C47" s="31">
        <v>46006</v>
      </c>
      <c r="D47" s="35" t="s">
        <v>5</v>
      </c>
      <c r="E47" s="32" t="s">
        <v>274</v>
      </c>
      <c r="F47" s="35" t="s">
        <v>275</v>
      </c>
      <c r="G47" s="26"/>
      <c r="H47" s="26"/>
      <c r="I47" s="30"/>
      <c r="J47" s="30"/>
      <c r="K47" s="30"/>
      <c r="L47" s="30"/>
      <c r="M47" s="26"/>
      <c r="N47" s="26"/>
      <c r="O47" s="30"/>
      <c r="P47" s="30"/>
      <c r="Q47" s="30"/>
      <c r="R47" s="30"/>
      <c r="S47" s="30"/>
      <c r="T47" s="30"/>
      <c r="U47" s="30"/>
      <c r="V47" s="30"/>
      <c r="W47" s="30"/>
      <c r="X47" s="33">
        <f t="shared" si="0"/>
        <v>2025</v>
      </c>
      <c r="Y47" s="33">
        <f t="shared" si="1"/>
        <v>12</v>
      </c>
      <c r="Z47" s="33">
        <f t="shared" si="2"/>
        <v>15</v>
      </c>
    </row>
    <row r="48" ht="409.5" hidden="1" spans="1:26">
      <c r="A48" s="35" t="s">
        <v>276</v>
      </c>
      <c r="B48" s="34" t="s">
        <v>277</v>
      </c>
      <c r="C48" s="31">
        <v>46000</v>
      </c>
      <c r="D48" s="35" t="s">
        <v>5</v>
      </c>
      <c r="E48" s="30" t="s">
        <v>127</v>
      </c>
      <c r="F48" s="32" t="s">
        <v>278</v>
      </c>
      <c r="G48" s="26"/>
      <c r="H48" s="26"/>
      <c r="I48" s="30"/>
      <c r="J48" s="30"/>
      <c r="K48" s="30"/>
      <c r="L48" s="30"/>
      <c r="M48" s="26"/>
      <c r="N48" s="26"/>
      <c r="O48" s="30"/>
      <c r="P48" s="30"/>
      <c r="Q48" s="30"/>
      <c r="R48" s="30"/>
      <c r="S48" s="30"/>
      <c r="T48" s="30"/>
      <c r="U48" s="30"/>
      <c r="V48" s="30"/>
      <c r="W48" s="30"/>
      <c r="X48" s="33">
        <f t="shared" si="0"/>
        <v>2025</v>
      </c>
      <c r="Y48" s="33">
        <f t="shared" si="1"/>
        <v>12</v>
      </c>
      <c r="Z48" s="33">
        <f t="shared" si="2"/>
        <v>9</v>
      </c>
    </row>
    <row r="49" ht="409.5" hidden="1" spans="1:26">
      <c r="A49" s="35" t="s">
        <v>279</v>
      </c>
      <c r="B49" s="31">
        <v>45989</v>
      </c>
      <c r="C49" s="31">
        <v>46000</v>
      </c>
      <c r="D49" s="30" t="s">
        <v>5</v>
      </c>
      <c r="E49" s="32" t="s">
        <v>280</v>
      </c>
      <c r="F49" s="32" t="s">
        <v>281</v>
      </c>
      <c r="G49" s="26"/>
      <c r="H49" s="26" t="s">
        <v>34</v>
      </c>
      <c r="I49" s="35">
        <v>32.32</v>
      </c>
      <c r="J49" s="35">
        <v>161.6</v>
      </c>
      <c r="K49" s="35" t="s">
        <v>282</v>
      </c>
      <c r="L49" s="35" t="s">
        <v>283</v>
      </c>
      <c r="M49" s="32" t="s">
        <v>14</v>
      </c>
      <c r="N49" s="32" t="s">
        <v>115</v>
      </c>
      <c r="O49" s="32" t="s">
        <v>284</v>
      </c>
      <c r="P49" s="32"/>
      <c r="Q49" s="35"/>
      <c r="R49" s="30"/>
      <c r="S49" s="30"/>
      <c r="T49" s="30"/>
      <c r="U49" s="30"/>
      <c r="V49" s="30"/>
      <c r="W49" s="30"/>
      <c r="X49" s="33">
        <f t="shared" si="0"/>
        <v>2025</v>
      </c>
      <c r="Y49" s="33">
        <f t="shared" si="1"/>
        <v>12</v>
      </c>
      <c r="Z49" s="33">
        <f t="shared" si="2"/>
        <v>9</v>
      </c>
    </row>
    <row r="50" ht="409.5" hidden="1" spans="1:26">
      <c r="A50" s="35" t="s">
        <v>285</v>
      </c>
      <c r="B50" s="31">
        <v>46001</v>
      </c>
      <c r="C50" s="31">
        <v>46007</v>
      </c>
      <c r="D50" s="30" t="s">
        <v>5</v>
      </c>
      <c r="E50" s="32" t="s">
        <v>286</v>
      </c>
      <c r="F50" s="32" t="s">
        <v>287</v>
      </c>
      <c r="G50" s="26"/>
      <c r="H50" s="26" t="s">
        <v>34</v>
      </c>
      <c r="I50" s="35">
        <v>9872.5</v>
      </c>
      <c r="J50" s="35">
        <v>233.08</v>
      </c>
      <c r="K50" s="35" t="s">
        <v>288</v>
      </c>
      <c r="L50" s="35" t="s">
        <v>285</v>
      </c>
      <c r="M50" s="32" t="s">
        <v>13</v>
      </c>
      <c r="N50" s="32" t="s">
        <v>115</v>
      </c>
      <c r="O50" s="32" t="s">
        <v>260</v>
      </c>
      <c r="P50" s="32"/>
      <c r="Q50" s="35"/>
      <c r="R50" s="30"/>
      <c r="S50" s="30"/>
      <c r="T50" s="30"/>
      <c r="U50" s="30"/>
      <c r="V50" s="30"/>
      <c r="W50" s="30"/>
      <c r="X50" s="33">
        <f t="shared" si="0"/>
        <v>2025</v>
      </c>
      <c r="Y50" s="33">
        <f t="shared" si="1"/>
        <v>12</v>
      </c>
      <c r="Z50" s="33">
        <f t="shared" si="2"/>
        <v>16</v>
      </c>
    </row>
    <row r="51" ht="409.5" hidden="1" spans="1:26">
      <c r="A51" s="35" t="s">
        <v>289</v>
      </c>
      <c r="B51" s="31">
        <v>45980</v>
      </c>
      <c r="C51" s="31">
        <v>46001</v>
      </c>
      <c r="D51" s="30" t="s">
        <v>5</v>
      </c>
      <c r="E51" s="32" t="s">
        <v>290</v>
      </c>
      <c r="F51" s="32" t="s">
        <v>291</v>
      </c>
      <c r="G51" s="26"/>
      <c r="H51" s="26" t="s">
        <v>37</v>
      </c>
      <c r="I51" s="35">
        <v>38576.65</v>
      </c>
      <c r="J51" s="35">
        <v>477.09</v>
      </c>
      <c r="K51" s="35" t="s">
        <v>292</v>
      </c>
      <c r="L51" s="35" t="s">
        <v>289</v>
      </c>
      <c r="M51" s="32" t="s">
        <v>13</v>
      </c>
      <c r="N51" s="32" t="s">
        <v>115</v>
      </c>
      <c r="O51" s="32" t="s">
        <v>293</v>
      </c>
      <c r="P51" s="32"/>
      <c r="Q51" s="35"/>
      <c r="R51" s="30"/>
      <c r="S51" s="30"/>
      <c r="T51" s="30"/>
      <c r="U51" s="30"/>
      <c r="V51" s="30"/>
      <c r="W51" s="30"/>
      <c r="X51" s="33">
        <f t="shared" si="0"/>
        <v>2025</v>
      </c>
      <c r="Y51" s="33">
        <f t="shared" si="1"/>
        <v>12</v>
      </c>
      <c r="Z51" s="33">
        <f t="shared" si="2"/>
        <v>10</v>
      </c>
    </row>
    <row r="52" ht="409.5" hidden="1" spans="1:26">
      <c r="A52" s="35" t="s">
        <v>294</v>
      </c>
      <c r="B52" s="31">
        <v>45987</v>
      </c>
      <c r="C52" s="31">
        <v>46001</v>
      </c>
      <c r="D52" s="30" t="s">
        <v>5</v>
      </c>
      <c r="E52" s="32" t="s">
        <v>290</v>
      </c>
      <c r="F52" s="32" t="s">
        <v>295</v>
      </c>
      <c r="G52" s="26"/>
      <c r="H52" s="26" t="s">
        <v>34</v>
      </c>
      <c r="I52" s="35">
        <v>5240.75</v>
      </c>
      <c r="J52" s="35">
        <v>505.74</v>
      </c>
      <c r="K52" s="35" t="s">
        <v>296</v>
      </c>
      <c r="L52" s="35" t="s">
        <v>289</v>
      </c>
      <c r="M52" s="32" t="s">
        <v>13</v>
      </c>
      <c r="N52" s="32" t="s">
        <v>115</v>
      </c>
      <c r="O52" s="32" t="s">
        <v>293</v>
      </c>
      <c r="P52" s="32"/>
      <c r="Q52" s="35"/>
      <c r="R52" s="30"/>
      <c r="S52" s="30"/>
      <c r="T52" s="30"/>
      <c r="U52" s="30"/>
      <c r="V52" s="30"/>
      <c r="W52" s="30"/>
      <c r="X52" s="33">
        <f t="shared" si="0"/>
        <v>2025</v>
      </c>
      <c r="Y52" s="33">
        <f t="shared" si="1"/>
        <v>12</v>
      </c>
      <c r="Z52" s="33">
        <f t="shared" si="2"/>
        <v>10</v>
      </c>
    </row>
    <row r="53" ht="409.5" hidden="1" spans="1:26">
      <c r="A53" s="35" t="s">
        <v>206</v>
      </c>
      <c r="B53" s="31">
        <v>45984</v>
      </c>
      <c r="C53" s="31">
        <v>46007</v>
      </c>
      <c r="D53" s="30" t="s">
        <v>5</v>
      </c>
      <c r="E53" s="32" t="s">
        <v>297</v>
      </c>
      <c r="F53" s="32" t="s">
        <v>298</v>
      </c>
      <c r="G53" s="26"/>
      <c r="H53" s="26" t="s">
        <v>34</v>
      </c>
      <c r="I53" s="35">
        <v>2224.53</v>
      </c>
      <c r="J53" s="35">
        <v>196.3</v>
      </c>
      <c r="K53" s="35" t="s">
        <v>296</v>
      </c>
      <c r="L53" s="35" t="s">
        <v>206</v>
      </c>
      <c r="M53" s="32" t="s">
        <v>13</v>
      </c>
      <c r="N53" s="32" t="s">
        <v>115</v>
      </c>
      <c r="O53" s="32" t="s">
        <v>293</v>
      </c>
      <c r="P53" s="32"/>
      <c r="Q53" s="35"/>
      <c r="R53" s="30"/>
      <c r="S53" s="30"/>
      <c r="T53" s="30"/>
      <c r="U53" s="30"/>
      <c r="V53" s="30"/>
      <c r="W53" s="30"/>
      <c r="X53" s="33">
        <f t="shared" si="0"/>
        <v>2025</v>
      </c>
      <c r="Y53" s="33">
        <f t="shared" si="1"/>
        <v>12</v>
      </c>
      <c r="Z53" s="33">
        <f t="shared" si="2"/>
        <v>16</v>
      </c>
    </row>
    <row r="54" ht="409.5" hidden="1" spans="1:26">
      <c r="A54" s="35" t="s">
        <v>299</v>
      </c>
      <c r="B54" s="31">
        <v>45960</v>
      </c>
      <c r="C54" s="31">
        <v>45994</v>
      </c>
      <c r="D54" s="30" t="s">
        <v>5</v>
      </c>
      <c r="E54" s="32" t="s">
        <v>300</v>
      </c>
      <c r="F54" s="32" t="s">
        <v>301</v>
      </c>
      <c r="G54" s="26"/>
      <c r="H54" s="26" t="s">
        <v>34</v>
      </c>
      <c r="I54" s="35">
        <v>6151.2</v>
      </c>
      <c r="J54" s="35">
        <v>102.52</v>
      </c>
      <c r="K54" s="32" t="s">
        <v>302</v>
      </c>
      <c r="L54" s="35" t="s">
        <v>299</v>
      </c>
      <c r="M54" s="32" t="s">
        <v>13</v>
      </c>
      <c r="N54" s="32" t="s">
        <v>115</v>
      </c>
      <c r="O54" s="32" t="s">
        <v>293</v>
      </c>
      <c r="P54" s="32"/>
      <c r="Q54" s="35"/>
      <c r="R54" s="30"/>
      <c r="S54" s="30"/>
      <c r="T54" s="30"/>
      <c r="U54" s="30"/>
      <c r="V54" s="30"/>
      <c r="W54" s="30"/>
      <c r="X54" s="33">
        <f t="shared" si="0"/>
        <v>2025</v>
      </c>
      <c r="Y54" s="33">
        <f t="shared" si="1"/>
        <v>12</v>
      </c>
      <c r="Z54" s="33">
        <f t="shared" si="2"/>
        <v>3</v>
      </c>
    </row>
    <row r="55" ht="409.5" hidden="1" spans="1:26">
      <c r="A55" s="35" t="s">
        <v>303</v>
      </c>
      <c r="B55" s="31">
        <v>45952</v>
      </c>
      <c r="C55" s="31">
        <v>45952</v>
      </c>
      <c r="D55" s="30" t="s">
        <v>5</v>
      </c>
      <c r="E55" s="32" t="s">
        <v>304</v>
      </c>
      <c r="F55" s="32" t="s">
        <v>305</v>
      </c>
      <c r="G55" s="26"/>
      <c r="H55" s="26" t="s">
        <v>34</v>
      </c>
      <c r="I55" s="43">
        <v>2030</v>
      </c>
      <c r="J55" s="35">
        <v>209.155</v>
      </c>
      <c r="K55" s="35" t="s">
        <v>306</v>
      </c>
      <c r="L55" s="35" t="s">
        <v>303</v>
      </c>
      <c r="M55" s="32" t="s">
        <v>13</v>
      </c>
      <c r="N55" s="32" t="s">
        <v>115</v>
      </c>
      <c r="O55" s="32" t="s">
        <v>293</v>
      </c>
      <c r="P55" s="32"/>
      <c r="Q55" s="35"/>
      <c r="R55" s="30"/>
      <c r="S55" s="30"/>
      <c r="T55" s="30"/>
      <c r="U55" s="30"/>
      <c r="V55" s="30"/>
      <c r="W55" s="30"/>
      <c r="X55" s="33">
        <f t="shared" si="0"/>
        <v>2025</v>
      </c>
      <c r="Y55" s="33">
        <f t="shared" si="1"/>
        <v>10</v>
      </c>
      <c r="Z55" s="33">
        <f t="shared" si="2"/>
        <v>22</v>
      </c>
    </row>
    <row r="56" ht="409.5" hidden="1" spans="1:26">
      <c r="A56" s="35" t="s">
        <v>307</v>
      </c>
      <c r="B56" s="31">
        <v>45916</v>
      </c>
      <c r="C56" s="31">
        <v>45916</v>
      </c>
      <c r="D56" s="30" t="s">
        <v>5</v>
      </c>
      <c r="E56" s="32" t="s">
        <v>308</v>
      </c>
      <c r="F56" s="32" t="s">
        <v>309</v>
      </c>
      <c r="G56" s="26"/>
      <c r="H56" s="26" t="s">
        <v>54</v>
      </c>
      <c r="I56" s="35">
        <v>39975.2</v>
      </c>
      <c r="J56" s="35">
        <v>699.62</v>
      </c>
      <c r="K56" s="35" t="s">
        <v>310</v>
      </c>
      <c r="L56" s="35" t="s">
        <v>307</v>
      </c>
      <c r="M56" s="32" t="s">
        <v>10</v>
      </c>
      <c r="N56" s="32"/>
      <c r="O56" s="32"/>
      <c r="P56" s="32"/>
      <c r="Q56" s="35"/>
      <c r="R56" s="30"/>
      <c r="S56" s="30"/>
      <c r="T56" s="30"/>
      <c r="U56" s="30"/>
      <c r="V56" s="30"/>
      <c r="W56" s="30"/>
      <c r="X56" s="33">
        <f t="shared" si="0"/>
        <v>2025</v>
      </c>
      <c r="Y56" s="33">
        <f t="shared" si="1"/>
        <v>9</v>
      </c>
      <c r="Z56" s="33">
        <f t="shared" si="2"/>
        <v>16</v>
      </c>
    </row>
    <row r="57" ht="318.75" hidden="1" spans="1:26">
      <c r="A57" s="35" t="s">
        <v>311</v>
      </c>
      <c r="B57" s="31">
        <v>46000</v>
      </c>
      <c r="C57" s="31">
        <v>46009</v>
      </c>
      <c r="D57" s="35" t="s">
        <v>5</v>
      </c>
      <c r="E57" s="32" t="s">
        <v>312</v>
      </c>
      <c r="F57" s="32" t="s">
        <v>313</v>
      </c>
      <c r="G57" s="26"/>
      <c r="H57" s="26" t="s">
        <v>34</v>
      </c>
      <c r="I57" s="35">
        <v>2439.9</v>
      </c>
      <c r="J57" s="35">
        <v>162.66</v>
      </c>
      <c r="K57" s="35" t="s">
        <v>314</v>
      </c>
      <c r="L57" s="35" t="s">
        <v>311</v>
      </c>
      <c r="M57" s="32" t="s">
        <v>311</v>
      </c>
      <c r="N57" s="32"/>
      <c r="O57" s="32"/>
      <c r="P57" s="32"/>
      <c r="Q57" s="35"/>
      <c r="R57" s="30"/>
      <c r="S57" s="30"/>
      <c r="T57" s="30"/>
      <c r="U57" s="30"/>
      <c r="V57" s="30"/>
      <c r="W57" s="30"/>
      <c r="X57" s="33">
        <f t="shared" si="0"/>
        <v>2025</v>
      </c>
      <c r="Y57" s="33">
        <f t="shared" si="1"/>
        <v>12</v>
      </c>
      <c r="Z57" s="33">
        <f t="shared" si="2"/>
        <v>18</v>
      </c>
    </row>
    <row r="58" ht="318.75" hidden="1" spans="1:26">
      <c r="A58" s="35" t="s">
        <v>315</v>
      </c>
      <c r="B58" s="31">
        <v>45991</v>
      </c>
      <c r="C58" s="31">
        <v>46010</v>
      </c>
      <c r="D58" s="35" t="s">
        <v>5</v>
      </c>
      <c r="E58" s="32" t="s">
        <v>316</v>
      </c>
      <c r="F58" s="32" t="s">
        <v>317</v>
      </c>
      <c r="G58" s="26"/>
      <c r="H58" s="26" t="s">
        <v>54</v>
      </c>
      <c r="I58" s="35">
        <v>14963.16</v>
      </c>
      <c r="J58" s="35">
        <v>997.544</v>
      </c>
      <c r="K58" s="35" t="s">
        <v>232</v>
      </c>
      <c r="L58" s="35" t="s">
        <v>315</v>
      </c>
      <c r="M58" s="32" t="s">
        <v>10</v>
      </c>
      <c r="N58" s="32" t="s">
        <v>115</v>
      </c>
      <c r="O58" s="32" t="s">
        <v>318</v>
      </c>
      <c r="P58" s="32"/>
      <c r="Q58" s="35"/>
      <c r="R58" s="30"/>
      <c r="S58" s="30"/>
      <c r="T58" s="30"/>
      <c r="U58" s="30"/>
      <c r="V58" s="30"/>
      <c r="W58" s="30"/>
      <c r="X58" s="33">
        <f t="shared" si="0"/>
        <v>2025</v>
      </c>
      <c r="Y58" s="33">
        <f t="shared" si="1"/>
        <v>12</v>
      </c>
      <c r="Z58" s="33">
        <f t="shared" si="2"/>
        <v>19</v>
      </c>
    </row>
    <row r="59" ht="249.4" hidden="1" spans="1:26">
      <c r="A59" s="35" t="s">
        <v>319</v>
      </c>
      <c r="B59" s="31">
        <v>46001</v>
      </c>
      <c r="C59" s="31">
        <v>46010</v>
      </c>
      <c r="D59" s="35" t="s">
        <v>5</v>
      </c>
      <c r="E59" s="32" t="s">
        <v>320</v>
      </c>
      <c r="F59" s="32" t="s">
        <v>321</v>
      </c>
      <c r="G59" s="26"/>
      <c r="H59" s="26" t="s">
        <v>54</v>
      </c>
      <c r="I59" s="35">
        <v>1617.6</v>
      </c>
      <c r="J59" s="35">
        <v>161.76</v>
      </c>
      <c r="K59" s="35" t="s">
        <v>322</v>
      </c>
      <c r="L59" s="35" t="s">
        <v>319</v>
      </c>
      <c r="M59" s="32" t="s">
        <v>10</v>
      </c>
      <c r="N59" s="32" t="s">
        <v>115</v>
      </c>
      <c r="O59" s="32" t="s">
        <v>323</v>
      </c>
      <c r="P59" s="32"/>
      <c r="Q59" s="35"/>
      <c r="R59" s="30"/>
      <c r="S59" s="30"/>
      <c r="T59" s="30"/>
      <c r="U59" s="30"/>
      <c r="V59" s="30"/>
      <c r="W59" s="30"/>
      <c r="X59" s="33">
        <f t="shared" si="0"/>
        <v>2025</v>
      </c>
      <c r="Y59" s="33">
        <f t="shared" si="1"/>
        <v>12</v>
      </c>
      <c r="Z59" s="33">
        <f t="shared" si="2"/>
        <v>19</v>
      </c>
    </row>
    <row r="60" ht="263.25" hidden="1" spans="1:26">
      <c r="A60" s="35" t="s">
        <v>324</v>
      </c>
      <c r="B60" s="31">
        <v>46001</v>
      </c>
      <c r="C60" s="31">
        <v>46010</v>
      </c>
      <c r="D60" s="35" t="s">
        <v>5</v>
      </c>
      <c r="E60" s="32" t="s">
        <v>320</v>
      </c>
      <c r="F60" s="32" t="s">
        <v>325</v>
      </c>
      <c r="G60" s="26"/>
      <c r="H60" s="26" t="s">
        <v>54</v>
      </c>
      <c r="I60" s="35">
        <v>1896.8</v>
      </c>
      <c r="J60" s="35">
        <v>189.68</v>
      </c>
      <c r="K60" s="35" t="s">
        <v>322</v>
      </c>
      <c r="L60" s="35" t="s">
        <v>324</v>
      </c>
      <c r="M60" s="32" t="s">
        <v>10</v>
      </c>
      <c r="N60" s="32" t="s">
        <v>115</v>
      </c>
      <c r="O60" s="32" t="s">
        <v>323</v>
      </c>
      <c r="P60" s="32"/>
      <c r="Q60" s="35"/>
      <c r="R60" s="30"/>
      <c r="S60" s="30"/>
      <c r="T60" s="30"/>
      <c r="U60" s="30"/>
      <c r="V60" s="30"/>
      <c r="W60" s="30"/>
      <c r="X60" s="33">
        <f t="shared" si="0"/>
        <v>2025</v>
      </c>
      <c r="Y60" s="33">
        <f t="shared" si="1"/>
        <v>12</v>
      </c>
      <c r="Z60" s="33">
        <f t="shared" si="2"/>
        <v>19</v>
      </c>
    </row>
    <row r="61" ht="249.4" hidden="1" spans="1:26">
      <c r="A61" s="35" t="s">
        <v>326</v>
      </c>
      <c r="B61" s="31">
        <v>46001</v>
      </c>
      <c r="C61" s="31">
        <v>46010</v>
      </c>
      <c r="D61" s="35" t="s">
        <v>5</v>
      </c>
      <c r="E61" s="32" t="s">
        <v>320</v>
      </c>
      <c r="F61" s="32" t="s">
        <v>327</v>
      </c>
      <c r="G61" s="26"/>
      <c r="H61" s="26" t="s">
        <v>34</v>
      </c>
      <c r="I61" s="35">
        <v>292</v>
      </c>
      <c r="J61" s="35">
        <v>29.2</v>
      </c>
      <c r="K61" s="35" t="s">
        <v>322</v>
      </c>
      <c r="L61" s="35" t="s">
        <v>326</v>
      </c>
      <c r="M61" s="32" t="s">
        <v>10</v>
      </c>
      <c r="N61" s="32" t="s">
        <v>115</v>
      </c>
      <c r="O61" s="32" t="s">
        <v>323</v>
      </c>
      <c r="P61" s="32"/>
      <c r="Q61" s="35"/>
      <c r="R61" s="30"/>
      <c r="S61" s="30"/>
      <c r="T61" s="30"/>
      <c r="U61" s="30"/>
      <c r="V61" s="30"/>
      <c r="W61" s="30"/>
      <c r="X61" s="33">
        <f t="shared" si="0"/>
        <v>2025</v>
      </c>
      <c r="Y61" s="33">
        <f t="shared" si="1"/>
        <v>12</v>
      </c>
      <c r="Z61" s="33">
        <f t="shared" si="2"/>
        <v>19</v>
      </c>
    </row>
    <row r="62" ht="277.15" hidden="1" spans="1:26">
      <c r="A62" s="35" t="s">
        <v>328</v>
      </c>
      <c r="B62" s="31">
        <v>46001</v>
      </c>
      <c r="C62" s="31">
        <v>46010</v>
      </c>
      <c r="D62" s="35" t="s">
        <v>5</v>
      </c>
      <c r="E62" s="32" t="s">
        <v>320</v>
      </c>
      <c r="F62" s="32" t="s">
        <v>329</v>
      </c>
      <c r="G62" s="26"/>
      <c r="H62" s="26" t="s">
        <v>34</v>
      </c>
      <c r="I62" s="35">
        <v>11542</v>
      </c>
      <c r="J62" s="35">
        <v>1154.2</v>
      </c>
      <c r="K62" s="35" t="s">
        <v>330</v>
      </c>
      <c r="L62" s="35" t="s">
        <v>328</v>
      </c>
      <c r="M62" s="32" t="s">
        <v>10</v>
      </c>
      <c r="N62" s="32" t="s">
        <v>115</v>
      </c>
      <c r="O62" s="32" t="s">
        <v>323</v>
      </c>
      <c r="P62" s="32"/>
      <c r="Q62" s="35"/>
      <c r="R62" s="30"/>
      <c r="S62" s="30"/>
      <c r="T62" s="30"/>
      <c r="U62" s="30"/>
      <c r="V62" s="30"/>
      <c r="W62" s="30"/>
      <c r="X62" s="33">
        <f t="shared" si="0"/>
        <v>2025</v>
      </c>
      <c r="Y62" s="33">
        <f t="shared" si="1"/>
        <v>12</v>
      </c>
      <c r="Z62" s="33">
        <f t="shared" si="2"/>
        <v>19</v>
      </c>
    </row>
    <row r="63" ht="346.5" hidden="1" spans="1:26">
      <c r="A63" s="35" t="s">
        <v>331</v>
      </c>
      <c r="B63" s="31">
        <v>46001</v>
      </c>
      <c r="C63" s="31">
        <v>46010</v>
      </c>
      <c r="D63" s="35" t="s">
        <v>5</v>
      </c>
      <c r="E63" s="32" t="s">
        <v>320</v>
      </c>
      <c r="F63" s="32" t="s">
        <v>332</v>
      </c>
      <c r="G63" s="26"/>
      <c r="H63" s="26" t="s">
        <v>54</v>
      </c>
      <c r="I63" s="35">
        <v>8239.8</v>
      </c>
      <c r="J63" s="35">
        <v>549.32</v>
      </c>
      <c r="K63" s="35" t="s">
        <v>333</v>
      </c>
      <c r="L63" s="35" t="s">
        <v>331</v>
      </c>
      <c r="M63" s="32" t="s">
        <v>10</v>
      </c>
      <c r="N63" s="32" t="s">
        <v>115</v>
      </c>
      <c r="O63" s="32" t="s">
        <v>323</v>
      </c>
      <c r="P63" s="32"/>
      <c r="Q63" s="35"/>
      <c r="R63" s="30"/>
      <c r="S63" s="30"/>
      <c r="T63" s="30"/>
      <c r="U63" s="30"/>
      <c r="V63" s="30"/>
      <c r="W63" s="30"/>
      <c r="X63" s="33">
        <f t="shared" si="0"/>
        <v>2025</v>
      </c>
      <c r="Y63" s="33">
        <f t="shared" si="1"/>
        <v>12</v>
      </c>
      <c r="Z63" s="33">
        <f t="shared" si="2"/>
        <v>19</v>
      </c>
    </row>
    <row r="64" ht="409.5" hidden="1" spans="1:26">
      <c r="A64" s="44" t="s">
        <v>334</v>
      </c>
      <c r="B64" s="31">
        <v>45920</v>
      </c>
      <c r="C64" s="31">
        <v>46010</v>
      </c>
      <c r="D64" s="35" t="s">
        <v>5</v>
      </c>
      <c r="E64" s="32" t="s">
        <v>335</v>
      </c>
      <c r="F64" s="32" t="s">
        <v>336</v>
      </c>
      <c r="G64" s="26"/>
      <c r="H64" s="26" t="s">
        <v>34</v>
      </c>
      <c r="I64" s="45">
        <v>7560.3</v>
      </c>
      <c r="J64" s="45">
        <v>252.01</v>
      </c>
      <c r="K64" s="45" t="s">
        <v>337</v>
      </c>
      <c r="L64" s="45" t="s">
        <v>334</v>
      </c>
      <c r="M64" s="32" t="s">
        <v>11</v>
      </c>
      <c r="N64" s="32" t="s">
        <v>115</v>
      </c>
      <c r="O64" s="32" t="s">
        <v>189</v>
      </c>
      <c r="P64" s="32"/>
      <c r="Q64" s="35"/>
      <c r="R64" s="30"/>
      <c r="S64" s="30"/>
      <c r="T64" s="30"/>
      <c r="U64" s="30"/>
      <c r="V64" s="30"/>
      <c r="W64" s="30"/>
      <c r="X64" s="33">
        <f t="shared" si="0"/>
        <v>2025</v>
      </c>
      <c r="Y64" s="33">
        <f t="shared" si="1"/>
        <v>12</v>
      </c>
      <c r="Z64" s="33">
        <f t="shared" si="2"/>
        <v>19</v>
      </c>
    </row>
    <row r="65" ht="409.5" hidden="1" spans="1:26">
      <c r="A65" s="35" t="s">
        <v>338</v>
      </c>
      <c r="B65" s="31">
        <v>45941</v>
      </c>
      <c r="C65" s="31">
        <v>46010</v>
      </c>
      <c r="D65" s="35" t="s">
        <v>5</v>
      </c>
      <c r="E65" s="44" t="s">
        <v>339</v>
      </c>
      <c r="F65" s="32" t="s">
        <v>340</v>
      </c>
      <c r="G65" s="26"/>
      <c r="H65" s="26" t="s">
        <v>34</v>
      </c>
      <c r="I65" s="45">
        <v>35080.4</v>
      </c>
      <c r="J65" s="45">
        <v>1754.02</v>
      </c>
      <c r="K65" s="45" t="s">
        <v>341</v>
      </c>
      <c r="L65" s="44" t="s">
        <v>338</v>
      </c>
      <c r="M65" s="32" t="s">
        <v>11</v>
      </c>
      <c r="N65" s="32" t="s">
        <v>115</v>
      </c>
      <c r="O65" s="32" t="s">
        <v>189</v>
      </c>
      <c r="P65" s="32"/>
      <c r="Q65" s="35"/>
      <c r="R65" s="30"/>
      <c r="S65" s="30"/>
      <c r="T65" s="30"/>
      <c r="U65" s="30"/>
      <c r="V65" s="30"/>
      <c r="W65" s="30"/>
      <c r="X65" s="33">
        <f t="shared" si="0"/>
        <v>2025</v>
      </c>
      <c r="Y65" s="33">
        <f t="shared" si="1"/>
        <v>12</v>
      </c>
      <c r="Z65" s="33">
        <f t="shared" si="2"/>
        <v>19</v>
      </c>
    </row>
    <row r="66" ht="409.5" hidden="1" spans="1:26">
      <c r="A66" s="35" t="s">
        <v>342</v>
      </c>
      <c r="B66" s="31">
        <v>45997</v>
      </c>
      <c r="C66" s="31">
        <v>46013</v>
      </c>
      <c r="D66" s="30" t="s">
        <v>5</v>
      </c>
      <c r="E66" s="32" t="s">
        <v>343</v>
      </c>
      <c r="F66" s="32" t="s">
        <v>344</v>
      </c>
      <c r="G66" s="26"/>
      <c r="H66" s="26" t="s">
        <v>34</v>
      </c>
      <c r="I66" s="35">
        <v>19919.16</v>
      </c>
      <c r="J66" s="35">
        <v>995.958</v>
      </c>
      <c r="K66" s="35" t="s">
        <v>345</v>
      </c>
      <c r="L66" s="35" t="s">
        <v>342</v>
      </c>
      <c r="M66" s="32" t="s">
        <v>10</v>
      </c>
      <c r="N66" s="32" t="s">
        <v>115</v>
      </c>
      <c r="O66" s="32" t="s">
        <v>159</v>
      </c>
      <c r="P66" s="35" t="s">
        <v>10</v>
      </c>
      <c r="Q66" s="35" t="s">
        <v>105</v>
      </c>
      <c r="R66" s="30"/>
      <c r="S66" s="30"/>
      <c r="T66" s="30"/>
      <c r="U66" s="30"/>
      <c r="V66" s="30"/>
      <c r="W66" s="30"/>
      <c r="X66" s="33">
        <f t="shared" ref="X66:X129" si="3">YEAR(C66)</f>
        <v>2025</v>
      </c>
      <c r="Y66" s="33">
        <f t="shared" ref="Y66:Y129" si="4">MONTH(C66)</f>
        <v>12</v>
      </c>
      <c r="Z66" s="33">
        <f t="shared" ref="Z66:Z129" si="5">DAY(C66)</f>
        <v>22</v>
      </c>
    </row>
    <row r="67" ht="409.5" hidden="1" spans="1:26">
      <c r="A67" s="35" t="s">
        <v>346</v>
      </c>
      <c r="B67" s="31">
        <v>45989</v>
      </c>
      <c r="C67" s="31">
        <v>46013</v>
      </c>
      <c r="D67" s="30" t="s">
        <v>5</v>
      </c>
      <c r="E67" s="32" t="s">
        <v>347</v>
      </c>
      <c r="F67" s="32" t="s">
        <v>348</v>
      </c>
      <c r="G67" s="26"/>
      <c r="H67" s="26" t="s">
        <v>34</v>
      </c>
      <c r="I67" s="35">
        <v>5133.43</v>
      </c>
      <c r="J67" s="35">
        <v>167.16</v>
      </c>
      <c r="K67" s="35" t="s">
        <v>349</v>
      </c>
      <c r="L67" s="35" t="s">
        <v>346</v>
      </c>
      <c r="M67" s="32" t="s">
        <v>13</v>
      </c>
      <c r="N67" s="32" t="s">
        <v>115</v>
      </c>
      <c r="O67" s="32" t="s">
        <v>293</v>
      </c>
      <c r="P67" s="32"/>
      <c r="Q67" s="35"/>
      <c r="R67" s="30"/>
      <c r="S67" s="30"/>
      <c r="T67" s="30"/>
      <c r="U67" s="30"/>
      <c r="V67" s="30"/>
      <c r="W67" s="30"/>
      <c r="X67" s="33">
        <f t="shared" si="3"/>
        <v>2025</v>
      </c>
      <c r="Y67" s="33">
        <f t="shared" si="4"/>
        <v>12</v>
      </c>
      <c r="Z67" s="33">
        <f t="shared" si="5"/>
        <v>22</v>
      </c>
    </row>
    <row r="68" ht="409.5" hidden="1" spans="1:26">
      <c r="A68" s="35" t="s">
        <v>350</v>
      </c>
      <c r="B68" s="31">
        <v>45957</v>
      </c>
      <c r="C68" s="31">
        <v>46013</v>
      </c>
      <c r="D68" s="30" t="s">
        <v>5</v>
      </c>
      <c r="E68" s="32" t="s">
        <v>351</v>
      </c>
      <c r="F68" s="32" t="s">
        <v>352</v>
      </c>
      <c r="G68" s="26"/>
      <c r="H68" s="26" t="s">
        <v>34</v>
      </c>
      <c r="I68" s="35">
        <v>4898.7</v>
      </c>
      <c r="J68" s="35">
        <v>164.39</v>
      </c>
      <c r="K68" s="35" t="s">
        <v>353</v>
      </c>
      <c r="L68" s="35" t="s">
        <v>350</v>
      </c>
      <c r="M68" s="32" t="s">
        <v>13</v>
      </c>
      <c r="N68" s="32" t="s">
        <v>115</v>
      </c>
      <c r="O68" s="32" t="s">
        <v>293</v>
      </c>
      <c r="P68" s="32"/>
      <c r="Q68" s="35"/>
      <c r="R68" s="30"/>
      <c r="S68" s="30"/>
      <c r="T68" s="30"/>
      <c r="U68" s="30"/>
      <c r="V68" s="30"/>
      <c r="W68" s="30"/>
      <c r="X68" s="33">
        <f t="shared" si="3"/>
        <v>2025</v>
      </c>
      <c r="Y68" s="33">
        <f t="shared" si="4"/>
        <v>12</v>
      </c>
      <c r="Z68" s="33">
        <f t="shared" si="5"/>
        <v>22</v>
      </c>
    </row>
    <row r="69" ht="97.15" hidden="1" spans="1:26">
      <c r="A69" s="35" t="s">
        <v>354</v>
      </c>
      <c r="B69" s="31">
        <v>45981</v>
      </c>
      <c r="C69" s="31">
        <v>46014</v>
      </c>
      <c r="D69" s="30" t="s">
        <v>5</v>
      </c>
      <c r="E69" s="32" t="s">
        <v>355</v>
      </c>
      <c r="F69" s="32" t="s">
        <v>356</v>
      </c>
      <c r="G69" s="26"/>
      <c r="H69" s="26" t="s">
        <v>34</v>
      </c>
      <c r="I69" s="35">
        <v>324</v>
      </c>
      <c r="J69" s="35">
        <v>32.4</v>
      </c>
      <c r="K69" s="35" t="s">
        <v>357</v>
      </c>
      <c r="L69" s="35" t="s">
        <v>354</v>
      </c>
      <c r="M69" s="32" t="s">
        <v>10</v>
      </c>
      <c r="N69" s="32" t="s">
        <v>115</v>
      </c>
      <c r="O69" s="32" t="s">
        <v>229</v>
      </c>
      <c r="P69" s="32"/>
      <c r="Q69" s="35"/>
      <c r="R69" s="30"/>
      <c r="S69" s="30"/>
      <c r="T69" s="30"/>
      <c r="U69" s="30"/>
      <c r="V69" s="30"/>
      <c r="W69" s="30"/>
      <c r="X69" s="33">
        <f t="shared" si="3"/>
        <v>2025</v>
      </c>
      <c r="Y69" s="33">
        <f t="shared" si="4"/>
        <v>12</v>
      </c>
      <c r="Z69" s="33">
        <f t="shared" si="5"/>
        <v>23</v>
      </c>
    </row>
    <row r="70" ht="409.5" hidden="1" spans="1:26">
      <c r="A70" s="46" t="s">
        <v>358</v>
      </c>
      <c r="B70" s="34" t="s">
        <v>359</v>
      </c>
      <c r="C70" s="31">
        <v>46014</v>
      </c>
      <c r="D70" s="35" t="s">
        <v>5</v>
      </c>
      <c r="E70" s="32" t="s">
        <v>360</v>
      </c>
      <c r="F70" s="32" t="s">
        <v>361</v>
      </c>
      <c r="G70" s="26"/>
      <c r="H70" s="26" t="s">
        <v>54</v>
      </c>
      <c r="I70" s="46">
        <v>21584.2</v>
      </c>
      <c r="J70" s="46">
        <v>3119.12</v>
      </c>
      <c r="K70" s="35" t="s">
        <v>362</v>
      </c>
      <c r="L70" s="46" t="s">
        <v>358</v>
      </c>
      <c r="M70" s="32" t="s">
        <v>13</v>
      </c>
      <c r="N70" s="32" t="s">
        <v>115</v>
      </c>
      <c r="O70" s="32" t="s">
        <v>363</v>
      </c>
      <c r="P70" s="32"/>
      <c r="Q70" s="35"/>
      <c r="R70" s="30"/>
      <c r="S70" s="30"/>
      <c r="T70" s="30"/>
      <c r="U70" s="30"/>
      <c r="V70" s="30"/>
      <c r="W70" s="30"/>
      <c r="X70" s="33">
        <f t="shared" si="3"/>
        <v>2025</v>
      </c>
      <c r="Y70" s="33">
        <f t="shared" si="4"/>
        <v>12</v>
      </c>
      <c r="Z70" s="33">
        <f t="shared" si="5"/>
        <v>23</v>
      </c>
    </row>
    <row r="71" ht="409.5" hidden="1" spans="1:26">
      <c r="A71" s="35" t="s">
        <v>364</v>
      </c>
      <c r="B71" s="34" t="s">
        <v>365</v>
      </c>
      <c r="C71" s="31">
        <v>46014</v>
      </c>
      <c r="D71" s="35" t="s">
        <v>5</v>
      </c>
      <c r="E71" s="35" t="s">
        <v>366</v>
      </c>
      <c r="F71" s="32" t="s">
        <v>367</v>
      </c>
      <c r="G71" s="26"/>
      <c r="H71" s="26" t="s">
        <v>34</v>
      </c>
      <c r="I71" s="47">
        <v>20202.8</v>
      </c>
      <c r="J71" s="47">
        <v>1914.88</v>
      </c>
      <c r="K71" s="35" t="s">
        <v>368</v>
      </c>
      <c r="L71" s="35" t="s">
        <v>364</v>
      </c>
      <c r="M71" s="32" t="s">
        <v>13</v>
      </c>
      <c r="N71" s="32" t="s">
        <v>115</v>
      </c>
      <c r="O71" s="32" t="s">
        <v>363</v>
      </c>
      <c r="P71" s="30"/>
      <c r="Q71" s="30"/>
      <c r="R71" s="30"/>
      <c r="S71" s="30"/>
      <c r="T71" s="30"/>
      <c r="U71" s="30"/>
      <c r="V71" s="30"/>
      <c r="W71" s="30"/>
      <c r="X71" s="33">
        <f t="shared" si="3"/>
        <v>2025</v>
      </c>
      <c r="Y71" s="33">
        <f t="shared" si="4"/>
        <v>12</v>
      </c>
      <c r="Z71" s="33">
        <f t="shared" si="5"/>
        <v>23</v>
      </c>
    </row>
    <row r="72" ht="409.5" hidden="1" spans="1:26">
      <c r="A72" s="35" t="s">
        <v>261</v>
      </c>
      <c r="B72" s="34" t="s">
        <v>369</v>
      </c>
      <c r="C72" s="31">
        <v>46015</v>
      </c>
      <c r="D72" s="35" t="s">
        <v>370</v>
      </c>
      <c r="E72" s="32" t="s">
        <v>371</v>
      </c>
      <c r="F72" s="32" t="s">
        <v>372</v>
      </c>
      <c r="G72" s="26"/>
      <c r="H72" s="26" t="s">
        <v>37</v>
      </c>
      <c r="I72" s="35">
        <v>10000</v>
      </c>
      <c r="J72" s="35" t="s">
        <v>373</v>
      </c>
      <c r="K72" s="35" t="s">
        <v>373</v>
      </c>
      <c r="L72" s="35" t="s">
        <v>374</v>
      </c>
      <c r="M72" s="32" t="s">
        <v>10</v>
      </c>
      <c r="N72" s="32" t="s">
        <v>115</v>
      </c>
      <c r="O72" s="32" t="s">
        <v>159</v>
      </c>
      <c r="P72" s="35" t="s">
        <v>10</v>
      </c>
      <c r="Q72" s="35" t="s">
        <v>105</v>
      </c>
      <c r="R72" s="30"/>
      <c r="S72" s="30"/>
      <c r="T72" s="30"/>
      <c r="U72" s="30"/>
      <c r="V72" s="30"/>
      <c r="W72" s="30"/>
      <c r="X72" s="33">
        <f t="shared" si="3"/>
        <v>2025</v>
      </c>
      <c r="Y72" s="33">
        <f t="shared" si="4"/>
        <v>12</v>
      </c>
      <c r="Z72" s="33">
        <f t="shared" si="5"/>
        <v>24</v>
      </c>
    </row>
    <row r="73" ht="409.5" hidden="1" spans="1:26">
      <c r="A73" s="35"/>
      <c r="B73" s="34">
        <v>46009</v>
      </c>
      <c r="C73" s="34">
        <v>46015</v>
      </c>
      <c r="D73" s="35" t="s">
        <v>5</v>
      </c>
      <c r="E73" s="32" t="s">
        <v>146</v>
      </c>
      <c r="F73" s="32" t="s">
        <v>375</v>
      </c>
      <c r="G73" s="26"/>
      <c r="H73" s="26" t="s">
        <v>376</v>
      </c>
      <c r="I73" s="35">
        <v>1457.5</v>
      </c>
      <c r="J73" s="35">
        <v>145.75</v>
      </c>
      <c r="K73" s="35" t="s">
        <v>152</v>
      </c>
      <c r="L73" s="35" t="s">
        <v>377</v>
      </c>
      <c r="M73" s="32" t="s">
        <v>10</v>
      </c>
      <c r="N73" s="32" t="s">
        <v>115</v>
      </c>
      <c r="O73" s="32" t="s">
        <v>149</v>
      </c>
      <c r="P73" s="32"/>
      <c r="Q73" s="35"/>
      <c r="R73" s="30"/>
      <c r="S73" s="30"/>
      <c r="T73" s="30"/>
      <c r="U73" s="30"/>
      <c r="V73" s="30"/>
      <c r="W73" s="30"/>
      <c r="X73" s="33">
        <f t="shared" si="3"/>
        <v>2025</v>
      </c>
      <c r="Y73" s="33">
        <f t="shared" si="4"/>
        <v>12</v>
      </c>
      <c r="Z73" s="33">
        <f t="shared" si="5"/>
        <v>24</v>
      </c>
    </row>
    <row r="74" ht="409.5" hidden="1" spans="1:26">
      <c r="A74" s="35" t="s">
        <v>378</v>
      </c>
      <c r="B74" s="34" t="s">
        <v>379</v>
      </c>
      <c r="C74" s="34">
        <v>46015</v>
      </c>
      <c r="D74" s="35" t="s">
        <v>5</v>
      </c>
      <c r="E74" s="32" t="s">
        <v>380</v>
      </c>
      <c r="F74" s="32" t="s">
        <v>381</v>
      </c>
      <c r="G74" s="26"/>
      <c r="H74" s="26" t="s">
        <v>34</v>
      </c>
      <c r="I74" s="35">
        <v>29754</v>
      </c>
      <c r="J74" s="35">
        <v>1487.7</v>
      </c>
      <c r="K74" s="35" t="s">
        <v>382</v>
      </c>
      <c r="L74" s="35" t="s">
        <v>378</v>
      </c>
      <c r="M74" s="32" t="s">
        <v>14</v>
      </c>
      <c r="N74" s="32" t="s">
        <v>115</v>
      </c>
      <c r="O74" s="32" t="s">
        <v>284</v>
      </c>
      <c r="P74" s="32"/>
      <c r="Q74" s="35"/>
      <c r="R74" s="30"/>
      <c r="S74" s="30"/>
      <c r="T74" s="30"/>
      <c r="U74" s="30"/>
      <c r="V74" s="30"/>
      <c r="W74" s="30"/>
      <c r="X74" s="33">
        <f t="shared" si="3"/>
        <v>2025</v>
      </c>
      <c r="Y74" s="33">
        <f t="shared" si="4"/>
        <v>12</v>
      </c>
      <c r="Z74" s="33">
        <f t="shared" si="5"/>
        <v>24</v>
      </c>
    </row>
    <row r="75" ht="409.5" hidden="1" spans="1:26">
      <c r="A75" s="35" t="s">
        <v>383</v>
      </c>
      <c r="B75" s="34" t="s">
        <v>384</v>
      </c>
      <c r="C75" s="31">
        <v>46016</v>
      </c>
      <c r="D75" s="35" t="s">
        <v>5</v>
      </c>
      <c r="E75" s="32" t="s">
        <v>385</v>
      </c>
      <c r="F75" s="32" t="s">
        <v>386</v>
      </c>
      <c r="G75" s="26"/>
      <c r="H75" s="26" t="s">
        <v>34</v>
      </c>
      <c r="I75" s="35">
        <v>1971.9</v>
      </c>
      <c r="J75" s="35">
        <v>100.74</v>
      </c>
      <c r="K75" s="35" t="s">
        <v>387</v>
      </c>
      <c r="L75" s="35" t="s">
        <v>364</v>
      </c>
      <c r="M75" s="32" t="s">
        <v>13</v>
      </c>
      <c r="N75" s="32" t="s">
        <v>115</v>
      </c>
      <c r="O75" s="32" t="s">
        <v>293</v>
      </c>
      <c r="P75" s="32"/>
      <c r="Q75" s="35"/>
      <c r="R75" s="30"/>
      <c r="S75" s="30"/>
      <c r="T75" s="30"/>
      <c r="U75" s="30"/>
      <c r="V75" s="30"/>
      <c r="W75" s="30"/>
      <c r="X75" s="33">
        <f t="shared" si="3"/>
        <v>2025</v>
      </c>
      <c r="Y75" s="33">
        <f t="shared" si="4"/>
        <v>12</v>
      </c>
      <c r="Z75" s="33">
        <f t="shared" si="5"/>
        <v>25</v>
      </c>
    </row>
    <row r="76" ht="304.9" hidden="1" spans="1:26">
      <c r="A76" s="35" t="s">
        <v>388</v>
      </c>
      <c r="B76" s="31">
        <v>45990</v>
      </c>
      <c r="C76" s="31">
        <v>46020</v>
      </c>
      <c r="D76" s="30" t="s">
        <v>5</v>
      </c>
      <c r="E76" s="32" t="s">
        <v>182</v>
      </c>
      <c r="F76" s="32" t="s">
        <v>389</v>
      </c>
      <c r="G76" s="26"/>
      <c r="H76" s="26" t="s">
        <v>34</v>
      </c>
      <c r="I76" s="35">
        <v>2010</v>
      </c>
      <c r="J76" s="35">
        <v>64.92</v>
      </c>
      <c r="K76" s="35" t="s">
        <v>322</v>
      </c>
      <c r="L76" s="35" t="s">
        <v>388</v>
      </c>
      <c r="M76" s="32" t="s">
        <v>10</v>
      </c>
      <c r="N76" s="32" t="s">
        <v>115</v>
      </c>
      <c r="O76" s="32" t="s">
        <v>173</v>
      </c>
      <c r="P76" s="32"/>
      <c r="Q76" s="35"/>
      <c r="R76" s="30"/>
      <c r="S76" s="30"/>
      <c r="T76" s="30"/>
      <c r="U76" s="30"/>
      <c r="V76" s="30"/>
      <c r="W76" s="30"/>
      <c r="X76" s="33">
        <f t="shared" si="3"/>
        <v>2025</v>
      </c>
      <c r="Y76" s="33">
        <f t="shared" si="4"/>
        <v>12</v>
      </c>
      <c r="Z76" s="33">
        <f t="shared" si="5"/>
        <v>29</v>
      </c>
    </row>
    <row r="77" ht="388.15" hidden="1" spans="1:26">
      <c r="A77" s="48" t="s">
        <v>390</v>
      </c>
      <c r="B77" s="31">
        <v>46016</v>
      </c>
      <c r="C77" s="31">
        <v>46006</v>
      </c>
      <c r="D77" s="30" t="s">
        <v>370</v>
      </c>
      <c r="E77" s="48" t="s">
        <v>390</v>
      </c>
      <c r="F77" s="32" t="s">
        <v>391</v>
      </c>
      <c r="G77" s="26"/>
      <c r="H77" s="26" t="s">
        <v>392</v>
      </c>
      <c r="I77" s="35">
        <v>4446</v>
      </c>
      <c r="J77" s="35">
        <v>920</v>
      </c>
      <c r="K77" s="49" t="s">
        <v>393</v>
      </c>
      <c r="L77" s="35"/>
      <c r="M77" s="32" t="s">
        <v>12</v>
      </c>
      <c r="N77" s="32" t="s">
        <v>394</v>
      </c>
      <c r="O77" s="32" t="s">
        <v>211</v>
      </c>
      <c r="P77" s="32"/>
      <c r="Q77" s="35"/>
      <c r="R77" s="30"/>
      <c r="S77" s="30"/>
      <c r="T77" s="30"/>
      <c r="U77" s="30"/>
      <c r="V77" s="30"/>
      <c r="W77" s="30"/>
      <c r="X77" s="33">
        <f t="shared" si="3"/>
        <v>2025</v>
      </c>
      <c r="Y77" s="33">
        <f t="shared" si="4"/>
        <v>12</v>
      </c>
      <c r="Z77" s="33">
        <f t="shared" si="5"/>
        <v>15</v>
      </c>
    </row>
    <row r="78" ht="409.5" hidden="1" spans="1:26">
      <c r="A78" s="50" t="s">
        <v>395</v>
      </c>
      <c r="B78" s="31">
        <v>46016</v>
      </c>
      <c r="C78" s="31">
        <v>46006</v>
      </c>
      <c r="D78" s="30" t="s">
        <v>370</v>
      </c>
      <c r="E78" s="51" t="s">
        <v>396</v>
      </c>
      <c r="F78" s="32" t="s">
        <v>397</v>
      </c>
      <c r="G78" s="26"/>
      <c r="H78" s="26" t="s">
        <v>165</v>
      </c>
      <c r="I78" s="52">
        <v>4368</v>
      </c>
      <c r="J78" s="52">
        <v>109.3</v>
      </c>
      <c r="K78" s="52" t="s">
        <v>398</v>
      </c>
      <c r="L78" s="50" t="s">
        <v>395</v>
      </c>
      <c r="M78" s="32" t="s">
        <v>12</v>
      </c>
      <c r="N78" s="32" t="s">
        <v>394</v>
      </c>
      <c r="O78" s="32" t="s">
        <v>111</v>
      </c>
      <c r="P78" s="32"/>
      <c r="Q78" s="35"/>
      <c r="R78" s="30"/>
      <c r="S78" s="30"/>
      <c r="T78" s="30"/>
      <c r="U78" s="30"/>
      <c r="V78" s="30"/>
      <c r="W78" s="30"/>
      <c r="X78" s="33">
        <f t="shared" si="3"/>
        <v>2025</v>
      </c>
      <c r="Y78" s="33">
        <f t="shared" si="4"/>
        <v>12</v>
      </c>
      <c r="Z78" s="33">
        <f t="shared" si="5"/>
        <v>15</v>
      </c>
    </row>
    <row r="79" ht="409.5" hidden="1" spans="1:26">
      <c r="A79" s="35" t="s">
        <v>399</v>
      </c>
      <c r="B79" s="31">
        <v>46005</v>
      </c>
      <c r="C79" s="31">
        <v>46017</v>
      </c>
      <c r="D79" s="30" t="s">
        <v>5</v>
      </c>
      <c r="E79" s="32" t="s">
        <v>400</v>
      </c>
      <c r="F79" s="32" t="s">
        <v>401</v>
      </c>
      <c r="G79" s="26"/>
      <c r="H79" s="26" t="s">
        <v>34</v>
      </c>
      <c r="I79" s="35">
        <v>2000.4</v>
      </c>
      <c r="J79" s="35">
        <v>200.04</v>
      </c>
      <c r="K79" s="35" t="s">
        <v>402</v>
      </c>
      <c r="L79" s="35" t="s">
        <v>399</v>
      </c>
      <c r="M79" s="32" t="s">
        <v>10</v>
      </c>
      <c r="N79" s="32" t="s">
        <v>115</v>
      </c>
      <c r="O79" s="32" t="s">
        <v>318</v>
      </c>
      <c r="P79" s="32"/>
      <c r="Q79" s="35"/>
      <c r="R79" s="30"/>
      <c r="S79" s="30"/>
      <c r="T79" s="30"/>
      <c r="U79" s="30"/>
      <c r="V79" s="30"/>
      <c r="W79" s="30"/>
      <c r="X79" s="33">
        <f t="shared" si="3"/>
        <v>2025</v>
      </c>
      <c r="Y79" s="33">
        <f t="shared" si="4"/>
        <v>12</v>
      </c>
      <c r="Z79" s="33">
        <f t="shared" si="5"/>
        <v>26</v>
      </c>
    </row>
    <row r="80" ht="409.5" hidden="1" spans="1:26">
      <c r="A80" s="35" t="s">
        <v>403</v>
      </c>
      <c r="B80" s="31">
        <v>45991</v>
      </c>
      <c r="C80" s="34">
        <v>46002</v>
      </c>
      <c r="D80" s="35" t="s">
        <v>404</v>
      </c>
      <c r="E80" s="32" t="s">
        <v>405</v>
      </c>
      <c r="F80" s="32" t="s">
        <v>406</v>
      </c>
      <c r="G80" s="26"/>
      <c r="H80" s="26" t="s">
        <v>54</v>
      </c>
      <c r="I80" s="30">
        <v>26680.56</v>
      </c>
      <c r="J80" s="30">
        <v>999.02</v>
      </c>
      <c r="K80" s="35" t="s">
        <v>232</v>
      </c>
      <c r="L80" s="35" t="s">
        <v>403</v>
      </c>
      <c r="M80" s="32" t="s">
        <v>10</v>
      </c>
      <c r="N80" s="32" t="s">
        <v>394</v>
      </c>
      <c r="O80" s="32" t="s">
        <v>10</v>
      </c>
      <c r="P80" s="32" t="s">
        <v>115</v>
      </c>
      <c r="Q80" s="35" t="s">
        <v>105</v>
      </c>
      <c r="R80" s="35" t="s">
        <v>407</v>
      </c>
      <c r="S80" s="30"/>
      <c r="T80" s="30"/>
      <c r="U80" s="30"/>
      <c r="V80" s="30"/>
      <c r="W80" s="30"/>
      <c r="X80" s="33">
        <f t="shared" si="3"/>
        <v>2025</v>
      </c>
      <c r="Y80" s="33">
        <f t="shared" si="4"/>
        <v>12</v>
      </c>
      <c r="Z80" s="33">
        <f t="shared" si="5"/>
        <v>11</v>
      </c>
    </row>
    <row r="81" ht="374.25" hidden="1" spans="1:26">
      <c r="A81" s="35" t="s">
        <v>408</v>
      </c>
      <c r="B81" s="34">
        <v>45997</v>
      </c>
      <c r="C81" s="31">
        <v>46034</v>
      </c>
      <c r="D81" s="35" t="s">
        <v>5</v>
      </c>
      <c r="E81" s="32" t="s">
        <v>409</v>
      </c>
      <c r="F81" s="32" t="s">
        <v>410</v>
      </c>
      <c r="G81" s="26"/>
      <c r="H81" s="26" t="s">
        <v>34</v>
      </c>
      <c r="I81" s="35">
        <v>942.55</v>
      </c>
      <c r="J81" s="35">
        <v>26.93</v>
      </c>
      <c r="K81" s="35" t="s">
        <v>411</v>
      </c>
      <c r="L81" s="35" t="s">
        <v>408</v>
      </c>
      <c r="M81" s="32" t="s">
        <v>10</v>
      </c>
      <c r="N81" s="32" t="s">
        <v>115</v>
      </c>
      <c r="O81" s="32" t="s">
        <v>173</v>
      </c>
      <c r="P81" s="32"/>
      <c r="Q81" s="35"/>
      <c r="R81" s="30"/>
      <c r="S81" s="30"/>
      <c r="T81" s="30"/>
      <c r="U81" s="30"/>
      <c r="V81" s="30"/>
      <c r="W81" s="30"/>
      <c r="X81" s="33">
        <f t="shared" si="3"/>
        <v>2026</v>
      </c>
      <c r="Y81" s="33">
        <f t="shared" si="4"/>
        <v>1</v>
      </c>
      <c r="Z81" s="33">
        <f t="shared" si="5"/>
        <v>12</v>
      </c>
    </row>
    <row r="82" ht="409.5" hidden="1" spans="1:26">
      <c r="A82" s="35" t="s">
        <v>412</v>
      </c>
      <c r="B82" s="31">
        <v>45990</v>
      </c>
      <c r="C82" s="31">
        <v>46020</v>
      </c>
      <c r="D82" s="30" t="s">
        <v>5</v>
      </c>
      <c r="E82" s="32" t="s">
        <v>413</v>
      </c>
      <c r="F82" s="32" t="s">
        <v>414</v>
      </c>
      <c r="G82" s="26"/>
      <c r="H82" s="26" t="s">
        <v>34</v>
      </c>
      <c r="I82" s="35">
        <v>816.3</v>
      </c>
      <c r="J82" s="35">
        <v>27.21</v>
      </c>
      <c r="K82" s="32" t="s">
        <v>415</v>
      </c>
      <c r="L82" s="35" t="s">
        <v>412</v>
      </c>
      <c r="M82" s="32" t="s">
        <v>14</v>
      </c>
      <c r="N82" s="32" t="s">
        <v>115</v>
      </c>
      <c r="O82" s="32" t="s">
        <v>284</v>
      </c>
      <c r="P82" s="32"/>
      <c r="Q82" s="35"/>
      <c r="R82" s="30"/>
      <c r="S82" s="30"/>
      <c r="T82" s="30"/>
      <c r="U82" s="30"/>
      <c r="V82" s="30"/>
      <c r="W82" s="30"/>
      <c r="X82" s="33">
        <f t="shared" si="3"/>
        <v>2025</v>
      </c>
      <c r="Y82" s="33">
        <f t="shared" si="4"/>
        <v>12</v>
      </c>
      <c r="Z82" s="33">
        <f t="shared" si="5"/>
        <v>29</v>
      </c>
    </row>
    <row r="83" ht="388.15" hidden="1" spans="1:26">
      <c r="A83" s="35" t="s">
        <v>416</v>
      </c>
      <c r="B83" s="31">
        <v>45994</v>
      </c>
      <c r="C83" s="31">
        <v>46021</v>
      </c>
      <c r="D83" s="30" t="s">
        <v>5</v>
      </c>
      <c r="E83" s="32" t="s">
        <v>417</v>
      </c>
      <c r="F83" s="32" t="s">
        <v>418</v>
      </c>
      <c r="G83" s="26"/>
      <c r="H83" s="26" t="s">
        <v>156</v>
      </c>
      <c r="I83" s="35">
        <v>10096.2</v>
      </c>
      <c r="J83" s="35">
        <v>4.26</v>
      </c>
      <c r="K83" s="35" t="s">
        <v>419</v>
      </c>
      <c r="L83" s="35" t="s">
        <v>416</v>
      </c>
      <c r="M83" s="32" t="s">
        <v>11</v>
      </c>
      <c r="N83" s="32" t="s">
        <v>115</v>
      </c>
      <c r="O83" s="32" t="s">
        <v>420</v>
      </c>
      <c r="P83" s="32"/>
      <c r="Q83" s="35"/>
      <c r="R83" s="30"/>
      <c r="S83" s="30"/>
      <c r="T83" s="30"/>
      <c r="U83" s="30"/>
      <c r="V83" s="30"/>
      <c r="W83" s="30"/>
      <c r="X83" s="33">
        <f t="shared" si="3"/>
        <v>2025</v>
      </c>
      <c r="Y83" s="33">
        <f t="shared" si="4"/>
        <v>12</v>
      </c>
      <c r="Z83" s="33">
        <f t="shared" si="5"/>
        <v>30</v>
      </c>
    </row>
    <row r="84" ht="241.5" hidden="1" spans="1:26">
      <c r="A84" s="35" t="s">
        <v>421</v>
      </c>
      <c r="B84" s="31">
        <v>46016</v>
      </c>
      <c r="C84" s="31">
        <v>46026</v>
      </c>
      <c r="D84" s="35" t="s">
        <v>422</v>
      </c>
      <c r="E84" s="53" t="s">
        <v>423</v>
      </c>
      <c r="F84" s="54" t="s">
        <v>424</v>
      </c>
      <c r="G84" s="55"/>
      <c r="H84" s="26" t="s">
        <v>37</v>
      </c>
      <c r="I84" s="35">
        <v>17185.806</v>
      </c>
      <c r="J84" s="35" t="s">
        <v>425</v>
      </c>
      <c r="K84" s="35" t="s">
        <v>222</v>
      </c>
      <c r="L84" s="35" t="s">
        <v>421</v>
      </c>
      <c r="M84" s="32" t="s">
        <v>11</v>
      </c>
      <c r="N84" s="32" t="s">
        <v>115</v>
      </c>
      <c r="O84" s="32" t="s">
        <v>426</v>
      </c>
      <c r="P84" s="32"/>
      <c r="Q84" s="35"/>
      <c r="R84" s="30"/>
      <c r="S84" s="30"/>
      <c r="T84" s="30"/>
      <c r="U84" s="30"/>
      <c r="V84" s="30"/>
      <c r="W84" s="30"/>
      <c r="X84" s="33">
        <f t="shared" si="3"/>
        <v>2026</v>
      </c>
      <c r="Y84" s="33">
        <f t="shared" si="4"/>
        <v>1</v>
      </c>
      <c r="Z84" s="33">
        <f t="shared" si="5"/>
        <v>4</v>
      </c>
    </row>
    <row r="85" ht="27.75" hidden="1" spans="1:26">
      <c r="A85" s="35" t="s">
        <v>427</v>
      </c>
      <c r="B85" s="31">
        <v>46010</v>
      </c>
      <c r="C85" s="31">
        <v>46027</v>
      </c>
      <c r="D85" s="35" t="s">
        <v>5</v>
      </c>
      <c r="E85" s="32" t="s">
        <v>428</v>
      </c>
      <c r="F85" s="56" t="s">
        <v>429</v>
      </c>
      <c r="G85" s="55"/>
      <c r="H85" s="26" t="s">
        <v>34</v>
      </c>
      <c r="I85" s="35">
        <v>23556.96</v>
      </c>
      <c r="J85" s="35">
        <v>996.818</v>
      </c>
      <c r="K85" s="35" t="s">
        <v>430</v>
      </c>
      <c r="L85" s="35" t="s">
        <v>427</v>
      </c>
      <c r="M85" s="32" t="s">
        <v>10</v>
      </c>
      <c r="N85" s="32" t="s">
        <v>115</v>
      </c>
      <c r="O85" s="32" t="s">
        <v>431</v>
      </c>
      <c r="P85" s="32"/>
      <c r="Q85" s="35"/>
      <c r="R85" s="30"/>
      <c r="S85" s="30"/>
      <c r="T85" s="30"/>
      <c r="U85" s="30"/>
      <c r="V85" s="30"/>
      <c r="W85" s="30"/>
      <c r="X85" s="33">
        <f t="shared" si="3"/>
        <v>2026</v>
      </c>
      <c r="Y85" s="33">
        <f t="shared" si="4"/>
        <v>1</v>
      </c>
      <c r="Z85" s="33">
        <f t="shared" si="5"/>
        <v>5</v>
      </c>
    </row>
    <row r="86" ht="50.25" hidden="1" customHeight="1" spans="1:26">
      <c r="A86" s="35"/>
      <c r="B86" s="31">
        <v>46008</v>
      </c>
      <c r="C86" s="31">
        <v>46029</v>
      </c>
      <c r="D86" s="35" t="s">
        <v>5</v>
      </c>
      <c r="E86" s="32" t="s">
        <v>432</v>
      </c>
      <c r="F86" s="32" t="s">
        <v>433</v>
      </c>
      <c r="G86" s="26"/>
      <c r="H86" s="26" t="s">
        <v>34</v>
      </c>
      <c r="I86" s="35">
        <v>7786.5</v>
      </c>
      <c r="J86" s="35">
        <v>311.46</v>
      </c>
      <c r="K86" s="35" t="s">
        <v>434</v>
      </c>
      <c r="L86" s="35" t="s">
        <v>435</v>
      </c>
      <c r="M86" s="32" t="s">
        <v>12</v>
      </c>
      <c r="N86" s="32" t="s">
        <v>115</v>
      </c>
      <c r="O86" s="32" t="s">
        <v>436</v>
      </c>
      <c r="P86" s="32"/>
      <c r="Q86" s="35"/>
      <c r="R86" s="30"/>
      <c r="S86" s="30"/>
      <c r="T86" s="30"/>
      <c r="U86" s="30"/>
      <c r="V86" s="30"/>
      <c r="W86" s="30"/>
      <c r="X86" s="33">
        <f t="shared" si="3"/>
        <v>2026</v>
      </c>
      <c r="Y86" s="33">
        <f t="shared" si="4"/>
        <v>1</v>
      </c>
      <c r="Z86" s="33">
        <f t="shared" si="5"/>
        <v>7</v>
      </c>
    </row>
    <row r="87" ht="388.15" hidden="1" spans="1:26">
      <c r="A87" s="35" t="s">
        <v>437</v>
      </c>
      <c r="B87" s="31">
        <v>46020</v>
      </c>
      <c r="C87" s="31">
        <v>46030</v>
      </c>
      <c r="D87" s="35" t="s">
        <v>5</v>
      </c>
      <c r="E87" s="32" t="s">
        <v>438</v>
      </c>
      <c r="F87" s="32" t="s">
        <v>439</v>
      </c>
      <c r="G87" s="26"/>
      <c r="H87" s="26" t="s">
        <v>54</v>
      </c>
      <c r="I87" s="35">
        <v>2011.22</v>
      </c>
      <c r="J87" s="35">
        <v>53.85</v>
      </c>
      <c r="K87" s="35" t="s">
        <v>440</v>
      </c>
      <c r="L87" s="35" t="s">
        <v>437</v>
      </c>
      <c r="M87" s="32" t="s">
        <v>10</v>
      </c>
      <c r="N87" s="32" t="s">
        <v>115</v>
      </c>
      <c r="O87" s="32" t="s">
        <v>229</v>
      </c>
      <c r="P87" s="32"/>
      <c r="Q87" s="35"/>
      <c r="R87" s="30"/>
      <c r="S87" s="30"/>
      <c r="T87" s="30"/>
      <c r="U87" s="30"/>
      <c r="V87" s="30"/>
      <c r="W87" s="30"/>
      <c r="X87" s="33">
        <f t="shared" si="3"/>
        <v>2026</v>
      </c>
      <c r="Y87" s="33">
        <f t="shared" si="4"/>
        <v>1</v>
      </c>
      <c r="Z87" s="33">
        <f t="shared" si="5"/>
        <v>8</v>
      </c>
    </row>
    <row r="88" ht="207.75" hidden="1" spans="1:26">
      <c r="A88" s="35" t="s">
        <v>441</v>
      </c>
      <c r="B88" s="31">
        <v>45972</v>
      </c>
      <c r="C88" s="31">
        <v>46030</v>
      </c>
      <c r="D88" s="30" t="s">
        <v>422</v>
      </c>
      <c r="E88" s="32" t="s">
        <v>442</v>
      </c>
      <c r="F88" s="32" t="s">
        <v>443</v>
      </c>
      <c r="G88" s="26"/>
      <c r="H88" s="26" t="s">
        <v>37</v>
      </c>
      <c r="I88" s="35">
        <v>2000</v>
      </c>
      <c r="J88" s="35" t="s">
        <v>267</v>
      </c>
      <c r="K88" s="35" t="s">
        <v>444</v>
      </c>
      <c r="L88" s="35" t="s">
        <v>445</v>
      </c>
      <c r="M88" s="32" t="s">
        <v>13</v>
      </c>
      <c r="N88" s="32" t="s">
        <v>394</v>
      </c>
      <c r="O88" s="32" t="s">
        <v>273</v>
      </c>
      <c r="P88" s="32"/>
      <c r="Q88" s="35"/>
      <c r="R88" s="30"/>
      <c r="S88" s="30"/>
      <c r="T88" s="30"/>
      <c r="U88" s="30"/>
      <c r="V88" s="30"/>
      <c r="W88" s="30"/>
      <c r="X88" s="33">
        <f t="shared" si="3"/>
        <v>2026</v>
      </c>
      <c r="Y88" s="33">
        <f t="shared" si="4"/>
        <v>1</v>
      </c>
      <c r="Z88" s="33">
        <f t="shared" si="5"/>
        <v>8</v>
      </c>
    </row>
    <row r="89" ht="409.5" hidden="1" spans="1:26">
      <c r="A89" s="35"/>
      <c r="B89" s="31">
        <v>46024</v>
      </c>
      <c r="C89" s="31">
        <v>46031</v>
      </c>
      <c r="D89" s="35" t="s">
        <v>5</v>
      </c>
      <c r="E89" s="32" t="s">
        <v>446</v>
      </c>
      <c r="F89" s="32" t="s">
        <v>447</v>
      </c>
      <c r="G89" s="26"/>
      <c r="H89" s="26" t="s">
        <v>34</v>
      </c>
      <c r="I89" s="35">
        <v>1979</v>
      </c>
      <c r="J89" s="35">
        <v>98.85</v>
      </c>
      <c r="K89" s="35" t="s">
        <v>448</v>
      </c>
      <c r="L89" s="35" t="s">
        <v>449</v>
      </c>
      <c r="M89" s="32" t="s">
        <v>11</v>
      </c>
      <c r="N89" s="32" t="s">
        <v>115</v>
      </c>
      <c r="O89" s="32" t="s">
        <v>420</v>
      </c>
      <c r="P89" s="32"/>
      <c r="Q89" s="35"/>
      <c r="R89" s="30"/>
      <c r="S89" s="30"/>
      <c r="T89" s="30"/>
      <c r="U89" s="30"/>
      <c r="V89" s="30"/>
      <c r="W89" s="30"/>
      <c r="X89" s="33">
        <f t="shared" si="3"/>
        <v>2026</v>
      </c>
      <c r="Y89" s="33">
        <f t="shared" si="4"/>
        <v>1</v>
      </c>
      <c r="Z89" s="33">
        <f t="shared" si="5"/>
        <v>9</v>
      </c>
    </row>
    <row r="90" ht="409.5" hidden="1" spans="1:26">
      <c r="A90" s="35" t="s">
        <v>450</v>
      </c>
      <c r="B90" s="31">
        <v>46016</v>
      </c>
      <c r="C90" s="31">
        <v>46016</v>
      </c>
      <c r="D90" s="30" t="s">
        <v>5</v>
      </c>
      <c r="E90" s="32" t="s">
        <v>225</v>
      </c>
      <c r="F90" s="32" t="s">
        <v>451</v>
      </c>
      <c r="G90" s="26"/>
      <c r="H90" s="26" t="s">
        <v>37</v>
      </c>
      <c r="I90" s="35">
        <v>2521.5</v>
      </c>
      <c r="J90" s="35">
        <v>1.025</v>
      </c>
      <c r="K90" s="35" t="s">
        <v>373</v>
      </c>
      <c r="L90" s="35" t="s">
        <v>450</v>
      </c>
      <c r="M90" s="32" t="s">
        <v>10</v>
      </c>
      <c r="N90" s="32" t="s">
        <v>115</v>
      </c>
      <c r="O90" s="32" t="s">
        <v>173</v>
      </c>
      <c r="P90" s="32"/>
      <c r="Q90" s="35"/>
      <c r="R90" s="30"/>
      <c r="S90" s="30"/>
      <c r="T90" s="30"/>
      <c r="U90" s="30"/>
      <c r="V90" s="30"/>
      <c r="W90" s="30"/>
      <c r="X90" s="33">
        <f t="shared" si="3"/>
        <v>2025</v>
      </c>
      <c r="Y90" s="33">
        <f t="shared" si="4"/>
        <v>12</v>
      </c>
      <c r="Z90" s="33">
        <f t="shared" si="5"/>
        <v>25</v>
      </c>
    </row>
    <row r="91" ht="409.5" hidden="1" spans="1:26">
      <c r="A91" s="35" t="s">
        <v>452</v>
      </c>
      <c r="B91" s="34" t="s">
        <v>453</v>
      </c>
      <c r="C91" s="31">
        <v>46065</v>
      </c>
      <c r="D91" s="35" t="s">
        <v>5</v>
      </c>
      <c r="E91" s="32" t="s">
        <v>454</v>
      </c>
      <c r="F91" s="32" t="s">
        <v>455</v>
      </c>
      <c r="G91" s="26"/>
      <c r="H91" s="26" t="s">
        <v>34</v>
      </c>
      <c r="I91" s="35">
        <v>2345.24</v>
      </c>
      <c r="J91" s="35">
        <v>83.29</v>
      </c>
      <c r="K91" s="35" t="s">
        <v>456</v>
      </c>
      <c r="L91" s="35" t="s">
        <v>452</v>
      </c>
      <c r="M91" s="32" t="s">
        <v>13</v>
      </c>
      <c r="N91" s="32" t="s">
        <v>115</v>
      </c>
      <c r="O91" s="32" t="s">
        <v>363</v>
      </c>
      <c r="P91" s="32"/>
      <c r="Q91" s="35"/>
      <c r="R91" s="30"/>
      <c r="S91" s="30"/>
      <c r="T91" s="30"/>
      <c r="U91" s="30"/>
      <c r="V91" s="30"/>
      <c r="W91" s="30"/>
      <c r="X91" s="33">
        <f t="shared" si="3"/>
        <v>2026</v>
      </c>
      <c r="Y91" s="33">
        <f t="shared" si="4"/>
        <v>2</v>
      </c>
      <c r="Z91" s="33">
        <f t="shared" si="5"/>
        <v>12</v>
      </c>
    </row>
    <row r="92" ht="249.4" hidden="1" spans="1:26">
      <c r="A92" s="35" t="s">
        <v>457</v>
      </c>
      <c r="B92" s="34">
        <v>46022</v>
      </c>
      <c r="C92" s="31">
        <v>46030</v>
      </c>
      <c r="D92" s="35" t="s">
        <v>5</v>
      </c>
      <c r="E92" s="32" t="s">
        <v>320</v>
      </c>
      <c r="F92" s="32" t="s">
        <v>458</v>
      </c>
      <c r="G92" s="26"/>
      <c r="H92" s="26" t="s">
        <v>34</v>
      </c>
      <c r="I92" s="35">
        <v>4887</v>
      </c>
      <c r="J92" s="35">
        <v>488.7</v>
      </c>
      <c r="K92" s="35" t="s">
        <v>322</v>
      </c>
      <c r="L92" s="35" t="s">
        <v>457</v>
      </c>
      <c r="M92" s="32" t="s">
        <v>10</v>
      </c>
      <c r="N92" s="32" t="s">
        <v>115</v>
      </c>
      <c r="O92" s="32" t="s">
        <v>323</v>
      </c>
      <c r="P92" s="32"/>
      <c r="Q92" s="35"/>
      <c r="R92" s="30"/>
      <c r="S92" s="30"/>
      <c r="T92" s="30"/>
      <c r="U92" s="30"/>
      <c r="V92" s="30"/>
      <c r="W92" s="30"/>
      <c r="X92" s="33">
        <f t="shared" si="3"/>
        <v>2026</v>
      </c>
      <c r="Y92" s="33">
        <f t="shared" si="4"/>
        <v>1</v>
      </c>
      <c r="Z92" s="33">
        <f t="shared" si="5"/>
        <v>8</v>
      </c>
    </row>
    <row r="93" ht="249.4" hidden="1" spans="1:26">
      <c r="A93" s="35" t="s">
        <v>459</v>
      </c>
      <c r="B93" s="34">
        <v>46022</v>
      </c>
      <c r="C93" s="31">
        <v>46030</v>
      </c>
      <c r="D93" s="35" t="s">
        <v>5</v>
      </c>
      <c r="E93" s="32" t="s">
        <v>320</v>
      </c>
      <c r="F93" s="32" t="s">
        <v>460</v>
      </c>
      <c r="G93" s="26"/>
      <c r="H93" s="26" t="s">
        <v>34</v>
      </c>
      <c r="I93" s="35">
        <v>3600.4</v>
      </c>
      <c r="J93" s="35">
        <v>360.04</v>
      </c>
      <c r="K93" s="35" t="s">
        <v>461</v>
      </c>
      <c r="L93" s="35" t="s">
        <v>459</v>
      </c>
      <c r="M93" s="32" t="s">
        <v>10</v>
      </c>
      <c r="N93" s="32" t="s">
        <v>115</v>
      </c>
      <c r="O93" s="32" t="s">
        <v>323</v>
      </c>
      <c r="P93" s="32"/>
      <c r="Q93" s="35"/>
      <c r="R93" s="30"/>
      <c r="S93" s="30"/>
      <c r="T93" s="30"/>
      <c r="U93" s="30"/>
      <c r="V93" s="30"/>
      <c r="W93" s="30"/>
      <c r="X93" s="33">
        <f t="shared" si="3"/>
        <v>2026</v>
      </c>
      <c r="Y93" s="33">
        <f t="shared" si="4"/>
        <v>1</v>
      </c>
      <c r="Z93" s="33">
        <f t="shared" si="5"/>
        <v>8</v>
      </c>
    </row>
    <row r="94" ht="304.9" hidden="1" spans="1:26">
      <c r="A94" s="35" t="s">
        <v>462</v>
      </c>
      <c r="B94" s="34">
        <v>46022</v>
      </c>
      <c r="C94" s="31">
        <v>46030</v>
      </c>
      <c r="D94" s="35" t="s">
        <v>5</v>
      </c>
      <c r="E94" s="32" t="s">
        <v>320</v>
      </c>
      <c r="F94" s="32" t="s">
        <v>463</v>
      </c>
      <c r="G94" s="26"/>
      <c r="H94" s="26" t="s">
        <v>34</v>
      </c>
      <c r="I94" s="35">
        <v>11254.2</v>
      </c>
      <c r="J94" s="35">
        <v>375.14</v>
      </c>
      <c r="K94" s="35" t="s">
        <v>464</v>
      </c>
      <c r="L94" s="35" t="s">
        <v>462</v>
      </c>
      <c r="M94" s="32" t="s">
        <v>10</v>
      </c>
      <c r="N94" s="32" t="s">
        <v>115</v>
      </c>
      <c r="O94" s="32" t="s">
        <v>323</v>
      </c>
      <c r="P94" s="32"/>
      <c r="Q94" s="35"/>
      <c r="R94" s="30"/>
      <c r="S94" s="30"/>
      <c r="T94" s="30"/>
      <c r="U94" s="30"/>
      <c r="V94" s="30"/>
      <c r="W94" s="30"/>
      <c r="X94" s="33">
        <f t="shared" si="3"/>
        <v>2026</v>
      </c>
      <c r="Y94" s="33">
        <f t="shared" si="4"/>
        <v>1</v>
      </c>
      <c r="Z94" s="33">
        <f t="shared" si="5"/>
        <v>8</v>
      </c>
    </row>
    <row r="95" ht="409.5" hidden="1" spans="1:26">
      <c r="A95" s="35" t="s">
        <v>465</v>
      </c>
      <c r="B95" s="34">
        <v>46026</v>
      </c>
      <c r="C95" s="31">
        <v>46035</v>
      </c>
      <c r="D95" s="30" t="s">
        <v>5</v>
      </c>
      <c r="E95" s="32" t="s">
        <v>466</v>
      </c>
      <c r="F95" s="57" t="s">
        <v>467</v>
      </c>
      <c r="G95" s="26"/>
      <c r="H95" s="26" t="s">
        <v>34</v>
      </c>
      <c r="I95" s="35">
        <v>3992.6</v>
      </c>
      <c r="J95" s="35">
        <v>779.27</v>
      </c>
      <c r="K95" s="35" t="s">
        <v>434</v>
      </c>
      <c r="L95" s="35" t="s">
        <v>465</v>
      </c>
      <c r="M95" s="32" t="s">
        <v>12</v>
      </c>
      <c r="N95" s="32" t="s">
        <v>115</v>
      </c>
      <c r="O95" s="32" t="s">
        <v>111</v>
      </c>
      <c r="P95" s="32"/>
      <c r="Q95" s="35"/>
      <c r="R95" s="30"/>
      <c r="S95" s="30"/>
      <c r="T95" s="30"/>
      <c r="U95" s="30"/>
      <c r="V95" s="30"/>
      <c r="W95" s="30"/>
      <c r="X95" s="33">
        <f t="shared" si="3"/>
        <v>2026</v>
      </c>
      <c r="Y95" s="33">
        <f t="shared" si="4"/>
        <v>1</v>
      </c>
      <c r="Z95" s="33">
        <f t="shared" si="5"/>
        <v>13</v>
      </c>
    </row>
    <row r="96" ht="409.5" hidden="1" spans="1:26">
      <c r="A96" s="35" t="s">
        <v>468</v>
      </c>
      <c r="B96" s="31">
        <v>46383</v>
      </c>
      <c r="C96" s="31">
        <v>46037</v>
      </c>
      <c r="D96" s="30" t="s">
        <v>5</v>
      </c>
      <c r="E96" s="32" t="s">
        <v>469</v>
      </c>
      <c r="F96" s="32" t="s">
        <v>470</v>
      </c>
      <c r="G96" s="26"/>
      <c r="H96" s="26" t="s">
        <v>34</v>
      </c>
      <c r="I96" s="35">
        <v>25365.36</v>
      </c>
      <c r="J96" s="35">
        <v>1492.08</v>
      </c>
      <c r="K96" s="35" t="s">
        <v>434</v>
      </c>
      <c r="L96" s="35" t="s">
        <v>468</v>
      </c>
      <c r="M96" s="32" t="s">
        <v>12</v>
      </c>
      <c r="N96" s="32" t="s">
        <v>115</v>
      </c>
      <c r="O96" s="32" t="s">
        <v>436</v>
      </c>
      <c r="P96" s="32"/>
      <c r="Q96" s="35"/>
      <c r="R96" s="30"/>
      <c r="S96" s="30"/>
      <c r="T96" s="30"/>
      <c r="U96" s="30"/>
      <c r="V96" s="30"/>
      <c r="W96" s="30"/>
      <c r="X96" s="33">
        <f t="shared" si="3"/>
        <v>2026</v>
      </c>
      <c r="Y96" s="33">
        <f t="shared" si="4"/>
        <v>1</v>
      </c>
      <c r="Z96" s="33">
        <f t="shared" si="5"/>
        <v>15</v>
      </c>
    </row>
    <row r="97" ht="409.5" hidden="1" spans="1:26">
      <c r="A97" s="35" t="s">
        <v>471</v>
      </c>
      <c r="B97" s="31">
        <v>46346</v>
      </c>
      <c r="C97" s="31">
        <v>46037</v>
      </c>
      <c r="D97" s="30" t="s">
        <v>5</v>
      </c>
      <c r="E97" s="32" t="s">
        <v>347</v>
      </c>
      <c r="F97" s="32" t="s">
        <v>472</v>
      </c>
      <c r="G97" s="26"/>
      <c r="H97" s="26" t="s">
        <v>34</v>
      </c>
      <c r="I97" s="35">
        <v>6195.04</v>
      </c>
      <c r="J97" s="35">
        <v>120.61</v>
      </c>
      <c r="K97" s="35" t="s">
        <v>473</v>
      </c>
      <c r="L97" s="35" t="s">
        <v>471</v>
      </c>
      <c r="M97" s="32" t="s">
        <v>13</v>
      </c>
      <c r="N97" s="32" t="s">
        <v>115</v>
      </c>
      <c r="O97" s="32" t="s">
        <v>293</v>
      </c>
      <c r="P97" s="32"/>
      <c r="Q97" s="35"/>
      <c r="R97" s="30"/>
      <c r="S97" s="30"/>
      <c r="T97" s="30"/>
      <c r="U97" s="30"/>
      <c r="V97" s="30"/>
      <c r="W97" s="30"/>
      <c r="X97" s="33">
        <f t="shared" si="3"/>
        <v>2026</v>
      </c>
      <c r="Y97" s="33">
        <f t="shared" si="4"/>
        <v>1</v>
      </c>
      <c r="Z97" s="33">
        <f t="shared" si="5"/>
        <v>15</v>
      </c>
    </row>
    <row r="98" ht="409.5" hidden="1" spans="1:26">
      <c r="A98" s="35" t="s">
        <v>474</v>
      </c>
      <c r="B98" s="31">
        <v>46376</v>
      </c>
      <c r="C98" s="31">
        <v>46037</v>
      </c>
      <c r="D98" s="30" t="s">
        <v>5</v>
      </c>
      <c r="E98" s="32" t="s">
        <v>475</v>
      </c>
      <c r="F98" s="32" t="s">
        <v>476</v>
      </c>
      <c r="G98" s="26"/>
      <c r="H98" s="26" t="s">
        <v>34</v>
      </c>
      <c r="I98" s="35">
        <v>7516.1</v>
      </c>
      <c r="J98" s="35">
        <v>248.53</v>
      </c>
      <c r="K98" s="35" t="s">
        <v>477</v>
      </c>
      <c r="L98" s="35" t="s">
        <v>474</v>
      </c>
      <c r="M98" s="32" t="s">
        <v>13</v>
      </c>
      <c r="N98" s="32" t="s">
        <v>115</v>
      </c>
      <c r="O98" s="32" t="s">
        <v>293</v>
      </c>
      <c r="P98" s="32"/>
      <c r="Q98" s="35"/>
      <c r="R98" s="30"/>
      <c r="S98" s="30"/>
      <c r="T98" s="30"/>
      <c r="U98" s="30"/>
      <c r="V98" s="30"/>
      <c r="W98" s="30"/>
      <c r="X98" s="33">
        <f t="shared" si="3"/>
        <v>2026</v>
      </c>
      <c r="Y98" s="33">
        <f t="shared" si="4"/>
        <v>1</v>
      </c>
      <c r="Z98" s="33">
        <f t="shared" si="5"/>
        <v>15</v>
      </c>
    </row>
    <row r="99" ht="90.95" hidden="1" customHeight="1" spans="1:26">
      <c r="A99" s="58" t="s">
        <v>478</v>
      </c>
      <c r="B99" s="34">
        <v>46030</v>
      </c>
      <c r="C99" s="34">
        <v>46035</v>
      </c>
      <c r="D99" s="30" t="s">
        <v>5</v>
      </c>
      <c r="E99" s="59" t="s">
        <v>479</v>
      </c>
      <c r="F99" s="60" t="s">
        <v>480</v>
      </c>
      <c r="G99" s="55"/>
      <c r="H99" s="26" t="s">
        <v>34</v>
      </c>
      <c r="I99" s="35">
        <v>2679</v>
      </c>
      <c r="J99" s="35">
        <v>200.6</v>
      </c>
      <c r="K99" s="35" t="s">
        <v>481</v>
      </c>
      <c r="L99" s="61" t="s">
        <v>478</v>
      </c>
      <c r="M99" s="32" t="s">
        <v>12</v>
      </c>
      <c r="N99" s="32" t="s">
        <v>115</v>
      </c>
      <c r="O99" s="32" t="s">
        <v>482</v>
      </c>
      <c r="P99" s="32"/>
      <c r="Q99" s="35"/>
      <c r="R99" s="30"/>
      <c r="S99" s="30"/>
      <c r="T99" s="30"/>
      <c r="U99" s="30"/>
      <c r="V99" s="30"/>
      <c r="W99" s="30"/>
      <c r="X99" s="33">
        <f t="shared" si="3"/>
        <v>2026</v>
      </c>
      <c r="Y99" s="33">
        <f t="shared" si="4"/>
        <v>1</v>
      </c>
      <c r="Z99" s="33">
        <f t="shared" si="5"/>
        <v>13</v>
      </c>
    </row>
    <row r="100" ht="41.65" hidden="1" spans="1:26">
      <c r="A100" s="35" t="s">
        <v>483</v>
      </c>
      <c r="B100" s="31">
        <v>46033</v>
      </c>
      <c r="C100" s="31">
        <v>46041</v>
      </c>
      <c r="D100" s="30" t="s">
        <v>5</v>
      </c>
      <c r="E100" s="32" t="s">
        <v>484</v>
      </c>
      <c r="F100" s="2" t="s">
        <v>485</v>
      </c>
      <c r="G100" s="55"/>
      <c r="H100" s="26" t="s">
        <v>34</v>
      </c>
      <c r="I100" s="35">
        <v>547</v>
      </c>
      <c r="J100" s="35">
        <v>27.35</v>
      </c>
      <c r="K100" s="35"/>
      <c r="L100" s="35" t="s">
        <v>483</v>
      </c>
      <c r="M100" s="32" t="s">
        <v>10</v>
      </c>
      <c r="N100" s="32" t="s">
        <v>115</v>
      </c>
      <c r="O100" s="32" t="s">
        <v>229</v>
      </c>
      <c r="P100" s="32"/>
      <c r="Q100" s="35"/>
      <c r="R100" s="30"/>
      <c r="S100" s="30"/>
      <c r="T100" s="30"/>
      <c r="U100" s="30"/>
      <c r="V100" s="30"/>
      <c r="W100" s="30"/>
      <c r="X100" s="33">
        <f t="shared" si="3"/>
        <v>2026</v>
      </c>
      <c r="Y100" s="33">
        <f t="shared" si="4"/>
        <v>1</v>
      </c>
      <c r="Z100" s="33">
        <f t="shared" si="5"/>
        <v>19</v>
      </c>
    </row>
    <row r="101" ht="409.5" hidden="1" spans="1:26">
      <c r="A101" s="62" t="s">
        <v>486</v>
      </c>
      <c r="B101" s="34">
        <v>46037</v>
      </c>
      <c r="C101" s="34">
        <v>46037</v>
      </c>
      <c r="D101" s="30" t="s">
        <v>5</v>
      </c>
      <c r="E101" s="32" t="s">
        <v>487</v>
      </c>
      <c r="F101" s="60" t="s">
        <v>488</v>
      </c>
      <c r="G101" s="55"/>
      <c r="H101" s="26" t="s">
        <v>54</v>
      </c>
      <c r="I101" s="35">
        <v>1324.2</v>
      </c>
      <c r="J101" s="35">
        <v>99.68</v>
      </c>
      <c r="K101" s="58" t="s">
        <v>489</v>
      </c>
      <c r="L101" s="61" t="s">
        <v>486</v>
      </c>
      <c r="M101" s="32" t="s">
        <v>12</v>
      </c>
      <c r="N101" s="32" t="s">
        <v>115</v>
      </c>
      <c r="O101" s="32" t="s">
        <v>482</v>
      </c>
      <c r="P101" s="32"/>
      <c r="Q101" s="35"/>
      <c r="R101" s="30"/>
      <c r="S101" s="30"/>
      <c r="T101" s="30"/>
      <c r="U101" s="30"/>
      <c r="V101" s="30"/>
      <c r="W101" s="30"/>
      <c r="X101" s="33">
        <f t="shared" si="3"/>
        <v>2026</v>
      </c>
      <c r="Y101" s="33">
        <f t="shared" si="4"/>
        <v>1</v>
      </c>
      <c r="Z101" s="33">
        <f t="shared" si="5"/>
        <v>15</v>
      </c>
    </row>
    <row r="102" ht="402" hidden="1" spans="1:26">
      <c r="A102" s="35" t="s">
        <v>490</v>
      </c>
      <c r="B102" s="34">
        <v>46013</v>
      </c>
      <c r="C102" s="34">
        <v>46038</v>
      </c>
      <c r="D102" s="30" t="s">
        <v>5</v>
      </c>
      <c r="E102" s="63" t="s">
        <v>491</v>
      </c>
      <c r="F102" s="32" t="s">
        <v>492</v>
      </c>
      <c r="G102" s="26"/>
      <c r="H102" s="26" t="s">
        <v>54</v>
      </c>
      <c r="I102" s="64">
        <v>1260</v>
      </c>
      <c r="J102" s="35">
        <v>126</v>
      </c>
      <c r="K102" s="35" t="s">
        <v>493</v>
      </c>
      <c r="L102" s="51" t="s">
        <v>494</v>
      </c>
      <c r="M102" s="32" t="s">
        <v>10</v>
      </c>
      <c r="N102" s="32" t="s">
        <v>115</v>
      </c>
      <c r="O102" s="32" t="s">
        <v>149</v>
      </c>
      <c r="P102" s="32"/>
      <c r="Q102" s="35"/>
      <c r="R102" s="30"/>
      <c r="S102" s="30"/>
      <c r="T102" s="30"/>
      <c r="U102" s="30"/>
      <c r="V102" s="30"/>
      <c r="W102" s="30"/>
      <c r="X102" s="33">
        <f t="shared" si="3"/>
        <v>2026</v>
      </c>
      <c r="Y102" s="33">
        <f t="shared" si="4"/>
        <v>1</v>
      </c>
      <c r="Z102" s="33">
        <f t="shared" si="5"/>
        <v>16</v>
      </c>
    </row>
    <row r="103" ht="409.5" hidden="1" spans="1:26">
      <c r="A103" s="21" t="s">
        <v>495</v>
      </c>
      <c r="B103" s="34">
        <v>46015</v>
      </c>
      <c r="C103" s="31">
        <v>46041</v>
      </c>
      <c r="D103" s="30" t="s">
        <v>5</v>
      </c>
      <c r="E103" s="32" t="s">
        <v>320</v>
      </c>
      <c r="F103" s="65" t="s">
        <v>496</v>
      </c>
      <c r="G103" s="55"/>
      <c r="H103" s="26" t="s">
        <v>34</v>
      </c>
      <c r="I103" s="66">
        <v>11238.6</v>
      </c>
      <c r="J103" s="66">
        <v>374.62</v>
      </c>
      <c r="K103" s="67" t="s">
        <v>464</v>
      </c>
      <c r="L103" s="66" t="s">
        <v>495</v>
      </c>
      <c r="M103" s="32" t="s">
        <v>10</v>
      </c>
      <c r="N103" s="32" t="s">
        <v>115</v>
      </c>
      <c r="O103" s="67" t="s">
        <v>323</v>
      </c>
      <c r="P103" s="66"/>
      <c r="Q103" s="66"/>
      <c r="R103" s="66"/>
      <c r="S103" s="66"/>
      <c r="T103" s="66"/>
      <c r="U103" s="66"/>
      <c r="V103" s="66"/>
      <c r="W103" s="66"/>
      <c r="X103" s="68">
        <f t="shared" si="3"/>
        <v>2026</v>
      </c>
      <c r="Y103" s="68">
        <f t="shared" si="4"/>
        <v>1</v>
      </c>
      <c r="Z103" s="68">
        <f t="shared" si="5"/>
        <v>19</v>
      </c>
    </row>
    <row r="104" ht="409.5" hidden="1" spans="1:26">
      <c r="A104" s="21" t="s">
        <v>497</v>
      </c>
      <c r="B104" s="34">
        <v>46015</v>
      </c>
      <c r="C104" s="31">
        <v>46041</v>
      </c>
      <c r="D104" s="30" t="s">
        <v>5</v>
      </c>
      <c r="E104" s="32" t="s">
        <v>320</v>
      </c>
      <c r="F104" s="65" t="s">
        <v>498</v>
      </c>
      <c r="G104" s="55"/>
      <c r="H104" s="26" t="s">
        <v>54</v>
      </c>
      <c r="I104" s="66">
        <v>1926.4</v>
      </c>
      <c r="J104" s="66">
        <v>192.64</v>
      </c>
      <c r="K104" s="67" t="s">
        <v>464</v>
      </c>
      <c r="L104" s="66" t="s">
        <v>497</v>
      </c>
      <c r="M104" s="32" t="s">
        <v>10</v>
      </c>
      <c r="N104" s="32" t="s">
        <v>115</v>
      </c>
      <c r="O104" s="67" t="s">
        <v>323</v>
      </c>
      <c r="P104" s="66"/>
      <c r="Q104" s="66"/>
      <c r="R104" s="66"/>
      <c r="S104" s="66"/>
      <c r="T104" s="66"/>
      <c r="U104" s="66"/>
      <c r="V104" s="66"/>
      <c r="W104" s="66"/>
      <c r="X104" s="68">
        <f t="shared" si="3"/>
        <v>2026</v>
      </c>
      <c r="Y104" s="68">
        <f t="shared" si="4"/>
        <v>1</v>
      </c>
      <c r="Z104" s="68">
        <f t="shared" si="5"/>
        <v>19</v>
      </c>
    </row>
    <row r="105" s="22" customFormat="1" ht="332.65" hidden="1" spans="1:26">
      <c r="A105" s="69" t="s">
        <v>499</v>
      </c>
      <c r="B105" s="34">
        <v>46037</v>
      </c>
      <c r="C105" s="34">
        <v>46042</v>
      </c>
      <c r="D105" s="35" t="s">
        <v>5</v>
      </c>
      <c r="E105" s="32" t="s">
        <v>500</v>
      </c>
      <c r="F105" s="32" t="s">
        <v>501</v>
      </c>
      <c r="G105" s="26"/>
      <c r="H105" s="26" t="s">
        <v>34</v>
      </c>
      <c r="I105" s="30">
        <v>9993.8</v>
      </c>
      <c r="J105" s="30">
        <v>999.38</v>
      </c>
      <c r="K105" s="35" t="s">
        <v>502</v>
      </c>
      <c r="L105" s="35" t="s">
        <v>499</v>
      </c>
      <c r="M105" s="32" t="s">
        <v>10</v>
      </c>
      <c r="N105" s="32" t="s">
        <v>115</v>
      </c>
      <c r="O105" s="35" t="s">
        <v>318</v>
      </c>
      <c r="P105" s="30"/>
      <c r="Q105" s="30"/>
      <c r="R105" s="30"/>
      <c r="S105" s="30"/>
      <c r="T105" s="30"/>
      <c r="U105" s="30"/>
      <c r="V105" s="30"/>
      <c r="W105" s="30"/>
      <c r="X105" s="33">
        <f t="shared" si="3"/>
        <v>2026</v>
      </c>
      <c r="Y105" s="33">
        <f t="shared" si="4"/>
        <v>1</v>
      </c>
      <c r="Z105" s="33">
        <f t="shared" si="5"/>
        <v>20</v>
      </c>
    </row>
    <row r="106" ht="409.5" hidden="1" spans="1:26">
      <c r="A106" s="69" t="s">
        <v>503</v>
      </c>
      <c r="B106" s="34">
        <v>46041</v>
      </c>
      <c r="C106" s="34">
        <v>46042</v>
      </c>
      <c r="D106" s="67" t="s">
        <v>504</v>
      </c>
      <c r="E106" s="55" t="s">
        <v>505</v>
      </c>
      <c r="F106" s="65" t="s">
        <v>506</v>
      </c>
      <c r="G106" s="55"/>
      <c r="H106" s="26" t="s">
        <v>34</v>
      </c>
      <c r="I106" s="66">
        <v>0</v>
      </c>
      <c r="J106" s="66">
        <v>0</v>
      </c>
      <c r="K106" s="67" t="s">
        <v>507</v>
      </c>
      <c r="L106" s="46" t="s">
        <v>503</v>
      </c>
      <c r="M106" s="32" t="s">
        <v>10</v>
      </c>
      <c r="N106" s="32" t="s">
        <v>115</v>
      </c>
      <c r="O106" s="67" t="s">
        <v>323</v>
      </c>
      <c r="P106" s="66"/>
      <c r="Q106" s="66"/>
      <c r="R106" s="66"/>
      <c r="S106" s="66"/>
      <c r="T106" s="66"/>
      <c r="U106" s="66"/>
      <c r="V106" s="66"/>
      <c r="W106" s="66"/>
      <c r="X106" s="68">
        <f t="shared" si="3"/>
        <v>2026</v>
      </c>
      <c r="Y106" s="68">
        <f t="shared" si="4"/>
        <v>1</v>
      </c>
      <c r="Z106" s="68">
        <f t="shared" si="5"/>
        <v>20</v>
      </c>
    </row>
    <row r="107" ht="27.75" hidden="1" spans="1:26">
      <c r="A107" s="70" t="s">
        <v>508</v>
      </c>
      <c r="B107" s="71">
        <v>46036</v>
      </c>
      <c r="C107" s="71">
        <v>46042</v>
      </c>
      <c r="D107" s="35" t="s">
        <v>5</v>
      </c>
      <c r="E107" s="72" t="s">
        <v>509</v>
      </c>
      <c r="F107" s="73" t="s">
        <v>510</v>
      </c>
      <c r="G107" s="73"/>
      <c r="H107" s="73" t="s">
        <v>41</v>
      </c>
      <c r="I107" s="73">
        <v>4950.3</v>
      </c>
      <c r="J107" s="73">
        <v>330.02</v>
      </c>
      <c r="K107" s="73" t="s">
        <v>511</v>
      </c>
      <c r="L107" s="70" t="s">
        <v>508</v>
      </c>
      <c r="M107" s="74" t="s">
        <v>11</v>
      </c>
      <c r="N107" s="32" t="s">
        <v>115</v>
      </c>
      <c r="O107" s="67" t="s">
        <v>198</v>
      </c>
      <c r="P107" s="66"/>
      <c r="Q107" s="66"/>
      <c r="R107" s="66"/>
      <c r="S107" s="66"/>
      <c r="T107" s="66"/>
      <c r="U107" s="66"/>
      <c r="V107" s="66"/>
      <c r="W107" s="66"/>
      <c r="X107" s="68">
        <f t="shared" si="3"/>
        <v>2026</v>
      </c>
      <c r="Y107" s="68">
        <f t="shared" si="4"/>
        <v>1</v>
      </c>
      <c r="Z107" s="68">
        <f t="shared" si="5"/>
        <v>20</v>
      </c>
    </row>
    <row r="108" ht="409.5" hidden="1" spans="1:26">
      <c r="A108" s="70" t="s">
        <v>512</v>
      </c>
      <c r="B108" s="71">
        <v>46036</v>
      </c>
      <c r="C108" s="71">
        <v>46042</v>
      </c>
      <c r="D108" s="35" t="s">
        <v>5</v>
      </c>
      <c r="E108" s="72" t="s">
        <v>509</v>
      </c>
      <c r="F108" s="75" t="s">
        <v>513</v>
      </c>
      <c r="G108" s="73"/>
      <c r="H108" s="73" t="s">
        <v>42</v>
      </c>
      <c r="I108" s="73">
        <v>6352</v>
      </c>
      <c r="J108" s="73">
        <v>317.6</v>
      </c>
      <c r="K108" s="73" t="s">
        <v>511</v>
      </c>
      <c r="L108" s="70" t="s">
        <v>512</v>
      </c>
      <c r="M108" s="74" t="s">
        <v>11</v>
      </c>
      <c r="N108" s="32" t="s">
        <v>115</v>
      </c>
      <c r="O108" s="67" t="s">
        <v>198</v>
      </c>
      <c r="P108" s="66"/>
      <c r="Q108" s="66"/>
      <c r="R108" s="66"/>
      <c r="S108" s="66"/>
      <c r="T108" s="66"/>
      <c r="U108" s="66"/>
      <c r="V108" s="66"/>
      <c r="W108" s="66"/>
      <c r="X108" s="68">
        <f t="shared" si="3"/>
        <v>2026</v>
      </c>
      <c r="Y108" s="68">
        <f t="shared" si="4"/>
        <v>1</v>
      </c>
      <c r="Z108" s="68">
        <f t="shared" si="5"/>
        <v>20</v>
      </c>
    </row>
    <row r="109" ht="409.5" hidden="1" spans="1:26">
      <c r="A109" s="66" t="s">
        <v>514</v>
      </c>
      <c r="B109" s="71">
        <v>46024</v>
      </c>
      <c r="C109" s="71">
        <v>46043</v>
      </c>
      <c r="D109" s="35" t="s">
        <v>5</v>
      </c>
      <c r="E109" s="74" t="s">
        <v>515</v>
      </c>
      <c r="F109" s="55" t="s">
        <v>516</v>
      </c>
      <c r="G109" s="55"/>
      <c r="H109" s="55" t="s">
        <v>43</v>
      </c>
      <c r="I109" s="66">
        <v>1977.9</v>
      </c>
      <c r="J109" s="66">
        <v>197.79</v>
      </c>
      <c r="K109" s="66" t="s">
        <v>517</v>
      </c>
      <c r="L109" s="67" t="s">
        <v>518</v>
      </c>
      <c r="M109" s="74" t="s">
        <v>10</v>
      </c>
      <c r="N109" s="32" t="s">
        <v>115</v>
      </c>
      <c r="O109" s="32" t="s">
        <v>149</v>
      </c>
      <c r="P109" s="66"/>
      <c r="Q109" s="66"/>
      <c r="R109" s="66"/>
      <c r="S109" s="66"/>
      <c r="T109" s="66"/>
      <c r="U109" s="66"/>
      <c r="V109" s="66"/>
      <c r="W109" s="66"/>
      <c r="X109" s="68">
        <f t="shared" si="3"/>
        <v>2026</v>
      </c>
      <c r="Y109" s="68">
        <f t="shared" si="4"/>
        <v>1</v>
      </c>
      <c r="Z109" s="68">
        <f t="shared" si="5"/>
        <v>21</v>
      </c>
    </row>
    <row r="110" ht="402" hidden="1" spans="1:26">
      <c r="A110" s="67" t="s">
        <v>519</v>
      </c>
      <c r="B110" s="71">
        <v>46030</v>
      </c>
      <c r="C110" s="71">
        <v>46043</v>
      </c>
      <c r="D110" s="67" t="s">
        <v>5</v>
      </c>
      <c r="E110" s="76" t="s">
        <v>520</v>
      </c>
      <c r="F110" s="74" t="s">
        <v>521</v>
      </c>
      <c r="G110" s="74"/>
      <c r="H110" s="74" t="s">
        <v>34</v>
      </c>
      <c r="I110" s="66">
        <v>1071.6</v>
      </c>
      <c r="J110" s="66">
        <v>267.9</v>
      </c>
      <c r="K110" s="66"/>
      <c r="L110" s="67" t="s">
        <v>519</v>
      </c>
      <c r="M110" s="74" t="s">
        <v>10</v>
      </c>
      <c r="N110" s="74" t="s">
        <v>115</v>
      </c>
      <c r="O110" s="67" t="s">
        <v>229</v>
      </c>
      <c r="P110" s="66"/>
      <c r="Q110" s="66"/>
      <c r="R110" s="66"/>
      <c r="S110" s="66"/>
      <c r="T110" s="66"/>
      <c r="U110" s="66"/>
      <c r="V110" s="66"/>
      <c r="W110" s="66"/>
      <c r="X110" s="68">
        <f t="shared" si="3"/>
        <v>2026</v>
      </c>
      <c r="Y110" s="68">
        <f t="shared" si="4"/>
        <v>1</v>
      </c>
      <c r="Z110" s="68">
        <f t="shared" si="5"/>
        <v>21</v>
      </c>
    </row>
    <row r="111" ht="388.15" hidden="1" spans="1:26">
      <c r="A111" s="66" t="s">
        <v>522</v>
      </c>
      <c r="B111" s="77">
        <v>46037</v>
      </c>
      <c r="C111" s="71">
        <v>46045</v>
      </c>
      <c r="D111" s="66" t="s">
        <v>5</v>
      </c>
      <c r="E111" s="74" t="s">
        <v>523</v>
      </c>
      <c r="F111" s="74" t="s">
        <v>524</v>
      </c>
      <c r="G111" s="55"/>
      <c r="H111" s="55" t="s">
        <v>54</v>
      </c>
      <c r="I111" s="66">
        <v>3108.2</v>
      </c>
      <c r="J111" s="66">
        <v>283.06</v>
      </c>
      <c r="K111" s="58" t="s">
        <v>489</v>
      </c>
      <c r="L111" s="66" t="s">
        <v>522</v>
      </c>
      <c r="M111" s="74" t="s">
        <v>12</v>
      </c>
      <c r="N111" s="74" t="s">
        <v>115</v>
      </c>
      <c r="O111" s="67" t="s">
        <v>482</v>
      </c>
      <c r="P111" s="66"/>
      <c r="Q111" s="66"/>
      <c r="R111" s="66"/>
      <c r="S111" s="66"/>
      <c r="T111" s="66"/>
      <c r="U111" s="66"/>
      <c r="V111" s="66"/>
      <c r="W111" s="66"/>
      <c r="X111" s="68">
        <f t="shared" si="3"/>
        <v>2026</v>
      </c>
      <c r="Y111" s="68">
        <f t="shared" si="4"/>
        <v>1</v>
      </c>
      <c r="Z111" s="68">
        <f t="shared" si="5"/>
        <v>23</v>
      </c>
    </row>
    <row r="112" ht="409.5" hidden="1" spans="1:26">
      <c r="A112" s="78" t="s">
        <v>525</v>
      </c>
      <c r="B112" s="71">
        <v>46043</v>
      </c>
      <c r="C112" s="71">
        <v>46045</v>
      </c>
      <c r="D112" s="66" t="s">
        <v>5</v>
      </c>
      <c r="E112" s="74" t="s">
        <v>526</v>
      </c>
      <c r="F112" s="74" t="s">
        <v>527</v>
      </c>
      <c r="G112" s="74"/>
      <c r="H112" s="74" t="s">
        <v>53</v>
      </c>
      <c r="I112" s="66">
        <v>1530.6</v>
      </c>
      <c r="J112" s="66">
        <v>76.53</v>
      </c>
      <c r="K112" s="66"/>
      <c r="L112" s="67" t="s">
        <v>525</v>
      </c>
      <c r="M112" s="74" t="s">
        <v>10</v>
      </c>
      <c r="N112" s="74" t="s">
        <v>115</v>
      </c>
      <c r="O112" s="67" t="s">
        <v>159</v>
      </c>
      <c r="P112" s="35" t="s">
        <v>10</v>
      </c>
      <c r="Q112" s="35" t="s">
        <v>105</v>
      </c>
      <c r="R112" s="66"/>
      <c r="S112" s="66"/>
      <c r="T112" s="66"/>
      <c r="U112" s="66"/>
      <c r="V112" s="66"/>
      <c r="W112" s="66"/>
      <c r="X112" s="68">
        <f t="shared" si="3"/>
        <v>2026</v>
      </c>
      <c r="Y112" s="68">
        <f t="shared" si="4"/>
        <v>1</v>
      </c>
      <c r="Z112" s="68">
        <f t="shared" si="5"/>
        <v>23</v>
      </c>
    </row>
    <row r="113" ht="409.5" hidden="1" spans="1:26">
      <c r="A113" s="66"/>
      <c r="B113" s="71">
        <v>46048</v>
      </c>
      <c r="C113" s="71">
        <v>46048</v>
      </c>
      <c r="D113" s="66" t="s">
        <v>5</v>
      </c>
      <c r="E113" s="74" t="s">
        <v>528</v>
      </c>
      <c r="F113" s="74" t="s">
        <v>529</v>
      </c>
      <c r="G113" s="74"/>
      <c r="H113" s="74" t="s">
        <v>58</v>
      </c>
      <c r="I113" s="66">
        <v>1223</v>
      </c>
      <c r="J113" s="66">
        <v>61.15</v>
      </c>
      <c r="K113" s="67" t="s">
        <v>530</v>
      </c>
      <c r="L113" s="67" t="s">
        <v>531</v>
      </c>
      <c r="M113" s="74" t="s">
        <v>11</v>
      </c>
      <c r="N113" s="74" t="s">
        <v>115</v>
      </c>
      <c r="O113" s="67" t="s">
        <v>420</v>
      </c>
      <c r="P113" s="66"/>
      <c r="Q113" s="66"/>
      <c r="R113" s="66"/>
      <c r="S113" s="66"/>
      <c r="T113" s="66"/>
      <c r="U113" s="66"/>
      <c r="V113" s="66"/>
      <c r="W113" s="66"/>
      <c r="X113" s="68">
        <f t="shared" si="3"/>
        <v>2026</v>
      </c>
      <c r="Y113" s="68">
        <f t="shared" si="4"/>
        <v>1</v>
      </c>
      <c r="Z113" s="68">
        <f t="shared" si="5"/>
        <v>26</v>
      </c>
    </row>
    <row r="114" ht="13.85" spans="1:26">
      <c r="A114" s="78" t="s">
        <v>532</v>
      </c>
      <c r="B114" s="71"/>
      <c r="C114" s="71"/>
      <c r="D114" s="66"/>
      <c r="E114" s="55"/>
      <c r="F114" s="55"/>
      <c r="G114" s="55"/>
      <c r="H114" s="55"/>
      <c r="I114" s="66"/>
      <c r="J114" s="66"/>
      <c r="K114" s="66"/>
      <c r="L114" s="66"/>
      <c r="M114" s="55"/>
      <c r="N114" s="55"/>
      <c r="O114" s="66"/>
      <c r="P114" s="66"/>
      <c r="Q114" s="66"/>
      <c r="R114" s="66"/>
      <c r="S114" s="66"/>
      <c r="T114" s="66"/>
      <c r="U114" s="66"/>
      <c r="V114" s="66"/>
      <c r="W114" s="66"/>
      <c r="X114" s="68">
        <f t="shared" si="3"/>
        <v>1900</v>
      </c>
      <c r="Y114" s="68">
        <f t="shared" si="4"/>
        <v>1</v>
      </c>
      <c r="Z114" s="68">
        <f t="shared" si="5"/>
        <v>0</v>
      </c>
    </row>
    <row r="115" ht="332.65" hidden="1" spans="1:26">
      <c r="A115" s="67" t="s">
        <v>533</v>
      </c>
      <c r="B115" s="71">
        <v>46048</v>
      </c>
      <c r="C115" s="71">
        <v>46048</v>
      </c>
      <c r="D115" s="66" t="s">
        <v>504</v>
      </c>
      <c r="E115" s="55" t="s">
        <v>534</v>
      </c>
      <c r="F115" s="74" t="s">
        <v>535</v>
      </c>
      <c r="G115" s="74"/>
      <c r="H115" s="74" t="s">
        <v>74</v>
      </c>
      <c r="I115" s="66">
        <v>0</v>
      </c>
      <c r="J115" s="66">
        <v>66.9</v>
      </c>
      <c r="K115" s="67" t="s">
        <v>536</v>
      </c>
      <c r="L115" s="67" t="s">
        <v>537</v>
      </c>
      <c r="M115" s="74" t="s">
        <v>12</v>
      </c>
      <c r="N115" s="74" t="s">
        <v>115</v>
      </c>
      <c r="O115" s="67" t="s">
        <v>168</v>
      </c>
      <c r="P115" s="66"/>
      <c r="Q115" s="66"/>
      <c r="R115" s="66"/>
      <c r="S115" s="66"/>
      <c r="T115" s="66"/>
      <c r="U115" s="66"/>
      <c r="V115" s="66"/>
      <c r="W115" s="66"/>
      <c r="X115" s="68">
        <f t="shared" si="3"/>
        <v>2026</v>
      </c>
      <c r="Y115" s="68">
        <f t="shared" si="4"/>
        <v>1</v>
      </c>
      <c r="Z115" s="68">
        <f t="shared" si="5"/>
        <v>26</v>
      </c>
    </row>
    <row r="116" ht="409.5" hidden="1" spans="1:26">
      <c r="A116" s="78" t="s">
        <v>538</v>
      </c>
      <c r="B116" s="77" t="s">
        <v>539</v>
      </c>
      <c r="C116" s="71">
        <v>46049</v>
      </c>
      <c r="D116" s="66" t="s">
        <v>5</v>
      </c>
      <c r="E116" s="74" t="s">
        <v>280</v>
      </c>
      <c r="F116" s="74" t="s">
        <v>540</v>
      </c>
      <c r="G116" s="74"/>
      <c r="H116" s="74" t="s">
        <v>44</v>
      </c>
      <c r="I116" s="66">
        <v>3227.6</v>
      </c>
      <c r="J116" s="66">
        <v>290.1</v>
      </c>
      <c r="K116" s="67" t="s">
        <v>541</v>
      </c>
      <c r="L116" s="67" t="s">
        <v>538</v>
      </c>
      <c r="M116" s="74" t="s">
        <v>14</v>
      </c>
      <c r="N116" s="74" t="s">
        <v>115</v>
      </c>
      <c r="O116" s="74" t="s">
        <v>284</v>
      </c>
      <c r="P116" s="66"/>
      <c r="Q116" s="66"/>
      <c r="R116" s="66"/>
      <c r="S116" s="66"/>
      <c r="T116" s="66"/>
      <c r="U116" s="66"/>
      <c r="V116" s="66"/>
      <c r="W116" s="66"/>
      <c r="X116" s="68">
        <f t="shared" si="3"/>
        <v>2026</v>
      </c>
      <c r="Y116" s="68">
        <f t="shared" si="4"/>
        <v>1</v>
      </c>
      <c r="Z116" s="68">
        <f t="shared" si="5"/>
        <v>27</v>
      </c>
    </row>
    <row r="117" ht="409.5" hidden="1" spans="1:26">
      <c r="A117" s="79" t="s">
        <v>542</v>
      </c>
      <c r="B117" s="80">
        <v>46025</v>
      </c>
      <c r="C117" s="80">
        <v>46049</v>
      </c>
      <c r="D117" s="79" t="s">
        <v>5</v>
      </c>
      <c r="E117" s="81" t="s">
        <v>543</v>
      </c>
      <c r="F117" s="82" t="s">
        <v>544</v>
      </c>
      <c r="G117" s="82"/>
      <c r="H117" s="82" t="s">
        <v>69</v>
      </c>
      <c r="I117" s="83">
        <v>58749.55</v>
      </c>
      <c r="J117" s="83">
        <v>4958.95</v>
      </c>
      <c r="K117" s="79" t="s">
        <v>545</v>
      </c>
      <c r="L117" s="79" t="s">
        <v>542</v>
      </c>
      <c r="M117" s="74" t="s">
        <v>10</v>
      </c>
      <c r="N117" s="74" t="s">
        <v>115</v>
      </c>
      <c r="O117" s="67" t="s">
        <v>546</v>
      </c>
      <c r="P117" s="66"/>
      <c r="Q117" s="66"/>
      <c r="R117" s="66"/>
      <c r="S117" s="66"/>
      <c r="T117" s="66"/>
      <c r="U117" s="66"/>
      <c r="V117" s="66"/>
      <c r="W117" s="66"/>
      <c r="X117" s="68">
        <f t="shared" si="3"/>
        <v>2026</v>
      </c>
      <c r="Y117" s="68">
        <f t="shared" si="4"/>
        <v>1</v>
      </c>
      <c r="Z117" s="68">
        <f t="shared" si="5"/>
        <v>27</v>
      </c>
    </row>
    <row r="118" ht="409.5" hidden="1" spans="1:26">
      <c r="A118" s="67" t="s">
        <v>547</v>
      </c>
      <c r="B118" s="71">
        <v>46030</v>
      </c>
      <c r="C118" s="77">
        <v>46049</v>
      </c>
      <c r="D118" s="67" t="s">
        <v>5</v>
      </c>
      <c r="E118" s="55" t="s">
        <v>548</v>
      </c>
      <c r="F118" s="74" t="s">
        <v>549</v>
      </c>
      <c r="G118" s="74"/>
      <c r="H118" s="74" t="s">
        <v>69</v>
      </c>
      <c r="I118" s="66">
        <v>387.2</v>
      </c>
      <c r="J118" s="66">
        <v>8873.9</v>
      </c>
      <c r="K118" s="67" t="s">
        <v>550</v>
      </c>
      <c r="L118" s="66" t="s">
        <v>547</v>
      </c>
      <c r="M118" s="74" t="s">
        <v>10</v>
      </c>
      <c r="N118" s="74" t="s">
        <v>115</v>
      </c>
      <c r="O118" s="67" t="s">
        <v>546</v>
      </c>
      <c r="P118" s="66"/>
      <c r="Q118" s="66"/>
      <c r="R118" s="66"/>
      <c r="S118" s="66"/>
      <c r="T118" s="66"/>
      <c r="U118" s="66"/>
      <c r="V118" s="66"/>
      <c r="W118" s="66"/>
      <c r="X118" s="68">
        <f t="shared" si="3"/>
        <v>2026</v>
      </c>
      <c r="Y118" s="68">
        <f t="shared" si="4"/>
        <v>1</v>
      </c>
      <c r="Z118" s="68">
        <f t="shared" si="5"/>
        <v>27</v>
      </c>
    </row>
    <row r="119" s="23" customFormat="1" ht="409.5" hidden="1" spans="1:26">
      <c r="A119" s="67" t="s">
        <v>551</v>
      </c>
      <c r="B119" s="71">
        <v>46042</v>
      </c>
      <c r="C119" s="77">
        <v>46049</v>
      </c>
      <c r="D119" s="67" t="s">
        <v>5</v>
      </c>
      <c r="E119" s="55" t="s">
        <v>552</v>
      </c>
      <c r="F119" s="84" t="s">
        <v>553</v>
      </c>
      <c r="G119" s="74"/>
      <c r="H119" s="74" t="s">
        <v>74</v>
      </c>
      <c r="I119" s="66">
        <v>998.98</v>
      </c>
      <c r="J119" s="66">
        <v>14984.7</v>
      </c>
      <c r="K119" s="66" t="s">
        <v>554</v>
      </c>
      <c r="L119" s="66" t="s">
        <v>551</v>
      </c>
      <c r="M119" s="74" t="s">
        <v>10</v>
      </c>
      <c r="N119" s="74" t="s">
        <v>115</v>
      </c>
      <c r="O119" s="67" t="s">
        <v>546</v>
      </c>
      <c r="P119" s="66"/>
      <c r="Q119" s="66"/>
      <c r="R119" s="66"/>
      <c r="S119" s="66"/>
      <c r="T119" s="66"/>
      <c r="U119" s="66"/>
      <c r="V119" s="66"/>
      <c r="W119" s="66"/>
      <c r="X119" s="85">
        <f t="shared" si="3"/>
        <v>2026</v>
      </c>
      <c r="Y119" s="85">
        <f t="shared" si="4"/>
        <v>1</v>
      </c>
      <c r="Z119" s="85">
        <f t="shared" si="5"/>
        <v>27</v>
      </c>
    </row>
    <row r="120" ht="318.75" hidden="1" spans="1:26">
      <c r="A120" s="30" t="s">
        <v>555</v>
      </c>
      <c r="B120" s="31">
        <v>46043</v>
      </c>
      <c r="C120" s="31">
        <v>46063</v>
      </c>
      <c r="D120" s="30" t="s">
        <v>5</v>
      </c>
      <c r="E120" s="32" t="s">
        <v>556</v>
      </c>
      <c r="F120" s="32" t="s">
        <v>557</v>
      </c>
      <c r="G120" s="32"/>
      <c r="H120" s="32" t="s">
        <v>34</v>
      </c>
      <c r="I120" s="30">
        <v>4993.45</v>
      </c>
      <c r="J120" s="30">
        <v>998.69</v>
      </c>
      <c r="K120" s="35" t="s">
        <v>554</v>
      </c>
      <c r="L120" s="30" t="s">
        <v>558</v>
      </c>
      <c r="M120" s="82" t="s">
        <v>10</v>
      </c>
      <c r="N120" s="82" t="s">
        <v>115</v>
      </c>
      <c r="O120" s="79" t="s">
        <v>546</v>
      </c>
      <c r="P120" s="83"/>
      <c r="Q120" s="83"/>
      <c r="R120" s="83"/>
      <c r="S120" s="83"/>
      <c r="T120" s="83"/>
      <c r="U120" s="83"/>
      <c r="V120" s="83"/>
      <c r="W120" s="83"/>
      <c r="X120" s="68">
        <f t="shared" si="3"/>
        <v>2026</v>
      </c>
      <c r="Y120" s="68">
        <f t="shared" si="4"/>
        <v>2</v>
      </c>
      <c r="Z120" s="68">
        <f t="shared" si="5"/>
        <v>10</v>
      </c>
    </row>
    <row r="121" ht="409.5" hidden="1" spans="1:26">
      <c r="A121" s="78" t="s">
        <v>559</v>
      </c>
      <c r="B121" s="77">
        <v>45970</v>
      </c>
      <c r="C121" s="71">
        <v>46050</v>
      </c>
      <c r="D121" s="67" t="s">
        <v>5</v>
      </c>
      <c r="E121" s="74" t="s">
        <v>560</v>
      </c>
      <c r="F121" s="74" t="s">
        <v>561</v>
      </c>
      <c r="G121" s="74"/>
      <c r="H121" s="74" t="s">
        <v>48</v>
      </c>
      <c r="I121" s="66">
        <v>5244</v>
      </c>
      <c r="J121" s="66">
        <v>137.97</v>
      </c>
      <c r="K121" s="67" t="s">
        <v>562</v>
      </c>
      <c r="L121" s="78" t="s">
        <v>559</v>
      </c>
      <c r="M121" s="74" t="s">
        <v>13</v>
      </c>
      <c r="N121" s="74" t="s">
        <v>115</v>
      </c>
      <c r="O121" s="67" t="s">
        <v>363</v>
      </c>
      <c r="P121" s="66"/>
      <c r="Q121" s="66"/>
      <c r="R121" s="66"/>
      <c r="S121" s="66"/>
      <c r="T121" s="66"/>
      <c r="U121" s="66"/>
      <c r="V121" s="66"/>
      <c r="W121" s="66"/>
      <c r="X121" s="68">
        <f t="shared" si="3"/>
        <v>2026</v>
      </c>
      <c r="Y121" s="68">
        <f t="shared" si="4"/>
        <v>1</v>
      </c>
      <c r="Z121" s="68">
        <f t="shared" si="5"/>
        <v>28</v>
      </c>
    </row>
    <row r="122" ht="291" hidden="1" spans="1:26">
      <c r="A122" s="78" t="s">
        <v>563</v>
      </c>
      <c r="B122" s="71">
        <v>46015</v>
      </c>
      <c r="C122" s="71">
        <v>46050</v>
      </c>
      <c r="D122" s="67" t="s">
        <v>5</v>
      </c>
      <c r="E122" s="74" t="s">
        <v>564</v>
      </c>
      <c r="F122" s="74" t="s">
        <v>565</v>
      </c>
      <c r="G122" s="74"/>
      <c r="H122" s="74" t="s">
        <v>59</v>
      </c>
      <c r="I122" s="66">
        <v>1506.6</v>
      </c>
      <c r="J122" s="66">
        <v>75.33</v>
      </c>
      <c r="K122" s="67" t="s">
        <v>566</v>
      </c>
      <c r="L122" s="67" t="s">
        <v>563</v>
      </c>
      <c r="M122" s="74" t="s">
        <v>13</v>
      </c>
      <c r="N122" s="74" t="s">
        <v>115</v>
      </c>
      <c r="O122" s="67" t="s">
        <v>363</v>
      </c>
      <c r="P122" s="66"/>
      <c r="Q122" s="66"/>
      <c r="R122" s="66"/>
      <c r="S122" s="66"/>
      <c r="T122" s="66"/>
      <c r="U122" s="66"/>
      <c r="V122" s="66"/>
      <c r="W122" s="66"/>
      <c r="X122" s="68">
        <f t="shared" si="3"/>
        <v>2026</v>
      </c>
      <c r="Y122" s="68">
        <f t="shared" si="4"/>
        <v>1</v>
      </c>
      <c r="Z122" s="68">
        <f t="shared" si="5"/>
        <v>28</v>
      </c>
    </row>
    <row r="123" ht="409.5" hidden="1" spans="1:26">
      <c r="A123" s="66" t="s">
        <v>567</v>
      </c>
      <c r="B123" s="71">
        <v>45988</v>
      </c>
      <c r="C123" s="71">
        <v>46050</v>
      </c>
      <c r="D123" s="67" t="s">
        <v>5</v>
      </c>
      <c r="E123" s="74" t="s">
        <v>568</v>
      </c>
      <c r="F123" s="74" t="s">
        <v>569</v>
      </c>
      <c r="G123" s="55"/>
      <c r="H123" s="26" t="s">
        <v>34</v>
      </c>
      <c r="I123" s="86">
        <v>14339.63</v>
      </c>
      <c r="J123" s="86">
        <v>991.72</v>
      </c>
      <c r="K123" s="66" t="s">
        <v>152</v>
      </c>
      <c r="L123" s="67" t="s">
        <v>567</v>
      </c>
      <c r="M123" s="74" t="s">
        <v>10</v>
      </c>
      <c r="N123" s="74" t="s">
        <v>115</v>
      </c>
      <c r="O123" s="67" t="s">
        <v>149</v>
      </c>
      <c r="P123" s="66"/>
      <c r="Q123" s="66"/>
      <c r="R123" s="66"/>
      <c r="S123" s="66"/>
      <c r="T123" s="66"/>
      <c r="U123" s="66"/>
      <c r="V123" s="66"/>
      <c r="W123" s="66"/>
      <c r="X123" s="68">
        <f t="shared" si="3"/>
        <v>2026</v>
      </c>
      <c r="Y123" s="68">
        <f t="shared" si="4"/>
        <v>1</v>
      </c>
      <c r="Z123" s="68">
        <f t="shared" si="5"/>
        <v>28</v>
      </c>
    </row>
    <row r="124" ht="221.65" hidden="1" spans="1:26">
      <c r="A124" s="67" t="s">
        <v>570</v>
      </c>
      <c r="B124" s="71">
        <v>46050</v>
      </c>
      <c r="C124" s="71">
        <v>46050</v>
      </c>
      <c r="D124" s="67" t="s">
        <v>5</v>
      </c>
      <c r="E124" s="32" t="s">
        <v>320</v>
      </c>
      <c r="F124" s="74" t="s">
        <v>571</v>
      </c>
      <c r="G124" s="55"/>
      <c r="H124" s="26" t="s">
        <v>34</v>
      </c>
      <c r="I124" s="66">
        <v>5985.6</v>
      </c>
      <c r="J124" s="66">
        <v>1197.12</v>
      </c>
      <c r="K124" s="67" t="s">
        <v>507</v>
      </c>
      <c r="L124" s="67" t="s">
        <v>570</v>
      </c>
      <c r="M124" s="74" t="s">
        <v>10</v>
      </c>
      <c r="N124" s="74" t="s">
        <v>115</v>
      </c>
      <c r="O124" s="67" t="s">
        <v>323</v>
      </c>
      <c r="P124" s="66"/>
      <c r="Q124" s="66"/>
      <c r="R124" s="66"/>
      <c r="S124" s="66"/>
      <c r="T124" s="66"/>
      <c r="U124" s="66"/>
      <c r="V124" s="66"/>
      <c r="W124" s="66"/>
      <c r="X124" s="68">
        <f t="shared" si="3"/>
        <v>2026</v>
      </c>
      <c r="Y124" s="68">
        <f t="shared" si="4"/>
        <v>1</v>
      </c>
      <c r="Z124" s="68">
        <f t="shared" si="5"/>
        <v>28</v>
      </c>
    </row>
    <row r="125" ht="249.4" hidden="1" spans="1:26">
      <c r="A125" s="67" t="s">
        <v>572</v>
      </c>
      <c r="B125" s="71">
        <v>46050</v>
      </c>
      <c r="C125" s="71">
        <v>46050</v>
      </c>
      <c r="D125" s="67" t="s">
        <v>5</v>
      </c>
      <c r="E125" s="32" t="s">
        <v>320</v>
      </c>
      <c r="F125" s="74" t="s">
        <v>573</v>
      </c>
      <c r="G125" s="55"/>
      <c r="H125" s="26" t="s">
        <v>34</v>
      </c>
      <c r="I125" s="66">
        <v>7535.4</v>
      </c>
      <c r="J125" s="66">
        <v>753.54</v>
      </c>
      <c r="K125" s="67" t="s">
        <v>507</v>
      </c>
      <c r="L125" s="67" t="s">
        <v>572</v>
      </c>
      <c r="M125" s="74" t="s">
        <v>10</v>
      </c>
      <c r="N125" s="74" t="s">
        <v>115</v>
      </c>
      <c r="O125" s="67" t="s">
        <v>323</v>
      </c>
      <c r="P125" s="66"/>
      <c r="Q125" s="66"/>
      <c r="R125" s="66"/>
      <c r="S125" s="66"/>
      <c r="T125" s="66"/>
      <c r="U125" s="66"/>
      <c r="V125" s="66"/>
      <c r="W125" s="66"/>
      <c r="X125" s="68">
        <f t="shared" si="3"/>
        <v>2026</v>
      </c>
      <c r="Y125" s="68">
        <f t="shared" si="4"/>
        <v>1</v>
      </c>
      <c r="Z125" s="68">
        <f t="shared" si="5"/>
        <v>28</v>
      </c>
    </row>
    <row r="126" ht="409.5" hidden="1" spans="1:26">
      <c r="A126" s="78" t="s">
        <v>574</v>
      </c>
      <c r="B126" s="71">
        <v>45908</v>
      </c>
      <c r="C126" s="71">
        <v>46052</v>
      </c>
      <c r="D126" s="66" t="s">
        <v>5</v>
      </c>
      <c r="E126" s="74" t="s">
        <v>575</v>
      </c>
      <c r="F126" s="74" t="s">
        <v>576</v>
      </c>
      <c r="G126" s="74"/>
      <c r="H126" s="74" t="s">
        <v>39</v>
      </c>
      <c r="I126" s="66">
        <v>247396.05</v>
      </c>
      <c r="J126" s="66">
        <v>10012.32</v>
      </c>
      <c r="K126" s="87" t="s">
        <v>577</v>
      </c>
      <c r="L126" s="74" t="s">
        <v>578</v>
      </c>
      <c r="M126" s="74" t="s">
        <v>10</v>
      </c>
      <c r="N126" s="74" t="s">
        <v>394</v>
      </c>
      <c r="O126" s="67" t="s">
        <v>159</v>
      </c>
      <c r="P126" s="35" t="s">
        <v>10</v>
      </c>
      <c r="Q126" s="35" t="s">
        <v>105</v>
      </c>
      <c r="R126" s="66"/>
      <c r="S126" s="66"/>
      <c r="T126" s="66"/>
      <c r="U126" s="66"/>
      <c r="V126" s="66"/>
      <c r="W126" s="66"/>
      <c r="X126" s="68">
        <f t="shared" si="3"/>
        <v>2026</v>
      </c>
      <c r="Y126" s="68">
        <f t="shared" si="4"/>
        <v>1</v>
      </c>
      <c r="Z126" s="68">
        <f t="shared" si="5"/>
        <v>30</v>
      </c>
    </row>
    <row r="127" ht="409.5" hidden="1" spans="1:26">
      <c r="A127" s="78" t="s">
        <v>579</v>
      </c>
      <c r="B127" s="77">
        <v>46048</v>
      </c>
      <c r="C127" s="71">
        <v>46056</v>
      </c>
      <c r="D127" s="66" t="s">
        <v>5</v>
      </c>
      <c r="E127" s="74" t="s">
        <v>580</v>
      </c>
      <c r="F127" s="74" t="s">
        <v>581</v>
      </c>
      <c r="G127" s="74"/>
      <c r="H127" s="74" t="s">
        <v>69</v>
      </c>
      <c r="I127" s="66">
        <v>71383.75</v>
      </c>
      <c r="J127" s="66">
        <v>1996.19</v>
      </c>
      <c r="K127" s="66" t="s">
        <v>554</v>
      </c>
      <c r="L127" s="66" t="s">
        <v>582</v>
      </c>
      <c r="M127" s="74" t="s">
        <v>10</v>
      </c>
      <c r="N127" s="74" t="s">
        <v>115</v>
      </c>
      <c r="O127" s="67" t="s">
        <v>159</v>
      </c>
      <c r="P127" s="35" t="s">
        <v>10</v>
      </c>
      <c r="Q127" s="35" t="s">
        <v>105</v>
      </c>
      <c r="R127" s="66"/>
      <c r="S127" s="66"/>
      <c r="T127" s="66"/>
      <c r="U127" s="66"/>
      <c r="V127" s="66"/>
      <c r="W127" s="66"/>
      <c r="X127" s="68">
        <f t="shared" si="3"/>
        <v>2026</v>
      </c>
      <c r="Y127" s="68">
        <f t="shared" si="4"/>
        <v>2</v>
      </c>
      <c r="Z127" s="68">
        <f t="shared" si="5"/>
        <v>3</v>
      </c>
    </row>
    <row r="128" ht="13.85" spans="1:26">
      <c r="A128" s="78" t="s">
        <v>583</v>
      </c>
      <c r="B128" s="71"/>
      <c r="C128" s="71"/>
      <c r="D128" s="66"/>
      <c r="E128" s="55"/>
      <c r="F128" s="55"/>
      <c r="G128" s="55"/>
      <c r="H128" s="55"/>
      <c r="I128" s="66"/>
      <c r="J128" s="66"/>
      <c r="K128" s="66"/>
      <c r="L128" s="66"/>
      <c r="M128" s="55"/>
      <c r="N128" s="55"/>
      <c r="O128" s="66"/>
      <c r="P128" s="66"/>
      <c r="Q128" s="66"/>
      <c r="R128" s="66"/>
      <c r="S128" s="66"/>
      <c r="T128" s="66"/>
      <c r="U128" s="66"/>
      <c r="V128" s="66"/>
      <c r="W128" s="66"/>
      <c r="X128" s="68">
        <f t="shared" si="3"/>
        <v>1900</v>
      </c>
      <c r="Y128" s="68">
        <f t="shared" si="4"/>
        <v>1</v>
      </c>
      <c r="Z128" s="68">
        <f t="shared" si="5"/>
        <v>0</v>
      </c>
    </row>
    <row r="129" ht="360.4" hidden="1" spans="1:26">
      <c r="A129" s="66" t="s">
        <v>584</v>
      </c>
      <c r="B129" s="71">
        <v>46052</v>
      </c>
      <c r="C129" s="71">
        <v>46052</v>
      </c>
      <c r="D129" s="66" t="s">
        <v>5</v>
      </c>
      <c r="E129" s="74" t="s">
        <v>564</v>
      </c>
      <c r="F129" s="74" t="s">
        <v>585</v>
      </c>
      <c r="G129" s="74"/>
      <c r="H129" s="74" t="s">
        <v>586</v>
      </c>
      <c r="I129" s="66">
        <v>2911.04</v>
      </c>
      <c r="J129" s="66">
        <v>5009.52</v>
      </c>
      <c r="K129" s="66" t="s">
        <v>587</v>
      </c>
      <c r="L129" s="66" t="s">
        <v>584</v>
      </c>
      <c r="M129" s="74" t="s">
        <v>13</v>
      </c>
      <c r="N129" s="74" t="s">
        <v>115</v>
      </c>
      <c r="O129" s="67" t="s">
        <v>260</v>
      </c>
      <c r="P129" s="66"/>
      <c r="Q129" s="66"/>
      <c r="R129" s="66"/>
      <c r="S129" s="66"/>
      <c r="T129" s="66"/>
      <c r="U129" s="66"/>
      <c r="V129" s="66"/>
      <c r="W129" s="66"/>
      <c r="X129" s="68">
        <f t="shared" si="3"/>
        <v>2026</v>
      </c>
      <c r="Y129" s="68">
        <f t="shared" si="4"/>
        <v>1</v>
      </c>
      <c r="Z129" s="68">
        <f t="shared" si="5"/>
        <v>30</v>
      </c>
    </row>
    <row r="130" ht="291" hidden="1" spans="1:26">
      <c r="A130" s="66" t="s">
        <v>588</v>
      </c>
      <c r="B130" s="71">
        <v>46052</v>
      </c>
      <c r="C130" s="71">
        <v>46052</v>
      </c>
      <c r="D130" s="66" t="s">
        <v>5</v>
      </c>
      <c r="E130" s="74" t="s">
        <v>589</v>
      </c>
      <c r="F130" s="74" t="s">
        <v>590</v>
      </c>
      <c r="G130" s="74"/>
      <c r="H130" s="74" t="s">
        <v>77</v>
      </c>
      <c r="I130" s="66">
        <v>34281.64</v>
      </c>
      <c r="J130" s="66">
        <v>2985.66</v>
      </c>
      <c r="K130" s="66" t="s">
        <v>587</v>
      </c>
      <c r="L130" s="66" t="s">
        <v>588</v>
      </c>
      <c r="M130" s="74" t="s">
        <v>13</v>
      </c>
      <c r="N130" s="74" t="s">
        <v>115</v>
      </c>
      <c r="O130" s="67" t="s">
        <v>260</v>
      </c>
      <c r="P130" s="66"/>
      <c r="Q130" s="66"/>
      <c r="R130" s="66"/>
      <c r="S130" s="66"/>
      <c r="T130" s="66"/>
      <c r="U130" s="66"/>
      <c r="V130" s="66"/>
      <c r="W130" s="66"/>
      <c r="X130" s="68">
        <f t="shared" ref="X130:X193" si="6">YEAR(C130)</f>
        <v>2026</v>
      </c>
      <c r="Y130" s="68">
        <f t="shared" ref="Y130:Y193" si="7">MONTH(C130)</f>
        <v>1</v>
      </c>
      <c r="Z130" s="68">
        <f t="shared" ref="Z130:Z193" si="8">DAY(C130)</f>
        <v>30</v>
      </c>
    </row>
    <row r="131" ht="409.5" hidden="1" spans="1:26">
      <c r="A131" s="78" t="s">
        <v>591</v>
      </c>
      <c r="B131" s="71">
        <v>46041</v>
      </c>
      <c r="C131" s="77">
        <v>46055</v>
      </c>
      <c r="D131" s="66" t="s">
        <v>5</v>
      </c>
      <c r="E131" s="74" t="s">
        <v>592</v>
      </c>
      <c r="F131" s="74" t="s">
        <v>593</v>
      </c>
      <c r="G131" s="74"/>
      <c r="H131" s="74" t="s">
        <v>78</v>
      </c>
      <c r="I131" s="66">
        <v>6371.22</v>
      </c>
      <c r="J131" s="66">
        <v>209.04</v>
      </c>
      <c r="K131" s="67" t="s">
        <v>594</v>
      </c>
      <c r="L131" s="67" t="s">
        <v>583</v>
      </c>
      <c r="M131" s="74" t="s">
        <v>13</v>
      </c>
      <c r="N131" s="74" t="s">
        <v>115</v>
      </c>
      <c r="O131" s="67" t="s">
        <v>293</v>
      </c>
      <c r="P131" s="66"/>
      <c r="Q131" s="66"/>
      <c r="R131" s="66"/>
      <c r="S131" s="66"/>
      <c r="T131" s="66"/>
      <c r="U131" s="66"/>
      <c r="V131" s="66"/>
      <c r="W131" s="66"/>
      <c r="X131" s="68">
        <f t="shared" si="6"/>
        <v>2026</v>
      </c>
      <c r="Y131" s="68">
        <f t="shared" si="7"/>
        <v>2</v>
      </c>
      <c r="Z131" s="68">
        <f t="shared" si="8"/>
        <v>2</v>
      </c>
    </row>
    <row r="132" ht="409.5" hidden="1" spans="1:26">
      <c r="A132" s="78" t="s">
        <v>595</v>
      </c>
      <c r="B132" s="71">
        <v>46035</v>
      </c>
      <c r="C132" s="71">
        <v>46055</v>
      </c>
      <c r="D132" s="66" t="s">
        <v>5</v>
      </c>
      <c r="E132" s="74" t="s">
        <v>596</v>
      </c>
      <c r="F132" s="74" t="s">
        <v>597</v>
      </c>
      <c r="G132" s="74"/>
      <c r="H132" s="74" t="s">
        <v>77</v>
      </c>
      <c r="I132" s="88">
        <v>2201.6</v>
      </c>
      <c r="J132" s="66">
        <v>110.08</v>
      </c>
      <c r="K132" s="67" t="s">
        <v>594</v>
      </c>
      <c r="L132" s="67" t="s">
        <v>595</v>
      </c>
      <c r="M132" s="74" t="s">
        <v>13</v>
      </c>
      <c r="N132" s="74" t="s">
        <v>115</v>
      </c>
      <c r="O132" s="67" t="s">
        <v>293</v>
      </c>
      <c r="P132" s="66"/>
      <c r="Q132" s="66"/>
      <c r="R132" s="66"/>
      <c r="S132" s="66"/>
      <c r="T132" s="66"/>
      <c r="U132" s="66"/>
      <c r="V132" s="66"/>
      <c r="W132" s="66"/>
      <c r="X132" s="68">
        <f t="shared" si="6"/>
        <v>2026</v>
      </c>
      <c r="Y132" s="68">
        <f t="shared" si="7"/>
        <v>2</v>
      </c>
      <c r="Z132" s="68">
        <f t="shared" si="8"/>
        <v>2</v>
      </c>
    </row>
    <row r="133" ht="360.4" hidden="1" spans="1:26">
      <c r="A133" s="78" t="s">
        <v>598</v>
      </c>
      <c r="B133" s="71">
        <v>46044</v>
      </c>
      <c r="C133" s="71">
        <v>46055</v>
      </c>
      <c r="D133" s="67" t="s">
        <v>5</v>
      </c>
      <c r="E133" s="89" t="s">
        <v>599</v>
      </c>
      <c r="F133" s="74" t="s">
        <v>600</v>
      </c>
      <c r="G133" s="74"/>
      <c r="H133" s="74" t="s">
        <v>63</v>
      </c>
      <c r="I133" s="66">
        <v>1102.8</v>
      </c>
      <c r="J133" s="66">
        <v>27.57</v>
      </c>
      <c r="K133" s="66"/>
      <c r="L133" s="67" t="s">
        <v>598</v>
      </c>
      <c r="M133" s="74" t="s">
        <v>10</v>
      </c>
      <c r="N133" s="74" t="s">
        <v>115</v>
      </c>
      <c r="O133" s="67" t="s">
        <v>229</v>
      </c>
      <c r="P133" s="66"/>
      <c r="Q133" s="66"/>
      <c r="R133" s="66"/>
      <c r="S133" s="66"/>
      <c r="T133" s="66"/>
      <c r="U133" s="66"/>
      <c r="V133" s="66"/>
      <c r="W133" s="66"/>
      <c r="X133" s="68">
        <f t="shared" si="6"/>
        <v>2026</v>
      </c>
      <c r="Y133" s="68">
        <f t="shared" si="7"/>
        <v>2</v>
      </c>
      <c r="Z133" s="68">
        <f t="shared" si="8"/>
        <v>2</v>
      </c>
    </row>
    <row r="134" ht="388.15" hidden="1" spans="1:26">
      <c r="A134" s="67" t="s">
        <v>601</v>
      </c>
      <c r="B134" s="71">
        <v>46038</v>
      </c>
      <c r="C134" s="71">
        <v>46055</v>
      </c>
      <c r="D134" s="67" t="s">
        <v>5</v>
      </c>
      <c r="E134" s="76" t="s">
        <v>602</v>
      </c>
      <c r="F134" s="74" t="s">
        <v>603</v>
      </c>
      <c r="G134" s="74"/>
      <c r="H134" s="74" t="s">
        <v>63</v>
      </c>
      <c r="I134" s="66">
        <v>2562</v>
      </c>
      <c r="J134" s="66">
        <v>224.78</v>
      </c>
      <c r="K134" s="67" t="s">
        <v>604</v>
      </c>
      <c r="L134" s="67" t="s">
        <v>601</v>
      </c>
      <c r="M134" s="74" t="s">
        <v>10</v>
      </c>
      <c r="N134" s="74" t="s">
        <v>115</v>
      </c>
      <c r="O134" s="67" t="s">
        <v>229</v>
      </c>
      <c r="P134" s="66"/>
      <c r="Q134" s="66"/>
      <c r="R134" s="66"/>
      <c r="S134" s="66"/>
      <c r="T134" s="66"/>
      <c r="U134" s="66"/>
      <c r="V134" s="66"/>
      <c r="W134" s="66"/>
      <c r="X134" s="68">
        <f t="shared" si="6"/>
        <v>2026</v>
      </c>
      <c r="Y134" s="68">
        <f t="shared" si="7"/>
        <v>2</v>
      </c>
      <c r="Z134" s="68">
        <f t="shared" si="8"/>
        <v>2</v>
      </c>
    </row>
    <row r="135" ht="277.15" hidden="1" spans="1:26">
      <c r="A135" s="66" t="s">
        <v>605</v>
      </c>
      <c r="B135" s="71">
        <v>46009</v>
      </c>
      <c r="C135" s="71">
        <v>46055</v>
      </c>
      <c r="D135" s="67" t="s">
        <v>5</v>
      </c>
      <c r="E135" s="76" t="s">
        <v>606</v>
      </c>
      <c r="F135" s="74" t="s">
        <v>607</v>
      </c>
      <c r="G135" s="74"/>
      <c r="H135" s="74" t="s">
        <v>63</v>
      </c>
      <c r="I135" s="66">
        <v>317.6</v>
      </c>
      <c r="J135" s="66">
        <v>31.76</v>
      </c>
      <c r="K135" s="67" t="s">
        <v>608</v>
      </c>
      <c r="L135" s="67" t="s">
        <v>605</v>
      </c>
      <c r="M135" s="74" t="s">
        <v>10</v>
      </c>
      <c r="N135" s="74" t="s">
        <v>115</v>
      </c>
      <c r="O135" s="67" t="s">
        <v>229</v>
      </c>
      <c r="P135" s="66"/>
      <c r="Q135" s="66"/>
      <c r="R135" s="66"/>
      <c r="S135" s="66"/>
      <c r="T135" s="66"/>
      <c r="U135" s="66"/>
      <c r="V135" s="66"/>
      <c r="W135" s="66"/>
      <c r="X135" s="68">
        <f t="shared" si="6"/>
        <v>2026</v>
      </c>
      <c r="Y135" s="68">
        <f t="shared" si="7"/>
        <v>2</v>
      </c>
      <c r="Z135" s="68">
        <f t="shared" si="8"/>
        <v>2</v>
      </c>
    </row>
    <row r="136" ht="277.15" hidden="1" spans="1:26">
      <c r="A136" s="67" t="s">
        <v>609</v>
      </c>
      <c r="B136" s="71">
        <v>46023</v>
      </c>
      <c r="C136" s="71">
        <v>46055</v>
      </c>
      <c r="D136" s="67" t="s">
        <v>5</v>
      </c>
      <c r="E136" s="76" t="s">
        <v>610</v>
      </c>
      <c r="F136" s="74" t="s">
        <v>611</v>
      </c>
      <c r="G136" s="74"/>
      <c r="H136" s="74" t="s">
        <v>63</v>
      </c>
      <c r="I136" s="66">
        <v>7789.77</v>
      </c>
      <c r="J136" s="66">
        <v>1498.032</v>
      </c>
      <c r="K136" s="67" t="s">
        <v>612</v>
      </c>
      <c r="L136" s="67" t="s">
        <v>609</v>
      </c>
      <c r="M136" s="74" t="s">
        <v>10</v>
      </c>
      <c r="N136" s="74" t="s">
        <v>115</v>
      </c>
      <c r="O136" s="67" t="s">
        <v>229</v>
      </c>
      <c r="P136" s="66"/>
      <c r="Q136" s="66"/>
      <c r="R136" s="66"/>
      <c r="S136" s="66"/>
      <c r="T136" s="66"/>
      <c r="U136" s="66"/>
      <c r="V136" s="66"/>
      <c r="W136" s="66"/>
      <c r="X136" s="68">
        <f t="shared" si="6"/>
        <v>2026</v>
      </c>
      <c r="Y136" s="68">
        <f t="shared" si="7"/>
        <v>2</v>
      </c>
      <c r="Z136" s="68">
        <f t="shared" si="8"/>
        <v>2</v>
      </c>
    </row>
    <row r="137" ht="346.5" hidden="1" spans="1:26">
      <c r="A137" s="66" t="s">
        <v>613</v>
      </c>
      <c r="B137" s="71">
        <v>46038</v>
      </c>
      <c r="C137" s="71">
        <v>46055</v>
      </c>
      <c r="D137" s="67" t="s">
        <v>5</v>
      </c>
      <c r="E137" s="74" t="s">
        <v>614</v>
      </c>
      <c r="F137" s="74" t="s">
        <v>615</v>
      </c>
      <c r="G137" s="74"/>
      <c r="H137" s="74" t="s">
        <v>40</v>
      </c>
      <c r="I137" s="66">
        <v>3219.75</v>
      </c>
      <c r="J137" s="66">
        <v>1.325</v>
      </c>
      <c r="K137" s="66"/>
      <c r="L137" s="67" t="s">
        <v>613</v>
      </c>
      <c r="M137" s="74" t="s">
        <v>10</v>
      </c>
      <c r="N137" s="74" t="s">
        <v>115</v>
      </c>
      <c r="O137" s="67" t="s">
        <v>229</v>
      </c>
      <c r="P137" s="66"/>
      <c r="Q137" s="66"/>
      <c r="R137" s="66"/>
      <c r="S137" s="66"/>
      <c r="T137" s="66"/>
      <c r="U137" s="66"/>
      <c r="V137" s="66"/>
      <c r="W137" s="66"/>
      <c r="X137" s="68">
        <f t="shared" si="6"/>
        <v>2026</v>
      </c>
      <c r="Y137" s="68">
        <f t="shared" si="7"/>
        <v>2</v>
      </c>
      <c r="Z137" s="68">
        <f t="shared" si="8"/>
        <v>2</v>
      </c>
    </row>
    <row r="138" ht="61.95" hidden="1" customHeight="1" spans="1:26">
      <c r="A138" s="67" t="s">
        <v>616</v>
      </c>
      <c r="B138" s="71">
        <v>46036</v>
      </c>
      <c r="C138" s="71">
        <v>46055</v>
      </c>
      <c r="D138" s="67" t="s">
        <v>5</v>
      </c>
      <c r="E138" s="90" t="s">
        <v>617</v>
      </c>
      <c r="F138" s="74" t="s">
        <v>618</v>
      </c>
      <c r="G138" s="74"/>
      <c r="H138" s="74" t="s">
        <v>63</v>
      </c>
      <c r="I138" s="66">
        <v>877.09</v>
      </c>
      <c r="J138" s="66">
        <v>0.35338</v>
      </c>
      <c r="K138" s="66"/>
      <c r="L138" s="66" t="s">
        <v>616</v>
      </c>
      <c r="M138" s="74" t="s">
        <v>10</v>
      </c>
      <c r="N138" s="74" t="s">
        <v>115</v>
      </c>
      <c r="O138" s="67" t="s">
        <v>229</v>
      </c>
      <c r="P138" s="66"/>
      <c r="Q138" s="66"/>
      <c r="R138" s="66"/>
      <c r="S138" s="66"/>
      <c r="T138" s="66"/>
      <c r="U138" s="66"/>
      <c r="V138" s="66"/>
      <c r="W138" s="66"/>
      <c r="X138" s="68">
        <f t="shared" si="6"/>
        <v>2026</v>
      </c>
      <c r="Y138" s="68">
        <f t="shared" si="7"/>
        <v>2</v>
      </c>
      <c r="Z138" s="68">
        <f t="shared" si="8"/>
        <v>2</v>
      </c>
    </row>
    <row r="139" ht="409.5" hidden="1" spans="1:26">
      <c r="A139" s="66" t="s">
        <v>619</v>
      </c>
      <c r="B139" s="77" t="s">
        <v>620</v>
      </c>
      <c r="C139" s="71">
        <v>46055</v>
      </c>
      <c r="D139" s="67" t="s">
        <v>5</v>
      </c>
      <c r="E139" s="76" t="s">
        <v>621</v>
      </c>
      <c r="F139" s="74" t="s">
        <v>622</v>
      </c>
      <c r="G139" s="74"/>
      <c r="H139" s="74" t="s">
        <v>63</v>
      </c>
      <c r="I139" s="66">
        <v>3707.84</v>
      </c>
      <c r="J139" s="66">
        <v>27.88166</v>
      </c>
      <c r="K139" s="66"/>
      <c r="L139" s="67" t="s">
        <v>619</v>
      </c>
      <c r="M139" s="74" t="s">
        <v>10</v>
      </c>
      <c r="N139" s="74" t="s">
        <v>115</v>
      </c>
      <c r="O139" s="67" t="s">
        <v>229</v>
      </c>
      <c r="P139" s="66"/>
      <c r="Q139" s="66"/>
      <c r="R139" s="66"/>
      <c r="S139" s="66"/>
      <c r="T139" s="66"/>
      <c r="U139" s="66"/>
      <c r="V139" s="66"/>
      <c r="W139" s="66"/>
      <c r="X139" s="68">
        <f t="shared" si="6"/>
        <v>2026</v>
      </c>
      <c r="Y139" s="68">
        <f t="shared" si="7"/>
        <v>2</v>
      </c>
      <c r="Z139" s="68">
        <f t="shared" si="8"/>
        <v>2</v>
      </c>
    </row>
    <row r="140" ht="402" hidden="1" spans="1:26">
      <c r="A140" s="67" t="s">
        <v>623</v>
      </c>
      <c r="B140" s="71">
        <v>46051</v>
      </c>
      <c r="C140" s="71">
        <v>46055</v>
      </c>
      <c r="D140" s="67" t="s">
        <v>5</v>
      </c>
      <c r="E140" s="74" t="s">
        <v>624</v>
      </c>
      <c r="F140" s="74" t="s">
        <v>625</v>
      </c>
      <c r="G140" s="74"/>
      <c r="H140" s="74" t="s">
        <v>67</v>
      </c>
      <c r="I140" s="66">
        <v>74940.81</v>
      </c>
      <c r="J140" s="66">
        <v>4996.054</v>
      </c>
      <c r="K140" s="67" t="s">
        <v>604</v>
      </c>
      <c r="L140" s="91" t="s">
        <v>626</v>
      </c>
      <c r="M140" s="74" t="s">
        <v>12</v>
      </c>
      <c r="N140" s="74" t="s">
        <v>115</v>
      </c>
      <c r="O140" s="67" t="s">
        <v>168</v>
      </c>
      <c r="P140" s="66"/>
      <c r="Q140" s="66"/>
      <c r="R140" s="66"/>
      <c r="S140" s="66"/>
      <c r="T140" s="66"/>
      <c r="U140" s="66"/>
      <c r="V140" s="66"/>
      <c r="W140" s="66"/>
      <c r="X140" s="68">
        <f t="shared" si="6"/>
        <v>2026</v>
      </c>
      <c r="Y140" s="68">
        <f t="shared" si="7"/>
        <v>2</v>
      </c>
      <c r="Z140" s="68">
        <f t="shared" si="8"/>
        <v>2</v>
      </c>
    </row>
    <row r="141" ht="409.5" hidden="1" spans="1:26">
      <c r="A141" s="66"/>
      <c r="B141" s="77">
        <v>46048</v>
      </c>
      <c r="C141" s="71">
        <v>46055</v>
      </c>
      <c r="D141" s="67" t="s">
        <v>5</v>
      </c>
      <c r="E141" s="76" t="s">
        <v>627</v>
      </c>
      <c r="F141" s="74" t="s">
        <v>628</v>
      </c>
      <c r="G141" s="74"/>
      <c r="H141" s="74" t="s">
        <v>63</v>
      </c>
      <c r="I141" s="66">
        <v>1886.3</v>
      </c>
      <c r="J141" s="66">
        <v>377.26</v>
      </c>
      <c r="K141" s="67" t="s">
        <v>629</v>
      </c>
      <c r="L141" s="92" t="s">
        <v>630</v>
      </c>
      <c r="M141" s="74" t="s">
        <v>12</v>
      </c>
      <c r="N141" s="74" t="s">
        <v>115</v>
      </c>
      <c r="O141" s="35" t="s">
        <v>234</v>
      </c>
      <c r="P141" s="66"/>
      <c r="Q141" s="66"/>
      <c r="R141" s="66"/>
      <c r="S141" s="66"/>
      <c r="T141" s="66"/>
      <c r="U141" s="66"/>
      <c r="V141" s="66"/>
      <c r="W141" s="66"/>
      <c r="X141" s="68">
        <f t="shared" si="6"/>
        <v>2026</v>
      </c>
      <c r="Y141" s="68">
        <f t="shared" si="7"/>
        <v>2</v>
      </c>
      <c r="Z141" s="68">
        <f t="shared" si="8"/>
        <v>2</v>
      </c>
    </row>
    <row r="142" ht="409.5" hidden="1" spans="1:26">
      <c r="A142" s="66" t="s">
        <v>631</v>
      </c>
      <c r="B142" s="71">
        <v>46006</v>
      </c>
      <c r="C142" s="71">
        <v>46056</v>
      </c>
      <c r="D142" s="66" t="s">
        <v>5</v>
      </c>
      <c r="E142" s="74" t="s">
        <v>632</v>
      </c>
      <c r="F142" s="74" t="s">
        <v>633</v>
      </c>
      <c r="G142" s="74"/>
      <c r="H142" s="74" t="s">
        <v>69</v>
      </c>
      <c r="I142" s="66">
        <v>24665.42</v>
      </c>
      <c r="J142" s="66">
        <v>10.487</v>
      </c>
      <c r="K142" s="67" t="s">
        <v>434</v>
      </c>
      <c r="L142" s="66" t="s">
        <v>631</v>
      </c>
      <c r="M142" s="74" t="s">
        <v>10</v>
      </c>
      <c r="N142" s="74" t="s">
        <v>115</v>
      </c>
      <c r="O142" s="67" t="s">
        <v>159</v>
      </c>
      <c r="P142" s="35" t="s">
        <v>10</v>
      </c>
      <c r="Q142" s="35" t="s">
        <v>105</v>
      </c>
      <c r="R142" s="66"/>
      <c r="S142" s="66"/>
      <c r="T142" s="66"/>
      <c r="U142" s="66"/>
      <c r="V142" s="66"/>
      <c r="W142" s="66"/>
      <c r="X142" s="68">
        <f t="shared" si="6"/>
        <v>2026</v>
      </c>
      <c r="Y142" s="68">
        <f t="shared" si="7"/>
        <v>2</v>
      </c>
      <c r="Z142" s="68">
        <f t="shared" si="8"/>
        <v>3</v>
      </c>
    </row>
    <row r="143" ht="409.5" hidden="1" spans="1:26">
      <c r="A143" s="66" t="s">
        <v>634</v>
      </c>
      <c r="B143" s="71">
        <v>46006</v>
      </c>
      <c r="C143" s="71">
        <v>46056</v>
      </c>
      <c r="D143" s="66" t="s">
        <v>5</v>
      </c>
      <c r="E143" s="74" t="s">
        <v>635</v>
      </c>
      <c r="F143" s="74" t="s">
        <v>636</v>
      </c>
      <c r="G143" s="74"/>
      <c r="H143" s="74" t="s">
        <v>69</v>
      </c>
      <c r="I143" s="66">
        <v>50457.42</v>
      </c>
      <c r="J143" s="66">
        <v>21.563</v>
      </c>
      <c r="K143" s="67" t="s">
        <v>434</v>
      </c>
      <c r="L143" s="66" t="s">
        <v>634</v>
      </c>
      <c r="M143" s="74" t="s">
        <v>10</v>
      </c>
      <c r="N143" s="74" t="s">
        <v>115</v>
      </c>
      <c r="O143" s="67" t="s">
        <v>159</v>
      </c>
      <c r="P143" s="35" t="s">
        <v>10</v>
      </c>
      <c r="Q143" s="35" t="s">
        <v>105</v>
      </c>
      <c r="R143" s="66"/>
      <c r="S143" s="66"/>
      <c r="T143" s="66"/>
      <c r="U143" s="66"/>
      <c r="V143" s="66"/>
      <c r="W143" s="66"/>
      <c r="X143" s="68">
        <f t="shared" si="6"/>
        <v>2026</v>
      </c>
      <c r="Y143" s="68">
        <f t="shared" si="7"/>
        <v>2</v>
      </c>
      <c r="Z143" s="68">
        <f t="shared" si="8"/>
        <v>3</v>
      </c>
    </row>
    <row r="144" ht="409.5" hidden="1" spans="1:26">
      <c r="A144" s="78" t="s">
        <v>637</v>
      </c>
      <c r="B144" s="71">
        <v>46039</v>
      </c>
      <c r="C144" s="71">
        <v>46056</v>
      </c>
      <c r="D144" s="66" t="s">
        <v>5</v>
      </c>
      <c r="E144" s="74" t="s">
        <v>290</v>
      </c>
      <c r="F144" s="74" t="s">
        <v>638</v>
      </c>
      <c r="G144" s="74"/>
      <c r="H144" s="74" t="s">
        <v>69</v>
      </c>
      <c r="I144" s="66">
        <v>24282.25</v>
      </c>
      <c r="J144" s="66">
        <v>1453.96</v>
      </c>
      <c r="K144" s="67" t="s">
        <v>639</v>
      </c>
      <c r="L144" s="67" t="s">
        <v>637</v>
      </c>
      <c r="M144" s="74" t="s">
        <v>13</v>
      </c>
      <c r="N144" s="74" t="s">
        <v>115</v>
      </c>
      <c r="O144" s="66"/>
      <c r="P144" s="66"/>
      <c r="Q144" s="66"/>
      <c r="R144" s="66"/>
      <c r="S144" s="66"/>
      <c r="T144" s="66"/>
      <c r="U144" s="66"/>
      <c r="V144" s="66"/>
      <c r="W144" s="66"/>
      <c r="X144" s="68">
        <f t="shared" si="6"/>
        <v>2026</v>
      </c>
      <c r="Y144" s="68">
        <f t="shared" si="7"/>
        <v>2</v>
      </c>
      <c r="Z144" s="68">
        <f t="shared" si="8"/>
        <v>3</v>
      </c>
    </row>
    <row r="145" ht="304.9" hidden="1" spans="1:26">
      <c r="A145" s="78" t="s">
        <v>640</v>
      </c>
      <c r="B145" s="71">
        <v>46042</v>
      </c>
      <c r="C145" s="71">
        <v>46055</v>
      </c>
      <c r="D145" s="66" t="s">
        <v>5</v>
      </c>
      <c r="E145" s="74" t="s">
        <v>290</v>
      </c>
      <c r="F145" s="74" t="s">
        <v>641</v>
      </c>
      <c r="G145" s="74"/>
      <c r="H145" s="74" t="s">
        <v>69</v>
      </c>
      <c r="I145" s="66">
        <v>4432.47</v>
      </c>
      <c r="J145" s="66">
        <v>1491.92</v>
      </c>
      <c r="K145" s="67" t="s">
        <v>642</v>
      </c>
      <c r="L145" s="67" t="s">
        <v>640</v>
      </c>
      <c r="M145" s="74" t="s">
        <v>13</v>
      </c>
      <c r="N145" s="74" t="s">
        <v>115</v>
      </c>
      <c r="O145" s="67" t="s">
        <v>260</v>
      </c>
      <c r="P145" s="66"/>
      <c r="Q145" s="66"/>
      <c r="R145" s="66"/>
      <c r="S145" s="66"/>
      <c r="T145" s="66"/>
      <c r="U145" s="66"/>
      <c r="V145" s="66"/>
      <c r="W145" s="66"/>
      <c r="X145" s="68">
        <f t="shared" si="6"/>
        <v>2026</v>
      </c>
      <c r="Y145" s="68">
        <f t="shared" si="7"/>
        <v>2</v>
      </c>
      <c r="Z145" s="68">
        <f t="shared" si="8"/>
        <v>2</v>
      </c>
    </row>
    <row r="146" s="23" customFormat="1" ht="409.5" hidden="1" spans="1:26">
      <c r="A146" s="78" t="s">
        <v>643</v>
      </c>
      <c r="B146" s="77">
        <v>46016</v>
      </c>
      <c r="C146" s="77">
        <v>46055</v>
      </c>
      <c r="D146" s="66" t="s">
        <v>5</v>
      </c>
      <c r="E146" s="74" t="s">
        <v>644</v>
      </c>
      <c r="F146" s="74" t="s">
        <v>645</v>
      </c>
      <c r="G146" s="74"/>
      <c r="H146" s="74" t="s">
        <v>62</v>
      </c>
      <c r="I146" s="66">
        <v>139419.11</v>
      </c>
      <c r="J146" s="66">
        <v>19541.03</v>
      </c>
      <c r="K146" s="67" t="s">
        <v>646</v>
      </c>
      <c r="L146" s="67" t="s">
        <v>647</v>
      </c>
      <c r="M146" s="74" t="s">
        <v>13</v>
      </c>
      <c r="N146" s="74" t="s">
        <v>115</v>
      </c>
      <c r="O146" s="67" t="s">
        <v>260</v>
      </c>
      <c r="P146" s="66"/>
      <c r="Q146" s="66"/>
      <c r="R146" s="66"/>
      <c r="S146" s="66"/>
      <c r="T146" s="66"/>
      <c r="U146" s="66"/>
      <c r="V146" s="66"/>
      <c r="W146" s="66"/>
      <c r="X146" s="85">
        <f t="shared" si="6"/>
        <v>2026</v>
      </c>
      <c r="Y146" s="85">
        <f t="shared" si="7"/>
        <v>2</v>
      </c>
      <c r="Z146" s="85">
        <f t="shared" si="8"/>
        <v>2</v>
      </c>
    </row>
    <row r="147" s="23" customFormat="1" ht="409.5" hidden="1" spans="1:26">
      <c r="A147" s="66" t="s">
        <v>648</v>
      </c>
      <c r="B147" s="71">
        <v>46038</v>
      </c>
      <c r="C147" s="71">
        <v>46058</v>
      </c>
      <c r="D147" s="66" t="s">
        <v>5</v>
      </c>
      <c r="E147" s="55" t="s">
        <v>649</v>
      </c>
      <c r="F147" s="74" t="s">
        <v>650</v>
      </c>
      <c r="G147" s="74"/>
      <c r="H147" s="74" t="s">
        <v>69</v>
      </c>
      <c r="I147" s="56">
        <v>955.85</v>
      </c>
      <c r="J147" s="66">
        <v>54.84</v>
      </c>
      <c r="K147" s="78"/>
      <c r="L147" s="66" t="s">
        <v>648</v>
      </c>
      <c r="M147" s="74" t="s">
        <v>10</v>
      </c>
      <c r="N147" s="74" t="s">
        <v>115</v>
      </c>
      <c r="O147" s="67" t="s">
        <v>159</v>
      </c>
      <c r="P147" s="35" t="s">
        <v>10</v>
      </c>
      <c r="Q147" s="35" t="s">
        <v>105</v>
      </c>
      <c r="R147" s="66"/>
      <c r="S147" s="66"/>
      <c r="T147" s="66"/>
      <c r="U147" s="66"/>
      <c r="V147" s="66"/>
      <c r="W147" s="66"/>
      <c r="X147" s="85">
        <f t="shared" si="6"/>
        <v>2026</v>
      </c>
      <c r="Y147" s="85">
        <f t="shared" si="7"/>
        <v>2</v>
      </c>
      <c r="Z147" s="85">
        <f t="shared" si="8"/>
        <v>5</v>
      </c>
    </row>
    <row r="148" s="23" customFormat="1" ht="409.5" hidden="1" spans="1:26">
      <c r="A148" s="83" t="s">
        <v>651</v>
      </c>
      <c r="B148" s="93">
        <v>46047</v>
      </c>
      <c r="C148" s="93">
        <v>46058</v>
      </c>
      <c r="D148" s="83" t="s">
        <v>5</v>
      </c>
      <c r="E148" s="81" t="s">
        <v>652</v>
      </c>
      <c r="F148" s="82" t="s">
        <v>653</v>
      </c>
      <c r="G148" s="82"/>
      <c r="H148" s="82" t="s">
        <v>69</v>
      </c>
      <c r="I148" s="83">
        <v>1342.15</v>
      </c>
      <c r="J148" s="83">
        <v>64.78</v>
      </c>
      <c r="K148" s="79"/>
      <c r="L148" s="83" t="s">
        <v>651</v>
      </c>
      <c r="M148" s="82" t="s">
        <v>10</v>
      </c>
      <c r="N148" s="82" t="s">
        <v>115</v>
      </c>
      <c r="O148" s="79" t="s">
        <v>159</v>
      </c>
      <c r="P148" s="35" t="s">
        <v>10</v>
      </c>
      <c r="Q148" s="35" t="s">
        <v>105</v>
      </c>
      <c r="R148" s="83"/>
      <c r="S148" s="83"/>
      <c r="T148" s="83"/>
      <c r="U148" s="83"/>
      <c r="V148" s="83"/>
      <c r="W148" s="83"/>
      <c r="X148" s="85">
        <f t="shared" si="6"/>
        <v>2026</v>
      </c>
      <c r="Y148" s="85">
        <f t="shared" si="7"/>
        <v>2</v>
      </c>
      <c r="Z148" s="85">
        <f t="shared" si="8"/>
        <v>5</v>
      </c>
    </row>
    <row r="149" s="23" customFormat="1" ht="13.85" spans="1:26">
      <c r="A149" s="83"/>
      <c r="B149" s="93"/>
      <c r="C149" s="93"/>
      <c r="D149" s="83"/>
      <c r="E149" s="81"/>
      <c r="F149" s="82"/>
      <c r="G149" s="82"/>
      <c r="H149" s="82"/>
      <c r="I149" s="83"/>
      <c r="J149" s="83"/>
      <c r="K149" s="79"/>
      <c r="L149" s="83"/>
      <c r="M149" s="82"/>
      <c r="N149" s="82"/>
      <c r="O149" s="79"/>
      <c r="P149" s="83"/>
      <c r="Q149" s="83"/>
      <c r="R149" s="83"/>
      <c r="S149" s="83"/>
      <c r="T149" s="83"/>
      <c r="U149" s="83"/>
      <c r="V149" s="83"/>
      <c r="W149" s="83"/>
      <c r="X149" s="85">
        <f t="shared" si="6"/>
        <v>1900</v>
      </c>
      <c r="Y149" s="85">
        <f t="shared" si="7"/>
        <v>1</v>
      </c>
      <c r="Z149" s="85">
        <f t="shared" si="8"/>
        <v>0</v>
      </c>
    </row>
    <row r="150" s="23" customFormat="1" ht="318.75" hidden="1" spans="1:26">
      <c r="A150" s="83" t="s">
        <v>654</v>
      </c>
      <c r="B150" s="93">
        <v>46057</v>
      </c>
      <c r="C150" s="93">
        <v>46059</v>
      </c>
      <c r="D150" s="83" t="s">
        <v>5</v>
      </c>
      <c r="E150" s="81" t="s">
        <v>655</v>
      </c>
      <c r="F150" s="82" t="s">
        <v>656</v>
      </c>
      <c r="G150" s="82"/>
      <c r="H150" s="82" t="s">
        <v>34</v>
      </c>
      <c r="I150" s="83">
        <v>1991.6</v>
      </c>
      <c r="J150" s="83">
        <v>199.16</v>
      </c>
      <c r="K150" s="79" t="s">
        <v>657</v>
      </c>
      <c r="L150" s="83" t="s">
        <v>654</v>
      </c>
      <c r="M150" s="82" t="s">
        <v>12</v>
      </c>
      <c r="N150" s="82" t="s">
        <v>115</v>
      </c>
      <c r="O150" s="79" t="s">
        <v>482</v>
      </c>
      <c r="P150" s="83"/>
      <c r="Q150" s="83"/>
      <c r="R150" s="83"/>
      <c r="S150" s="83"/>
      <c r="T150" s="83"/>
      <c r="U150" s="83"/>
      <c r="V150" s="83"/>
      <c r="W150" s="83"/>
      <c r="X150" s="85">
        <f t="shared" si="6"/>
        <v>2026</v>
      </c>
      <c r="Y150" s="85">
        <f t="shared" si="7"/>
        <v>2</v>
      </c>
      <c r="Z150" s="85">
        <f t="shared" si="8"/>
        <v>6</v>
      </c>
    </row>
    <row r="151" s="23" customFormat="1" ht="318.75" hidden="1" spans="1:26">
      <c r="A151" s="83" t="s">
        <v>658</v>
      </c>
      <c r="B151" s="93">
        <v>46056</v>
      </c>
      <c r="C151" s="93">
        <v>46059</v>
      </c>
      <c r="D151" s="83" t="s">
        <v>5</v>
      </c>
      <c r="E151" s="81" t="s">
        <v>659</v>
      </c>
      <c r="F151" s="82" t="s">
        <v>660</v>
      </c>
      <c r="G151" s="82"/>
      <c r="H151" s="82" t="s">
        <v>34</v>
      </c>
      <c r="I151" s="83">
        <v>7045.4</v>
      </c>
      <c r="J151" s="83">
        <v>704.54</v>
      </c>
      <c r="K151" s="79" t="s">
        <v>489</v>
      </c>
      <c r="L151" s="83" t="s">
        <v>658</v>
      </c>
      <c r="M151" s="82" t="s">
        <v>12</v>
      </c>
      <c r="N151" s="82" t="s">
        <v>115</v>
      </c>
      <c r="O151" s="79" t="s">
        <v>482</v>
      </c>
      <c r="P151" s="83"/>
      <c r="Q151" s="83"/>
      <c r="R151" s="83"/>
      <c r="S151" s="83"/>
      <c r="T151" s="83"/>
      <c r="U151" s="83"/>
      <c r="V151" s="83"/>
      <c r="W151" s="83"/>
      <c r="X151" s="85">
        <f t="shared" si="6"/>
        <v>2026</v>
      </c>
      <c r="Y151" s="85">
        <f t="shared" si="7"/>
        <v>2</v>
      </c>
      <c r="Z151" s="85">
        <f t="shared" si="8"/>
        <v>6</v>
      </c>
    </row>
    <row r="152" s="23" customFormat="1" ht="346.5" hidden="1" spans="1:26">
      <c r="A152" s="83" t="s">
        <v>661</v>
      </c>
      <c r="B152" s="93">
        <v>46049</v>
      </c>
      <c r="C152" s="93">
        <v>46059</v>
      </c>
      <c r="D152" s="83" t="s">
        <v>5</v>
      </c>
      <c r="E152" s="81" t="s">
        <v>662</v>
      </c>
      <c r="F152" s="82" t="s">
        <v>663</v>
      </c>
      <c r="G152" s="82"/>
      <c r="H152" s="82" t="s">
        <v>34</v>
      </c>
      <c r="I152" s="83">
        <v>22498.2</v>
      </c>
      <c r="J152" s="83">
        <v>1499.88</v>
      </c>
      <c r="K152" s="79" t="s">
        <v>507</v>
      </c>
      <c r="L152" s="83" t="s">
        <v>661</v>
      </c>
      <c r="M152" s="82" t="s">
        <v>10</v>
      </c>
      <c r="N152" s="82" t="s">
        <v>115</v>
      </c>
      <c r="O152" s="79" t="s">
        <v>318</v>
      </c>
      <c r="P152" s="83"/>
      <c r="Q152" s="83"/>
      <c r="R152" s="83"/>
      <c r="S152" s="83"/>
      <c r="T152" s="83"/>
      <c r="U152" s="83"/>
      <c r="V152" s="83"/>
      <c r="W152" s="83"/>
      <c r="X152" s="85">
        <f t="shared" si="6"/>
        <v>2026</v>
      </c>
      <c r="Y152" s="85">
        <f t="shared" si="7"/>
        <v>2</v>
      </c>
      <c r="Z152" s="85">
        <f t="shared" si="8"/>
        <v>6</v>
      </c>
    </row>
    <row r="153" s="23" customFormat="1" ht="346.5" hidden="1" spans="1:26">
      <c r="A153" s="83" t="s">
        <v>664</v>
      </c>
      <c r="B153" s="93">
        <v>46051</v>
      </c>
      <c r="C153" s="93">
        <v>46059</v>
      </c>
      <c r="D153" s="83" t="s">
        <v>5</v>
      </c>
      <c r="E153" s="81" t="s">
        <v>665</v>
      </c>
      <c r="F153" s="82" t="s">
        <v>666</v>
      </c>
      <c r="G153" s="82"/>
      <c r="H153" s="82" t="s">
        <v>34</v>
      </c>
      <c r="I153" s="83">
        <v>37424.25</v>
      </c>
      <c r="J153" s="83">
        <v>1496.97</v>
      </c>
      <c r="K153" s="79" t="s">
        <v>554</v>
      </c>
      <c r="L153" s="83" t="s">
        <v>664</v>
      </c>
      <c r="M153" s="82" t="s">
        <v>10</v>
      </c>
      <c r="N153" s="82" t="s">
        <v>115</v>
      </c>
      <c r="O153" s="79" t="s">
        <v>318</v>
      </c>
      <c r="P153" s="83"/>
      <c r="Q153" s="83"/>
      <c r="R153" s="83"/>
      <c r="S153" s="83"/>
      <c r="T153" s="83"/>
      <c r="U153" s="83"/>
      <c r="V153" s="83"/>
      <c r="W153" s="83"/>
      <c r="X153" s="85">
        <f t="shared" si="6"/>
        <v>2026</v>
      </c>
      <c r="Y153" s="85">
        <f t="shared" si="7"/>
        <v>2</v>
      </c>
      <c r="Z153" s="85">
        <f t="shared" si="8"/>
        <v>6</v>
      </c>
    </row>
    <row r="154" s="23" customFormat="1" ht="409.5" hidden="1" spans="1:26">
      <c r="A154" s="83" t="s">
        <v>667</v>
      </c>
      <c r="B154" s="93">
        <v>46030</v>
      </c>
      <c r="C154" s="93">
        <v>46062</v>
      </c>
      <c r="D154" s="83" t="s">
        <v>5</v>
      </c>
      <c r="E154" s="82" t="s">
        <v>668</v>
      </c>
      <c r="F154" s="82" t="s">
        <v>669</v>
      </c>
      <c r="G154" s="82"/>
      <c r="H154" s="82" t="s">
        <v>35</v>
      </c>
      <c r="I154" s="83">
        <v>42834.1</v>
      </c>
      <c r="J154" s="94">
        <v>1951.44</v>
      </c>
      <c r="K154" s="79" t="s">
        <v>517</v>
      </c>
      <c r="L154" s="83" t="s">
        <v>667</v>
      </c>
      <c r="M154" s="82" t="s">
        <v>10</v>
      </c>
      <c r="N154" s="82" t="s">
        <v>115</v>
      </c>
      <c r="O154" s="79" t="s">
        <v>149</v>
      </c>
      <c r="P154" s="83"/>
      <c r="Q154" s="83"/>
      <c r="R154" s="83"/>
      <c r="S154" s="83"/>
      <c r="T154" s="83"/>
      <c r="U154" s="83"/>
      <c r="V154" s="83"/>
      <c r="W154" s="83"/>
      <c r="X154" s="85">
        <f t="shared" si="6"/>
        <v>2026</v>
      </c>
      <c r="Y154" s="85">
        <f t="shared" si="7"/>
        <v>2</v>
      </c>
      <c r="Z154" s="85">
        <f t="shared" si="8"/>
        <v>9</v>
      </c>
    </row>
    <row r="155" s="23" customFormat="1" ht="318.75" hidden="1" spans="1:26">
      <c r="A155" s="79" t="s">
        <v>670</v>
      </c>
      <c r="B155" s="93">
        <v>46062</v>
      </c>
      <c r="C155" s="93">
        <v>46062</v>
      </c>
      <c r="D155" s="83" t="s">
        <v>5</v>
      </c>
      <c r="E155" s="82" t="s">
        <v>671</v>
      </c>
      <c r="F155" s="82" t="s">
        <v>672</v>
      </c>
      <c r="G155" s="82"/>
      <c r="H155" s="82" t="s">
        <v>77</v>
      </c>
      <c r="I155" s="83">
        <v>28148.55</v>
      </c>
      <c r="J155" s="83">
        <v>2999.56</v>
      </c>
      <c r="K155" s="79" t="s">
        <v>673</v>
      </c>
      <c r="L155" s="79" t="s">
        <v>670</v>
      </c>
      <c r="M155" s="82" t="s">
        <v>13</v>
      </c>
      <c r="N155" s="82" t="s">
        <v>115</v>
      </c>
      <c r="O155" s="79" t="s">
        <v>260</v>
      </c>
      <c r="P155" s="83"/>
      <c r="Q155" s="83"/>
      <c r="R155" s="83"/>
      <c r="S155" s="83"/>
      <c r="T155" s="83"/>
      <c r="U155" s="83"/>
      <c r="V155" s="83"/>
      <c r="W155" s="83"/>
      <c r="X155" s="85">
        <f t="shared" si="6"/>
        <v>2026</v>
      </c>
      <c r="Y155" s="85">
        <f t="shared" si="7"/>
        <v>2</v>
      </c>
      <c r="Z155" s="85">
        <f t="shared" si="8"/>
        <v>9</v>
      </c>
    </row>
    <row r="156" s="23" customFormat="1" ht="318.75" hidden="1" spans="1:26">
      <c r="A156" s="79" t="s">
        <v>674</v>
      </c>
      <c r="B156" s="93">
        <v>46062</v>
      </c>
      <c r="C156" s="93">
        <v>46062</v>
      </c>
      <c r="D156" s="83" t="s">
        <v>5</v>
      </c>
      <c r="E156" s="82" t="s">
        <v>290</v>
      </c>
      <c r="F156" s="82" t="s">
        <v>675</v>
      </c>
      <c r="G156" s="82"/>
      <c r="H156" s="82" t="s">
        <v>77</v>
      </c>
      <c r="I156" s="83">
        <v>7028.2</v>
      </c>
      <c r="J156" s="83">
        <v>2000.08</v>
      </c>
      <c r="K156" s="79" t="s">
        <v>676</v>
      </c>
      <c r="L156" s="79" t="s">
        <v>674</v>
      </c>
      <c r="M156" s="82" t="s">
        <v>13</v>
      </c>
      <c r="N156" s="82" t="s">
        <v>115</v>
      </c>
      <c r="O156" s="79" t="s">
        <v>260</v>
      </c>
      <c r="P156" s="83"/>
      <c r="Q156" s="83"/>
      <c r="R156" s="83"/>
      <c r="S156" s="83"/>
      <c r="T156" s="83"/>
      <c r="U156" s="83"/>
      <c r="V156" s="83"/>
      <c r="W156" s="83"/>
      <c r="X156" s="85">
        <f t="shared" si="6"/>
        <v>2026</v>
      </c>
      <c r="Y156" s="85">
        <f t="shared" si="7"/>
        <v>2</v>
      </c>
      <c r="Z156" s="85">
        <f t="shared" si="8"/>
        <v>9</v>
      </c>
    </row>
    <row r="157" s="23" customFormat="1" ht="409.5" hidden="1" spans="1:26">
      <c r="A157" s="79" t="s">
        <v>677</v>
      </c>
      <c r="B157" s="93">
        <v>46025</v>
      </c>
      <c r="C157" s="93">
        <v>46062</v>
      </c>
      <c r="D157" s="83" t="s">
        <v>5</v>
      </c>
      <c r="E157" s="82" t="s">
        <v>678</v>
      </c>
      <c r="F157" s="82" t="s">
        <v>679</v>
      </c>
      <c r="G157" s="82"/>
      <c r="H157" s="82" t="s">
        <v>74</v>
      </c>
      <c r="I157" s="83">
        <v>13218.75</v>
      </c>
      <c r="J157" s="83">
        <v>586.2</v>
      </c>
      <c r="K157" s="79" t="s">
        <v>680</v>
      </c>
      <c r="L157" s="79" t="s">
        <v>677</v>
      </c>
      <c r="M157" s="82" t="s">
        <v>13</v>
      </c>
      <c r="N157" s="82" t="s">
        <v>115</v>
      </c>
      <c r="O157" s="79" t="s">
        <v>293</v>
      </c>
      <c r="P157" s="83"/>
      <c r="Q157" s="83"/>
      <c r="R157" s="83"/>
      <c r="S157" s="83"/>
      <c r="T157" s="83"/>
      <c r="U157" s="83"/>
      <c r="V157" s="83"/>
      <c r="W157" s="83"/>
      <c r="X157" s="85">
        <f t="shared" si="6"/>
        <v>2026</v>
      </c>
      <c r="Y157" s="85">
        <f t="shared" si="7"/>
        <v>2</v>
      </c>
      <c r="Z157" s="85">
        <f t="shared" si="8"/>
        <v>9</v>
      </c>
    </row>
    <row r="158" s="23" customFormat="1" ht="409.5" hidden="1" spans="1:26">
      <c r="A158" s="79" t="s">
        <v>681</v>
      </c>
      <c r="B158" s="93">
        <v>46032</v>
      </c>
      <c r="C158" s="93">
        <v>46063</v>
      </c>
      <c r="D158" s="79" t="s">
        <v>5</v>
      </c>
      <c r="E158" s="82" t="s">
        <v>682</v>
      </c>
      <c r="F158" s="95" t="s">
        <v>683</v>
      </c>
      <c r="G158" s="82"/>
      <c r="H158" s="82" t="s">
        <v>74</v>
      </c>
      <c r="I158" s="83">
        <v>12924.2</v>
      </c>
      <c r="J158" s="83">
        <v>1292.42</v>
      </c>
      <c r="K158" s="79"/>
      <c r="L158" s="79" t="s">
        <v>681</v>
      </c>
      <c r="M158" s="82" t="s">
        <v>10</v>
      </c>
      <c r="N158" s="82" t="s">
        <v>115</v>
      </c>
      <c r="O158" s="79" t="s">
        <v>229</v>
      </c>
      <c r="P158" s="83"/>
      <c r="Q158" s="83"/>
      <c r="R158" s="83"/>
      <c r="S158" s="83"/>
      <c r="T158" s="83"/>
      <c r="U158" s="83"/>
      <c r="V158" s="83"/>
      <c r="W158" s="83"/>
      <c r="X158" s="85">
        <f t="shared" si="6"/>
        <v>2026</v>
      </c>
      <c r="Y158" s="85">
        <f t="shared" si="7"/>
        <v>2</v>
      </c>
      <c r="Z158" s="85">
        <f t="shared" si="8"/>
        <v>10</v>
      </c>
    </row>
    <row r="159" s="23" customFormat="1" ht="409.5" hidden="1" spans="1:26">
      <c r="A159" s="79" t="s">
        <v>684</v>
      </c>
      <c r="B159" s="93">
        <v>46054</v>
      </c>
      <c r="C159" s="93">
        <v>46063</v>
      </c>
      <c r="D159" s="79" t="s">
        <v>5</v>
      </c>
      <c r="E159" s="82" t="s">
        <v>685</v>
      </c>
      <c r="F159" s="82" t="s">
        <v>686</v>
      </c>
      <c r="G159" s="82"/>
      <c r="H159" s="82" t="s">
        <v>74</v>
      </c>
      <c r="I159" s="83">
        <v>2222.4</v>
      </c>
      <c r="J159" s="83">
        <v>2222.4</v>
      </c>
      <c r="K159" s="79"/>
      <c r="L159" s="79" t="s">
        <v>684</v>
      </c>
      <c r="M159" s="82" t="s">
        <v>10</v>
      </c>
      <c r="N159" s="82" t="s">
        <v>115</v>
      </c>
      <c r="O159" s="79" t="s">
        <v>229</v>
      </c>
      <c r="P159" s="83"/>
      <c r="Q159" s="83"/>
      <c r="R159" s="83"/>
      <c r="S159" s="83"/>
      <c r="T159" s="83"/>
      <c r="U159" s="83"/>
      <c r="V159" s="83"/>
      <c r="W159" s="83"/>
      <c r="X159" s="85">
        <f t="shared" si="6"/>
        <v>2026</v>
      </c>
      <c r="Y159" s="85">
        <f t="shared" si="7"/>
        <v>2</v>
      </c>
      <c r="Z159" s="85">
        <f t="shared" si="8"/>
        <v>10</v>
      </c>
    </row>
    <row r="160" s="23" customFormat="1" ht="41.65" hidden="1" spans="1:26">
      <c r="A160" s="79" t="s">
        <v>687</v>
      </c>
      <c r="B160" s="93">
        <v>46030</v>
      </c>
      <c r="C160" s="93">
        <v>46063</v>
      </c>
      <c r="D160" s="79" t="s">
        <v>504</v>
      </c>
      <c r="E160" s="82" t="s">
        <v>688</v>
      </c>
      <c r="F160" s="96" t="s">
        <v>689</v>
      </c>
      <c r="G160" s="82"/>
      <c r="H160" s="82" t="s">
        <v>62</v>
      </c>
      <c r="I160" s="83">
        <v>120870</v>
      </c>
      <c r="J160" s="83">
        <v>51</v>
      </c>
      <c r="K160" s="79" t="s">
        <v>434</v>
      </c>
      <c r="L160" s="79" t="s">
        <v>687</v>
      </c>
      <c r="M160" s="82" t="s">
        <v>10</v>
      </c>
      <c r="N160" s="82" t="s">
        <v>115</v>
      </c>
      <c r="O160" s="79" t="s">
        <v>229</v>
      </c>
      <c r="P160" s="83"/>
      <c r="Q160" s="83"/>
      <c r="R160" s="83"/>
      <c r="S160" s="83"/>
      <c r="T160" s="83"/>
      <c r="U160" s="83"/>
      <c r="V160" s="83"/>
      <c r="W160" s="83"/>
      <c r="X160" s="85">
        <f t="shared" si="6"/>
        <v>2026</v>
      </c>
      <c r="Y160" s="85">
        <f t="shared" si="7"/>
        <v>2</v>
      </c>
      <c r="Z160" s="85">
        <f t="shared" si="8"/>
        <v>10</v>
      </c>
    </row>
    <row r="161" ht="409.5" hidden="1" spans="1:26">
      <c r="A161" s="79" t="s">
        <v>690</v>
      </c>
      <c r="B161" s="93">
        <v>46035</v>
      </c>
      <c r="C161" s="93">
        <v>46062</v>
      </c>
      <c r="D161" s="83" t="s">
        <v>5</v>
      </c>
      <c r="E161" s="82" t="s">
        <v>678</v>
      </c>
      <c r="F161" s="82" t="s">
        <v>691</v>
      </c>
      <c r="G161" s="82"/>
      <c r="H161" s="82" t="s">
        <v>77</v>
      </c>
      <c r="I161" s="83">
        <v>799.35</v>
      </c>
      <c r="J161" s="83">
        <v>159.87</v>
      </c>
      <c r="K161" s="79" t="s">
        <v>594</v>
      </c>
      <c r="L161" s="79" t="s">
        <v>690</v>
      </c>
      <c r="M161" s="82" t="s">
        <v>13</v>
      </c>
      <c r="N161" s="82" t="s">
        <v>115</v>
      </c>
      <c r="O161" s="79" t="s">
        <v>293</v>
      </c>
      <c r="P161" s="83"/>
      <c r="Q161" s="83"/>
      <c r="R161" s="83"/>
      <c r="S161" s="83"/>
      <c r="T161" s="83"/>
      <c r="U161" s="83"/>
      <c r="V161" s="83"/>
      <c r="W161" s="83"/>
      <c r="X161" s="68">
        <f t="shared" si="6"/>
        <v>2026</v>
      </c>
      <c r="Y161" s="68">
        <f t="shared" si="7"/>
        <v>2</v>
      </c>
      <c r="Z161" s="68">
        <f t="shared" si="8"/>
        <v>9</v>
      </c>
    </row>
    <row r="162" s="23" customFormat="1" ht="409.5" hidden="1" spans="1:26">
      <c r="A162" s="79" t="s">
        <v>692</v>
      </c>
      <c r="B162" s="93">
        <v>46031</v>
      </c>
      <c r="C162" s="93">
        <v>46062</v>
      </c>
      <c r="D162" s="83" t="s">
        <v>5</v>
      </c>
      <c r="E162" s="82" t="s">
        <v>678</v>
      </c>
      <c r="F162" s="82" t="s">
        <v>693</v>
      </c>
      <c r="G162" s="82"/>
      <c r="H162" s="82" t="s">
        <v>77</v>
      </c>
      <c r="I162" s="97">
        <v>8793</v>
      </c>
      <c r="J162" s="97">
        <v>586.2</v>
      </c>
      <c r="K162" s="79" t="s">
        <v>587</v>
      </c>
      <c r="L162" s="79" t="s">
        <v>690</v>
      </c>
      <c r="M162" s="82" t="s">
        <v>13</v>
      </c>
      <c r="N162" s="82" t="s">
        <v>115</v>
      </c>
      <c r="O162" s="79" t="s">
        <v>293</v>
      </c>
      <c r="P162" s="83"/>
      <c r="Q162" s="83"/>
      <c r="R162" s="83"/>
      <c r="S162" s="83"/>
      <c r="T162" s="83"/>
      <c r="U162" s="83"/>
      <c r="V162" s="83"/>
      <c r="W162" s="83"/>
      <c r="X162" s="85">
        <f t="shared" si="6"/>
        <v>2026</v>
      </c>
      <c r="Y162" s="85">
        <f t="shared" si="7"/>
        <v>2</v>
      </c>
      <c r="Z162" s="85">
        <f t="shared" si="8"/>
        <v>9</v>
      </c>
    </row>
    <row r="163" s="23" customFormat="1" ht="304.9" hidden="1" spans="1:26">
      <c r="A163" s="83" t="s">
        <v>555</v>
      </c>
      <c r="B163" s="93">
        <v>46045</v>
      </c>
      <c r="C163" s="93">
        <v>46063</v>
      </c>
      <c r="D163" s="83" t="s">
        <v>5</v>
      </c>
      <c r="E163" s="81" t="s">
        <v>694</v>
      </c>
      <c r="F163" s="82" t="s">
        <v>695</v>
      </c>
      <c r="G163" s="82"/>
      <c r="H163" s="82" t="s">
        <v>34</v>
      </c>
      <c r="I163" s="83">
        <v>322.7</v>
      </c>
      <c r="J163" s="83">
        <v>64.54</v>
      </c>
      <c r="K163" s="79" t="s">
        <v>507</v>
      </c>
      <c r="L163" s="83" t="s">
        <v>555</v>
      </c>
      <c r="M163" s="82" t="s">
        <v>10</v>
      </c>
      <c r="N163" s="82" t="s">
        <v>115</v>
      </c>
      <c r="O163" s="79" t="s">
        <v>546</v>
      </c>
      <c r="P163" s="83"/>
      <c r="Q163" s="83"/>
      <c r="R163" s="83"/>
      <c r="S163" s="83"/>
      <c r="T163" s="83"/>
      <c r="U163" s="83"/>
      <c r="V163" s="83"/>
      <c r="W163" s="83"/>
      <c r="X163" s="85">
        <f t="shared" si="6"/>
        <v>2026</v>
      </c>
      <c r="Y163" s="85">
        <f t="shared" si="7"/>
        <v>2</v>
      </c>
      <c r="Z163" s="85">
        <f t="shared" si="8"/>
        <v>10</v>
      </c>
    </row>
    <row r="164" s="23" customFormat="1" ht="388.15" hidden="1" spans="1:26">
      <c r="A164" s="67" t="s">
        <v>696</v>
      </c>
      <c r="B164" s="77">
        <v>46049</v>
      </c>
      <c r="C164" s="77">
        <v>46049</v>
      </c>
      <c r="D164" s="67" t="s">
        <v>5</v>
      </c>
      <c r="E164" s="74" t="s">
        <v>697</v>
      </c>
      <c r="F164" s="74" t="s">
        <v>698</v>
      </c>
      <c r="G164" s="74"/>
      <c r="H164" s="74" t="s">
        <v>51</v>
      </c>
      <c r="I164" s="66">
        <v>26.09</v>
      </c>
      <c r="J164" s="66">
        <v>5218</v>
      </c>
      <c r="K164" s="66"/>
      <c r="L164" s="66" t="s">
        <v>696</v>
      </c>
      <c r="M164" s="74" t="s">
        <v>10</v>
      </c>
      <c r="N164" s="74" t="s">
        <v>115</v>
      </c>
      <c r="O164" s="67" t="s">
        <v>546</v>
      </c>
      <c r="P164" s="66"/>
      <c r="Q164" s="66"/>
      <c r="R164" s="66"/>
      <c r="S164" s="66"/>
      <c r="T164" s="66"/>
      <c r="U164" s="66"/>
      <c r="V164" s="66"/>
      <c r="W164" s="66"/>
      <c r="X164" s="85">
        <f t="shared" si="6"/>
        <v>2026</v>
      </c>
      <c r="Y164" s="85">
        <f t="shared" si="7"/>
        <v>1</v>
      </c>
      <c r="Z164" s="85">
        <f t="shared" si="8"/>
        <v>27</v>
      </c>
    </row>
    <row r="165" s="23" customFormat="1" ht="409.5" hidden="1" spans="1:26">
      <c r="A165" s="83" t="s">
        <v>699</v>
      </c>
      <c r="B165" s="93">
        <v>46049</v>
      </c>
      <c r="C165" s="93">
        <v>46063</v>
      </c>
      <c r="D165" s="83" t="s">
        <v>5</v>
      </c>
      <c r="E165" s="81" t="s">
        <v>700</v>
      </c>
      <c r="F165" s="82" t="s">
        <v>701</v>
      </c>
      <c r="G165" s="98"/>
      <c r="H165" s="98" t="s">
        <v>69</v>
      </c>
      <c r="I165" s="83">
        <v>27.3</v>
      </c>
      <c r="J165" s="83">
        <v>1550</v>
      </c>
      <c r="K165" s="79"/>
      <c r="L165" s="83" t="s">
        <v>699</v>
      </c>
      <c r="M165" s="82" t="s">
        <v>10</v>
      </c>
      <c r="N165" s="82" t="s">
        <v>115</v>
      </c>
      <c r="O165" s="79" t="s">
        <v>431</v>
      </c>
      <c r="P165" s="83"/>
      <c r="Q165" s="83"/>
      <c r="R165" s="83"/>
      <c r="S165" s="83"/>
      <c r="T165" s="83"/>
      <c r="U165" s="83"/>
      <c r="V165" s="83"/>
      <c r="W165" s="83"/>
      <c r="X165" s="85">
        <f t="shared" si="6"/>
        <v>2026</v>
      </c>
      <c r="Y165" s="85">
        <f t="shared" si="7"/>
        <v>2</v>
      </c>
      <c r="Z165" s="85">
        <f t="shared" si="8"/>
        <v>10</v>
      </c>
    </row>
    <row r="166" s="23" customFormat="1" ht="304.9" hidden="1" spans="1:26">
      <c r="A166" s="99" t="s">
        <v>702</v>
      </c>
      <c r="B166" s="93">
        <v>46057</v>
      </c>
      <c r="C166" s="93">
        <v>46063</v>
      </c>
      <c r="D166" s="83" t="s">
        <v>5</v>
      </c>
      <c r="E166" s="82" t="s">
        <v>186</v>
      </c>
      <c r="F166" s="82" t="s">
        <v>703</v>
      </c>
      <c r="G166" s="82"/>
      <c r="H166" s="82" t="s">
        <v>34</v>
      </c>
      <c r="I166" s="83">
        <v>12296.1</v>
      </c>
      <c r="J166" s="83">
        <v>358.93</v>
      </c>
      <c r="K166" s="79" t="s">
        <v>704</v>
      </c>
      <c r="L166" s="99" t="s">
        <v>702</v>
      </c>
      <c r="M166" s="82" t="s">
        <v>10</v>
      </c>
      <c r="N166" s="82" t="s">
        <v>115</v>
      </c>
      <c r="O166" s="79" t="s">
        <v>323</v>
      </c>
      <c r="P166" s="83"/>
      <c r="Q166" s="83"/>
      <c r="R166" s="83"/>
      <c r="S166" s="83"/>
      <c r="T166" s="83"/>
      <c r="U166" s="83"/>
      <c r="V166" s="83"/>
      <c r="W166" s="83"/>
      <c r="X166" s="85">
        <f t="shared" si="6"/>
        <v>2026</v>
      </c>
      <c r="Y166" s="85">
        <f t="shared" si="7"/>
        <v>2</v>
      </c>
      <c r="Z166" s="85">
        <f t="shared" si="8"/>
        <v>10</v>
      </c>
    </row>
    <row r="167" ht="304.9" hidden="1" spans="1:26">
      <c r="A167" s="99" t="s">
        <v>705</v>
      </c>
      <c r="B167" s="93">
        <v>46057</v>
      </c>
      <c r="C167" s="93">
        <v>46063</v>
      </c>
      <c r="D167" s="83" t="s">
        <v>5</v>
      </c>
      <c r="E167" s="82" t="s">
        <v>186</v>
      </c>
      <c r="F167" s="82" t="s">
        <v>706</v>
      </c>
      <c r="G167" s="82"/>
      <c r="H167" s="82" t="s">
        <v>34</v>
      </c>
      <c r="I167" s="83">
        <v>19040.4</v>
      </c>
      <c r="J167" s="83">
        <v>490.96</v>
      </c>
      <c r="K167" s="79" t="s">
        <v>507</v>
      </c>
      <c r="L167" s="99" t="s">
        <v>705</v>
      </c>
      <c r="M167" s="82" t="s">
        <v>10</v>
      </c>
      <c r="N167" s="82" t="s">
        <v>115</v>
      </c>
      <c r="O167" s="79" t="s">
        <v>323</v>
      </c>
      <c r="P167" s="83"/>
      <c r="Q167" s="83"/>
      <c r="R167" s="83"/>
      <c r="S167" s="83"/>
      <c r="T167" s="83"/>
      <c r="U167" s="83"/>
      <c r="V167" s="83"/>
      <c r="W167" s="83"/>
      <c r="X167" s="68">
        <f t="shared" si="6"/>
        <v>2026</v>
      </c>
      <c r="Y167" s="68">
        <f t="shared" si="7"/>
        <v>2</v>
      </c>
      <c r="Z167" s="68">
        <f t="shared" si="8"/>
        <v>10</v>
      </c>
    </row>
    <row r="168" ht="409.5" hidden="1" spans="1:26">
      <c r="A168" s="83" t="s">
        <v>707</v>
      </c>
      <c r="B168" s="93">
        <v>46035</v>
      </c>
      <c r="C168" s="93">
        <v>46063</v>
      </c>
      <c r="D168" s="83" t="s">
        <v>5</v>
      </c>
      <c r="E168" s="82" t="s">
        <v>708</v>
      </c>
      <c r="F168" s="100" t="s">
        <v>709</v>
      </c>
      <c r="G168" s="98"/>
      <c r="H168" s="98" t="s">
        <v>61</v>
      </c>
      <c r="I168" s="101">
        <v>9998.6</v>
      </c>
      <c r="J168" s="101">
        <v>999.86</v>
      </c>
      <c r="K168" s="101" t="s">
        <v>511</v>
      </c>
      <c r="L168" s="83" t="s">
        <v>707</v>
      </c>
      <c r="M168" s="82" t="s">
        <v>11</v>
      </c>
      <c r="N168" s="82" t="s">
        <v>115</v>
      </c>
      <c r="O168" s="79" t="s">
        <v>198</v>
      </c>
      <c r="P168" s="83"/>
      <c r="Q168" s="83"/>
      <c r="R168" s="83"/>
      <c r="S168" s="83"/>
      <c r="T168" s="83"/>
      <c r="U168" s="83"/>
      <c r="V168" s="83"/>
      <c r="W168" s="83"/>
      <c r="X168" s="68">
        <f t="shared" si="6"/>
        <v>2026</v>
      </c>
      <c r="Y168" s="68">
        <f t="shared" si="7"/>
        <v>2</v>
      </c>
      <c r="Z168" s="68">
        <f t="shared" si="8"/>
        <v>10</v>
      </c>
    </row>
    <row r="169" ht="409.5" hidden="1" spans="1:26">
      <c r="A169" s="79" t="s">
        <v>710</v>
      </c>
      <c r="B169" s="93">
        <v>46050</v>
      </c>
      <c r="C169" s="93">
        <v>46063</v>
      </c>
      <c r="D169" s="83" t="s">
        <v>5</v>
      </c>
      <c r="E169" s="82" t="s">
        <v>708</v>
      </c>
      <c r="F169" s="102" t="s">
        <v>711</v>
      </c>
      <c r="G169" s="98"/>
      <c r="H169" s="98" t="s">
        <v>61</v>
      </c>
      <c r="I169" s="101">
        <v>9805.6</v>
      </c>
      <c r="J169" s="101">
        <v>980.56</v>
      </c>
      <c r="K169" s="101" t="s">
        <v>511</v>
      </c>
      <c r="L169" s="79" t="s">
        <v>710</v>
      </c>
      <c r="M169" s="82" t="s">
        <v>11</v>
      </c>
      <c r="N169" s="82" t="s">
        <v>115</v>
      </c>
      <c r="O169" s="79" t="s">
        <v>198</v>
      </c>
      <c r="P169" s="83"/>
      <c r="Q169" s="83"/>
      <c r="R169" s="83"/>
      <c r="S169" s="83"/>
      <c r="T169" s="83"/>
      <c r="U169" s="83"/>
      <c r="V169" s="83"/>
      <c r="W169" s="83"/>
      <c r="X169" s="68">
        <f t="shared" si="6"/>
        <v>2026</v>
      </c>
      <c r="Y169" s="68">
        <f t="shared" si="7"/>
        <v>2</v>
      </c>
      <c r="Z169" s="68">
        <f t="shared" si="8"/>
        <v>10</v>
      </c>
    </row>
    <row r="170" ht="207.75" hidden="1" spans="1:26">
      <c r="A170" s="103" t="s">
        <v>712</v>
      </c>
      <c r="B170" s="93">
        <v>46057</v>
      </c>
      <c r="C170" s="93">
        <v>46063</v>
      </c>
      <c r="D170" s="66" t="s">
        <v>5</v>
      </c>
      <c r="E170" s="74" t="s">
        <v>320</v>
      </c>
      <c r="F170" s="74" t="s">
        <v>713</v>
      </c>
      <c r="G170" s="74"/>
      <c r="H170" s="82" t="s">
        <v>34</v>
      </c>
      <c r="I170" s="66">
        <v>2916</v>
      </c>
      <c r="J170" s="66">
        <v>194.4</v>
      </c>
      <c r="K170" s="79" t="s">
        <v>507</v>
      </c>
      <c r="L170" s="103" t="s">
        <v>712</v>
      </c>
      <c r="M170" s="82" t="s">
        <v>10</v>
      </c>
      <c r="N170" s="82" t="s">
        <v>115</v>
      </c>
      <c r="O170" s="79" t="s">
        <v>323</v>
      </c>
      <c r="P170" s="66"/>
      <c r="Q170" s="66"/>
      <c r="R170" s="66"/>
      <c r="S170" s="66"/>
      <c r="T170" s="66"/>
      <c r="U170" s="66"/>
      <c r="V170" s="66"/>
      <c r="W170" s="66"/>
      <c r="X170" s="68">
        <f t="shared" si="6"/>
        <v>2026</v>
      </c>
      <c r="Y170" s="68">
        <f t="shared" si="7"/>
        <v>2</v>
      </c>
      <c r="Z170" s="68">
        <f t="shared" si="8"/>
        <v>10</v>
      </c>
    </row>
    <row r="171" ht="124.9" hidden="1" spans="1:26">
      <c r="A171" s="103" t="s">
        <v>714</v>
      </c>
      <c r="B171" s="93">
        <v>46060</v>
      </c>
      <c r="C171" s="93">
        <v>46063</v>
      </c>
      <c r="D171" s="66" t="s">
        <v>504</v>
      </c>
      <c r="E171" s="74" t="s">
        <v>715</v>
      </c>
      <c r="F171" s="74" t="s">
        <v>716</v>
      </c>
      <c r="G171" s="74"/>
      <c r="H171" s="82" t="s">
        <v>34</v>
      </c>
      <c r="I171" s="66">
        <v>704.16</v>
      </c>
      <c r="J171" s="66">
        <v>29.34</v>
      </c>
      <c r="K171" s="79" t="s">
        <v>717</v>
      </c>
      <c r="L171" s="103" t="s">
        <v>714</v>
      </c>
      <c r="M171" s="82" t="s">
        <v>11</v>
      </c>
      <c r="N171" s="82" t="s">
        <v>115</v>
      </c>
      <c r="O171" s="79" t="s">
        <v>718</v>
      </c>
      <c r="P171" s="66"/>
      <c r="Q171" s="66"/>
      <c r="R171" s="66"/>
      <c r="S171" s="66"/>
      <c r="T171" s="66"/>
      <c r="U171" s="66"/>
      <c r="V171" s="66"/>
      <c r="W171" s="66"/>
      <c r="X171" s="68">
        <f t="shared" si="6"/>
        <v>2026</v>
      </c>
      <c r="Y171" s="68">
        <f t="shared" si="7"/>
        <v>2</v>
      </c>
      <c r="Z171" s="68">
        <f t="shared" si="8"/>
        <v>10</v>
      </c>
    </row>
    <row r="172" ht="139.9" hidden="1" spans="1:26">
      <c r="A172" s="103" t="s">
        <v>719</v>
      </c>
      <c r="B172" s="93">
        <v>46056</v>
      </c>
      <c r="C172" s="93">
        <v>46063</v>
      </c>
      <c r="D172" s="66" t="s">
        <v>504</v>
      </c>
      <c r="E172" s="74" t="s">
        <v>720</v>
      </c>
      <c r="F172" s="74" t="s">
        <v>721</v>
      </c>
      <c r="G172" s="74"/>
      <c r="H172" s="82" t="s">
        <v>34</v>
      </c>
      <c r="I172" s="66">
        <v>1431.04</v>
      </c>
      <c r="J172" s="66">
        <v>33.28</v>
      </c>
      <c r="K172" s="79" t="s">
        <v>722</v>
      </c>
      <c r="L172" s="103" t="s">
        <v>719</v>
      </c>
      <c r="M172" s="82" t="s">
        <v>11</v>
      </c>
      <c r="N172" s="82" t="s">
        <v>115</v>
      </c>
      <c r="O172" s="79" t="s">
        <v>718</v>
      </c>
      <c r="P172" s="66"/>
      <c r="Q172" s="66"/>
      <c r="R172" s="66"/>
      <c r="S172" s="66"/>
      <c r="T172" s="66"/>
      <c r="U172" s="66"/>
      <c r="V172" s="66"/>
      <c r="W172" s="66"/>
      <c r="X172" s="68">
        <f t="shared" si="6"/>
        <v>2026</v>
      </c>
      <c r="Y172" s="68">
        <f t="shared" si="7"/>
        <v>2</v>
      </c>
      <c r="Z172" s="68">
        <f t="shared" si="8"/>
        <v>10</v>
      </c>
    </row>
    <row r="173" ht="409.5" hidden="1" spans="1:26">
      <c r="A173" s="67" t="s">
        <v>723</v>
      </c>
      <c r="B173" s="71">
        <v>46059</v>
      </c>
      <c r="C173" s="71">
        <v>46064</v>
      </c>
      <c r="D173" s="67" t="s">
        <v>5</v>
      </c>
      <c r="E173" s="74" t="s">
        <v>724</v>
      </c>
      <c r="F173" s="74" t="s">
        <v>725</v>
      </c>
      <c r="G173" s="74"/>
      <c r="H173" s="74" t="s">
        <v>69</v>
      </c>
      <c r="I173" s="66">
        <v>3094.87</v>
      </c>
      <c r="J173" s="66">
        <v>53.35</v>
      </c>
      <c r="K173" s="67"/>
      <c r="L173" s="66" t="s">
        <v>723</v>
      </c>
      <c r="M173" s="74" t="s">
        <v>10</v>
      </c>
      <c r="N173" s="74" t="s">
        <v>115</v>
      </c>
      <c r="O173" s="67" t="s">
        <v>229</v>
      </c>
      <c r="P173" s="66"/>
      <c r="Q173" s="66"/>
      <c r="R173" s="66"/>
      <c r="S173" s="66"/>
      <c r="T173" s="66"/>
      <c r="U173" s="66"/>
      <c r="V173" s="66"/>
      <c r="W173" s="66"/>
      <c r="X173" s="68">
        <f t="shared" si="6"/>
        <v>2026</v>
      </c>
      <c r="Y173" s="68">
        <f t="shared" si="7"/>
        <v>2</v>
      </c>
      <c r="Z173" s="68">
        <f t="shared" si="8"/>
        <v>11</v>
      </c>
    </row>
    <row r="174" ht="409.5" hidden="1" spans="1:26">
      <c r="A174" s="74" t="s">
        <v>726</v>
      </c>
      <c r="B174" s="93">
        <v>46060</v>
      </c>
      <c r="C174" s="71">
        <v>46064</v>
      </c>
      <c r="D174" s="66" t="s">
        <v>5</v>
      </c>
      <c r="E174" s="74" t="s">
        <v>727</v>
      </c>
      <c r="F174" s="74" t="s">
        <v>728</v>
      </c>
      <c r="G174" s="74"/>
      <c r="H174" s="74" t="s">
        <v>72</v>
      </c>
      <c r="I174" s="66">
        <v>29988</v>
      </c>
      <c r="J174" s="66">
        <v>1499.4</v>
      </c>
      <c r="K174" s="67" t="s">
        <v>729</v>
      </c>
      <c r="L174" s="67" t="s">
        <v>726</v>
      </c>
      <c r="M174" s="74" t="s">
        <v>14</v>
      </c>
      <c r="N174" s="74" t="s">
        <v>115</v>
      </c>
      <c r="O174" s="67" t="s">
        <v>284</v>
      </c>
      <c r="P174" s="66"/>
      <c r="Q174" s="66"/>
      <c r="R174" s="66"/>
      <c r="S174" s="66"/>
      <c r="T174" s="66"/>
      <c r="U174" s="66"/>
      <c r="V174" s="66"/>
      <c r="W174" s="66"/>
      <c r="X174" s="68">
        <f t="shared" si="6"/>
        <v>2026</v>
      </c>
      <c r="Y174" s="68">
        <f t="shared" si="7"/>
        <v>2</v>
      </c>
      <c r="Z174" s="68">
        <f t="shared" si="8"/>
        <v>11</v>
      </c>
    </row>
    <row r="175" ht="388.15" hidden="1" spans="1:26">
      <c r="A175" s="88" t="s">
        <v>730</v>
      </c>
      <c r="B175" s="71">
        <v>46064</v>
      </c>
      <c r="C175" s="71">
        <v>46064</v>
      </c>
      <c r="D175" s="66" t="s">
        <v>5</v>
      </c>
      <c r="E175" s="74" t="s">
        <v>731</v>
      </c>
      <c r="F175" s="74" t="s">
        <v>732</v>
      </c>
      <c r="G175" s="74"/>
      <c r="H175" s="74" t="s">
        <v>61</v>
      </c>
      <c r="I175" s="104">
        <v>7947.28</v>
      </c>
      <c r="J175" s="66">
        <v>1986.82</v>
      </c>
      <c r="K175" s="67" t="s">
        <v>733</v>
      </c>
      <c r="L175" s="66" t="s">
        <v>734</v>
      </c>
      <c r="M175" s="74" t="s">
        <v>12</v>
      </c>
      <c r="N175" s="74" t="s">
        <v>115</v>
      </c>
      <c r="O175" s="67" t="s">
        <v>168</v>
      </c>
      <c r="P175" s="66"/>
      <c r="Q175" s="66"/>
      <c r="R175" s="66"/>
      <c r="S175" s="66"/>
      <c r="T175" s="66"/>
      <c r="U175" s="66"/>
      <c r="V175" s="66"/>
      <c r="W175" s="66"/>
      <c r="X175" s="68">
        <f t="shared" si="6"/>
        <v>2026</v>
      </c>
      <c r="Y175" s="68">
        <f t="shared" si="7"/>
        <v>2</v>
      </c>
      <c r="Z175" s="68">
        <f t="shared" si="8"/>
        <v>11</v>
      </c>
    </row>
    <row r="176" ht="346.5" hidden="1" spans="1:26">
      <c r="A176" s="53" t="s">
        <v>735</v>
      </c>
      <c r="B176" s="71">
        <v>46058</v>
      </c>
      <c r="C176" s="71">
        <v>46079</v>
      </c>
      <c r="D176" s="66" t="s">
        <v>5</v>
      </c>
      <c r="E176" s="55" t="s">
        <v>736</v>
      </c>
      <c r="F176" s="74" t="s">
        <v>737</v>
      </c>
      <c r="G176" s="74"/>
      <c r="H176" s="74" t="s">
        <v>61</v>
      </c>
      <c r="I176" s="66">
        <v>8059.68</v>
      </c>
      <c r="J176" s="66">
        <v>980.4</v>
      </c>
      <c r="K176" s="67" t="s">
        <v>738</v>
      </c>
      <c r="L176" s="67" t="s">
        <v>735</v>
      </c>
      <c r="M176" s="74" t="s">
        <v>10</v>
      </c>
      <c r="N176" s="74" t="s">
        <v>115</v>
      </c>
      <c r="O176" s="67" t="s">
        <v>431</v>
      </c>
      <c r="P176" s="66"/>
      <c r="Q176" s="66"/>
      <c r="R176" s="66"/>
      <c r="S176" s="66"/>
      <c r="T176" s="66"/>
      <c r="U176" s="66"/>
      <c r="V176" s="66"/>
      <c r="W176" s="66"/>
      <c r="X176" s="68">
        <f t="shared" si="6"/>
        <v>2026</v>
      </c>
      <c r="Y176" s="68">
        <f t="shared" si="7"/>
        <v>2</v>
      </c>
      <c r="Z176" s="68">
        <f t="shared" si="8"/>
        <v>26</v>
      </c>
    </row>
    <row r="177" ht="263.25" hidden="1" spans="1:26">
      <c r="A177" s="67" t="s">
        <v>739</v>
      </c>
      <c r="B177" s="71">
        <v>46064</v>
      </c>
      <c r="C177" s="71">
        <v>46077</v>
      </c>
      <c r="D177" s="66" t="s">
        <v>5</v>
      </c>
      <c r="E177" s="55" t="s">
        <v>320</v>
      </c>
      <c r="F177" s="74" t="s">
        <v>740</v>
      </c>
      <c r="G177" s="74"/>
      <c r="H177" s="82" t="s">
        <v>34</v>
      </c>
      <c r="I177" s="66">
        <v>22926.3</v>
      </c>
      <c r="J177" s="66">
        <v>1528.42</v>
      </c>
      <c r="K177" s="67" t="s">
        <v>507</v>
      </c>
      <c r="L177" s="67" t="s">
        <v>739</v>
      </c>
      <c r="M177" s="82" t="s">
        <v>10</v>
      </c>
      <c r="N177" s="82" t="s">
        <v>115</v>
      </c>
      <c r="O177" s="79" t="s">
        <v>323</v>
      </c>
      <c r="P177" s="66"/>
      <c r="Q177" s="66"/>
      <c r="R177" s="66"/>
      <c r="S177" s="66"/>
      <c r="T177" s="66"/>
      <c r="U177" s="66"/>
      <c r="V177" s="66"/>
      <c r="W177" s="66"/>
      <c r="X177" s="68">
        <f t="shared" si="6"/>
        <v>2026</v>
      </c>
      <c r="Y177" s="68">
        <f t="shared" si="7"/>
        <v>2</v>
      </c>
      <c r="Z177" s="68">
        <f t="shared" si="8"/>
        <v>24</v>
      </c>
    </row>
    <row r="178" ht="263.25" hidden="1" spans="1:26">
      <c r="A178" s="67" t="s">
        <v>741</v>
      </c>
      <c r="B178" s="71">
        <v>46064</v>
      </c>
      <c r="C178" s="71">
        <v>46077</v>
      </c>
      <c r="D178" s="66" t="s">
        <v>5</v>
      </c>
      <c r="E178" s="55" t="s">
        <v>320</v>
      </c>
      <c r="F178" s="74" t="s">
        <v>740</v>
      </c>
      <c r="G178" s="74"/>
      <c r="H178" s="82" t="s">
        <v>34</v>
      </c>
      <c r="I178" s="66">
        <v>10971.9</v>
      </c>
      <c r="J178" s="66">
        <v>731.46</v>
      </c>
      <c r="K178" s="67" t="s">
        <v>507</v>
      </c>
      <c r="L178" s="67" t="s">
        <v>741</v>
      </c>
      <c r="M178" s="82" t="s">
        <v>10</v>
      </c>
      <c r="N178" s="82" t="s">
        <v>115</v>
      </c>
      <c r="O178" s="79" t="s">
        <v>323</v>
      </c>
      <c r="P178" s="66"/>
      <c r="Q178" s="66"/>
      <c r="R178" s="66"/>
      <c r="S178" s="66"/>
      <c r="T178" s="66"/>
      <c r="U178" s="66"/>
      <c r="V178" s="66"/>
      <c r="W178" s="66"/>
      <c r="X178" s="68">
        <f t="shared" si="6"/>
        <v>2026</v>
      </c>
      <c r="Y178" s="68">
        <f t="shared" si="7"/>
        <v>2</v>
      </c>
      <c r="Z178" s="68">
        <f t="shared" si="8"/>
        <v>24</v>
      </c>
    </row>
    <row r="179" ht="409.5" hidden="1" spans="1:26">
      <c r="A179" s="66" t="s">
        <v>742</v>
      </c>
      <c r="B179" s="71">
        <v>46052</v>
      </c>
      <c r="C179" s="71">
        <v>46078</v>
      </c>
      <c r="D179" s="66" t="s">
        <v>5</v>
      </c>
      <c r="E179" s="74" t="s">
        <v>743</v>
      </c>
      <c r="F179" s="74" t="s">
        <v>744</v>
      </c>
      <c r="G179" s="74"/>
      <c r="H179" s="74" t="s">
        <v>61</v>
      </c>
      <c r="I179" s="66">
        <v>1740.59</v>
      </c>
      <c r="J179" s="105">
        <v>199.38</v>
      </c>
      <c r="K179" s="105" t="s">
        <v>745</v>
      </c>
      <c r="L179" s="67" t="s">
        <v>742</v>
      </c>
      <c r="M179" s="82" t="s">
        <v>10</v>
      </c>
      <c r="N179" s="82" t="s">
        <v>115</v>
      </c>
      <c r="O179" s="67" t="s">
        <v>149</v>
      </c>
      <c r="P179" s="66"/>
      <c r="Q179" s="66"/>
      <c r="R179" s="66"/>
      <c r="S179" s="66"/>
      <c r="T179" s="66"/>
      <c r="U179" s="66"/>
      <c r="V179" s="66"/>
      <c r="W179" s="66"/>
      <c r="X179" s="68">
        <f t="shared" si="6"/>
        <v>2026</v>
      </c>
      <c r="Y179" s="68">
        <f t="shared" si="7"/>
        <v>2</v>
      </c>
      <c r="Z179" s="68">
        <f t="shared" si="8"/>
        <v>25</v>
      </c>
    </row>
    <row r="180" ht="402" hidden="1" spans="1:26">
      <c r="A180" s="66" t="s">
        <v>746</v>
      </c>
      <c r="B180" s="71">
        <v>46054</v>
      </c>
      <c r="C180" s="71">
        <v>46079</v>
      </c>
      <c r="D180" s="66" t="s">
        <v>5</v>
      </c>
      <c r="E180" s="74" t="s">
        <v>747</v>
      </c>
      <c r="F180" s="74" t="s">
        <v>748</v>
      </c>
      <c r="G180" s="74"/>
      <c r="H180" s="74" t="s">
        <v>48</v>
      </c>
      <c r="I180" s="66">
        <v>327.2</v>
      </c>
      <c r="J180" s="66">
        <v>32.72</v>
      </c>
      <c r="K180" s="106" t="s">
        <v>612</v>
      </c>
      <c r="L180" s="66" t="s">
        <v>746</v>
      </c>
      <c r="M180" s="74" t="s">
        <v>10</v>
      </c>
      <c r="N180" s="74" t="s">
        <v>115</v>
      </c>
      <c r="O180" s="67" t="s">
        <v>229</v>
      </c>
      <c r="P180" s="66"/>
      <c r="Q180" s="66"/>
      <c r="R180" s="66"/>
      <c r="S180" s="66"/>
      <c r="T180" s="66"/>
      <c r="U180" s="66"/>
      <c r="V180" s="66"/>
      <c r="W180" s="66"/>
      <c r="X180" s="68">
        <f t="shared" si="6"/>
        <v>2026</v>
      </c>
      <c r="Y180" s="68">
        <f t="shared" si="7"/>
        <v>2</v>
      </c>
      <c r="Z180" s="68">
        <f t="shared" si="8"/>
        <v>26</v>
      </c>
    </row>
    <row r="181" ht="409.5" hidden="1" spans="1:26">
      <c r="A181" s="67" t="s">
        <v>749</v>
      </c>
      <c r="B181" s="77" t="s">
        <v>750</v>
      </c>
      <c r="C181" s="71">
        <v>46079</v>
      </c>
      <c r="D181" s="66" t="s">
        <v>5</v>
      </c>
      <c r="E181" s="74" t="s">
        <v>751</v>
      </c>
      <c r="F181" s="74" t="s">
        <v>752</v>
      </c>
      <c r="G181" s="74"/>
      <c r="H181" s="74" t="s">
        <v>48</v>
      </c>
      <c r="I181" s="66">
        <v>15213.7</v>
      </c>
      <c r="J181" s="66">
        <v>1185.85</v>
      </c>
      <c r="K181" s="67" t="s">
        <v>753</v>
      </c>
      <c r="L181" s="67" t="s">
        <v>749</v>
      </c>
      <c r="M181" s="74" t="s">
        <v>13</v>
      </c>
      <c r="N181" s="74" t="s">
        <v>115</v>
      </c>
      <c r="O181" s="67" t="s">
        <v>363</v>
      </c>
      <c r="P181" s="66"/>
      <c r="Q181" s="66"/>
      <c r="R181" s="66"/>
      <c r="S181" s="66"/>
      <c r="T181" s="66"/>
      <c r="U181" s="66"/>
      <c r="V181" s="66"/>
      <c r="W181" s="66"/>
      <c r="X181" s="68">
        <f t="shared" si="6"/>
        <v>2026</v>
      </c>
      <c r="Y181" s="68">
        <f t="shared" si="7"/>
        <v>2</v>
      </c>
      <c r="Z181" s="68">
        <f t="shared" si="8"/>
        <v>26</v>
      </c>
    </row>
    <row r="182" ht="333.75" hidden="1" spans="1:26">
      <c r="A182" s="66" t="s">
        <v>754</v>
      </c>
      <c r="B182" s="71">
        <v>46005</v>
      </c>
      <c r="C182" s="71">
        <v>46079</v>
      </c>
      <c r="D182" s="67" t="s">
        <v>5</v>
      </c>
      <c r="E182" s="74" t="s">
        <v>755</v>
      </c>
      <c r="F182" s="107" t="s">
        <v>756</v>
      </c>
      <c r="G182" s="74"/>
      <c r="H182" s="74" t="s">
        <v>48</v>
      </c>
      <c r="I182" s="66">
        <v>941.4</v>
      </c>
      <c r="J182" s="66">
        <v>31.38</v>
      </c>
      <c r="K182" s="106" t="s">
        <v>464</v>
      </c>
      <c r="L182" s="67" t="s">
        <v>754</v>
      </c>
      <c r="M182" s="74" t="s">
        <v>10</v>
      </c>
      <c r="N182" s="74" t="s">
        <v>115</v>
      </c>
      <c r="O182" s="67" t="s">
        <v>229</v>
      </c>
      <c r="P182" s="66"/>
      <c r="Q182" s="66"/>
      <c r="R182" s="66"/>
      <c r="S182" s="66"/>
      <c r="T182" s="66"/>
      <c r="U182" s="66"/>
      <c r="V182" s="66"/>
      <c r="W182" s="66"/>
      <c r="X182" s="68">
        <f t="shared" si="6"/>
        <v>2026</v>
      </c>
      <c r="Y182" s="68">
        <f t="shared" si="7"/>
        <v>2</v>
      </c>
      <c r="Z182" s="68">
        <f t="shared" si="8"/>
        <v>26</v>
      </c>
    </row>
    <row r="183" ht="291" hidden="1" spans="1:26">
      <c r="A183" s="74" t="s">
        <v>757</v>
      </c>
      <c r="B183" s="108" t="s">
        <v>758</v>
      </c>
      <c r="C183" s="71">
        <v>46079</v>
      </c>
      <c r="D183" s="66" t="s">
        <v>5</v>
      </c>
      <c r="E183" s="74" t="s">
        <v>759</v>
      </c>
      <c r="F183" s="74" t="s">
        <v>760</v>
      </c>
      <c r="G183" s="74"/>
      <c r="H183" s="74" t="s">
        <v>69</v>
      </c>
      <c r="I183" s="66">
        <v>25018.07</v>
      </c>
      <c r="J183" s="66">
        <v>3997.86</v>
      </c>
      <c r="K183" s="74" t="s">
        <v>761</v>
      </c>
      <c r="L183" s="74" t="s">
        <v>757</v>
      </c>
      <c r="M183" s="74" t="s">
        <v>12</v>
      </c>
      <c r="N183" s="74" t="s">
        <v>115</v>
      </c>
      <c r="O183" s="67" t="s">
        <v>436</v>
      </c>
      <c r="P183" s="66"/>
      <c r="Q183" s="66"/>
      <c r="R183" s="66"/>
      <c r="S183" s="66"/>
      <c r="T183" s="66"/>
      <c r="U183" s="66"/>
      <c r="V183" s="66"/>
      <c r="W183" s="66"/>
      <c r="X183" s="68">
        <f t="shared" si="6"/>
        <v>2026</v>
      </c>
      <c r="Y183" s="68">
        <f t="shared" si="7"/>
        <v>2</v>
      </c>
      <c r="Z183" s="68">
        <f t="shared" si="8"/>
        <v>26</v>
      </c>
    </row>
    <row r="184" ht="360.4" hidden="1" spans="1:26">
      <c r="A184" s="67" t="s">
        <v>762</v>
      </c>
      <c r="B184" s="71">
        <v>46060</v>
      </c>
      <c r="C184" s="71">
        <v>46081</v>
      </c>
      <c r="D184" s="67" t="s">
        <v>5</v>
      </c>
      <c r="E184" s="74" t="s">
        <v>763</v>
      </c>
      <c r="F184" s="74" t="s">
        <v>764</v>
      </c>
      <c r="G184" s="74"/>
      <c r="H184" s="74" t="s">
        <v>61</v>
      </c>
      <c r="I184" s="66">
        <v>1668.84</v>
      </c>
      <c r="J184" s="66">
        <v>278.14</v>
      </c>
      <c r="K184" s="67" t="s">
        <v>765</v>
      </c>
      <c r="L184" s="67" t="s">
        <v>762</v>
      </c>
      <c r="M184" s="74" t="s">
        <v>10</v>
      </c>
      <c r="N184" s="74" t="s">
        <v>115</v>
      </c>
      <c r="O184" s="67" t="s">
        <v>229</v>
      </c>
      <c r="P184" s="66"/>
      <c r="Q184" s="66"/>
      <c r="R184" s="66"/>
      <c r="S184" s="66"/>
      <c r="T184" s="66"/>
      <c r="U184" s="66"/>
      <c r="V184" s="66"/>
      <c r="W184" s="66"/>
      <c r="X184" s="68">
        <f t="shared" si="6"/>
        <v>2026</v>
      </c>
      <c r="Y184" s="68">
        <f t="shared" si="7"/>
        <v>2</v>
      </c>
      <c r="Z184" s="68">
        <f t="shared" si="8"/>
        <v>28</v>
      </c>
    </row>
    <row r="185" ht="360.4" hidden="1" spans="1:26">
      <c r="A185" s="66" t="s">
        <v>766</v>
      </c>
      <c r="B185" s="71">
        <v>46060</v>
      </c>
      <c r="C185" s="71">
        <v>46081</v>
      </c>
      <c r="D185" s="67" t="s">
        <v>5</v>
      </c>
      <c r="E185" s="74" t="s">
        <v>767</v>
      </c>
      <c r="F185" s="74" t="s">
        <v>768</v>
      </c>
      <c r="G185" s="74"/>
      <c r="H185" s="74" t="s">
        <v>69</v>
      </c>
      <c r="I185" s="66">
        <v>1050.4</v>
      </c>
      <c r="J185" s="66">
        <v>52.52</v>
      </c>
      <c r="K185" s="67"/>
      <c r="L185" s="67" t="s">
        <v>766</v>
      </c>
      <c r="M185" s="74" t="s">
        <v>10</v>
      </c>
      <c r="N185" s="74" t="s">
        <v>115</v>
      </c>
      <c r="O185" s="67" t="s">
        <v>229</v>
      </c>
      <c r="P185" s="66"/>
      <c r="Q185" s="66"/>
      <c r="R185" s="66"/>
      <c r="S185" s="66"/>
      <c r="T185" s="66"/>
      <c r="U185" s="66"/>
      <c r="V185" s="66"/>
      <c r="W185" s="66"/>
      <c r="X185" s="68">
        <f t="shared" si="6"/>
        <v>2026</v>
      </c>
      <c r="Y185" s="68">
        <f t="shared" si="7"/>
        <v>2</v>
      </c>
      <c r="Z185" s="68">
        <f t="shared" si="8"/>
        <v>28</v>
      </c>
    </row>
    <row r="186" ht="409.5" hidden="1" spans="1:26">
      <c r="A186" s="67" t="s">
        <v>769</v>
      </c>
      <c r="B186" s="71">
        <v>46062</v>
      </c>
      <c r="C186" s="71">
        <v>46083</v>
      </c>
      <c r="D186" s="67" t="s">
        <v>5</v>
      </c>
      <c r="E186" s="74" t="s">
        <v>592</v>
      </c>
      <c r="F186" s="74" t="s">
        <v>770</v>
      </c>
      <c r="G186" s="74"/>
      <c r="H186" s="74" t="s">
        <v>69</v>
      </c>
      <c r="I186" s="66">
        <v>2161.58</v>
      </c>
      <c r="J186" s="66">
        <v>100.17</v>
      </c>
      <c r="K186" s="67" t="s">
        <v>771</v>
      </c>
      <c r="L186" s="67" t="s">
        <v>769</v>
      </c>
      <c r="M186" s="74" t="s">
        <v>13</v>
      </c>
      <c r="N186" s="74" t="s">
        <v>115</v>
      </c>
      <c r="O186" s="67" t="s">
        <v>293</v>
      </c>
      <c r="P186" s="66"/>
      <c r="Q186" s="66"/>
      <c r="R186" s="66"/>
      <c r="S186" s="66"/>
      <c r="T186" s="66"/>
      <c r="U186" s="66"/>
      <c r="V186" s="66"/>
      <c r="W186" s="66"/>
      <c r="X186" s="68">
        <f t="shared" si="6"/>
        <v>2026</v>
      </c>
      <c r="Y186" s="68">
        <f t="shared" si="7"/>
        <v>3</v>
      </c>
      <c r="Z186" s="68">
        <f t="shared" si="8"/>
        <v>2</v>
      </c>
    </row>
    <row r="187" ht="409.5" hidden="1" spans="1:26">
      <c r="A187" s="66" t="s">
        <v>772</v>
      </c>
      <c r="B187" s="71">
        <v>46051</v>
      </c>
      <c r="C187" s="71">
        <v>46083</v>
      </c>
      <c r="D187" s="66" t="s">
        <v>5</v>
      </c>
      <c r="E187" s="74" t="s">
        <v>773</v>
      </c>
      <c r="F187" s="74" t="s">
        <v>774</v>
      </c>
      <c r="G187" s="74"/>
      <c r="H187" s="74" t="s">
        <v>61</v>
      </c>
      <c r="I187" s="66">
        <v>447.8</v>
      </c>
      <c r="J187" s="66">
        <v>44.78</v>
      </c>
      <c r="K187" s="67"/>
      <c r="L187" s="67" t="s">
        <v>772</v>
      </c>
      <c r="M187" s="74" t="s">
        <v>10</v>
      </c>
      <c r="N187" s="74" t="s">
        <v>115</v>
      </c>
      <c r="O187" s="67" t="s">
        <v>159</v>
      </c>
      <c r="P187" s="66"/>
      <c r="Q187" s="66"/>
      <c r="R187" s="66"/>
      <c r="S187" s="66"/>
      <c r="T187" s="66"/>
      <c r="U187" s="66"/>
      <c r="V187" s="66"/>
      <c r="W187" s="66"/>
      <c r="X187" s="68">
        <f t="shared" si="6"/>
        <v>2026</v>
      </c>
      <c r="Y187" s="68">
        <f t="shared" si="7"/>
        <v>3</v>
      </c>
      <c r="Z187" s="68">
        <f t="shared" si="8"/>
        <v>2</v>
      </c>
    </row>
    <row r="188" ht="409.5" hidden="1" spans="1:26">
      <c r="A188" s="67" t="s">
        <v>775</v>
      </c>
      <c r="B188" s="71">
        <v>46083</v>
      </c>
      <c r="C188" s="71">
        <v>46083</v>
      </c>
      <c r="D188" s="66" t="s">
        <v>422</v>
      </c>
      <c r="E188" s="74" t="s">
        <v>776</v>
      </c>
      <c r="F188" s="74" t="s">
        <v>777</v>
      </c>
      <c r="G188" s="74"/>
      <c r="H188" s="74"/>
      <c r="I188" s="66">
        <v>11263.42</v>
      </c>
      <c r="J188" s="66"/>
      <c r="K188" s="67" t="s">
        <v>778</v>
      </c>
      <c r="L188" s="66" t="s">
        <v>775</v>
      </c>
      <c r="M188" s="74" t="s">
        <v>13</v>
      </c>
      <c r="N188" s="74" t="s">
        <v>115</v>
      </c>
      <c r="O188" s="67" t="s">
        <v>779</v>
      </c>
      <c r="P188" s="66"/>
      <c r="Q188" s="66"/>
      <c r="R188" s="66"/>
      <c r="S188" s="66"/>
      <c r="T188" s="66"/>
      <c r="U188" s="66"/>
      <c r="V188" s="66"/>
      <c r="W188" s="66"/>
      <c r="X188" s="68">
        <f t="shared" si="6"/>
        <v>2026</v>
      </c>
      <c r="Y188" s="68">
        <f t="shared" si="7"/>
        <v>3</v>
      </c>
      <c r="Z188" s="68">
        <f t="shared" si="8"/>
        <v>2</v>
      </c>
    </row>
    <row r="189" ht="409.5" hidden="1" spans="1:26">
      <c r="A189" s="67" t="s">
        <v>780</v>
      </c>
      <c r="B189" s="71">
        <v>46083</v>
      </c>
      <c r="C189" s="71">
        <v>46083</v>
      </c>
      <c r="D189" s="66" t="s">
        <v>422</v>
      </c>
      <c r="E189" s="74" t="s">
        <v>776</v>
      </c>
      <c r="F189" s="74" t="s">
        <v>777</v>
      </c>
      <c r="G189" s="74"/>
      <c r="H189" s="74"/>
      <c r="I189" s="66">
        <v>4805.67</v>
      </c>
      <c r="J189" s="66"/>
      <c r="K189" s="67" t="s">
        <v>778</v>
      </c>
      <c r="L189" s="66" t="s">
        <v>780</v>
      </c>
      <c r="M189" s="74" t="s">
        <v>13</v>
      </c>
      <c r="N189" s="74" t="s">
        <v>115</v>
      </c>
      <c r="O189" s="67" t="s">
        <v>779</v>
      </c>
      <c r="P189" s="66"/>
      <c r="Q189" s="66"/>
      <c r="R189" s="66"/>
      <c r="S189" s="66"/>
      <c r="T189" s="66"/>
      <c r="U189" s="66"/>
      <c r="V189" s="66"/>
      <c r="W189" s="66"/>
      <c r="X189" s="68">
        <f t="shared" si="6"/>
        <v>2026</v>
      </c>
      <c r="Y189" s="68">
        <f t="shared" si="7"/>
        <v>3</v>
      </c>
      <c r="Z189" s="68">
        <f t="shared" si="8"/>
        <v>2</v>
      </c>
    </row>
    <row r="190" ht="374.25" hidden="1" spans="1:26">
      <c r="A190" s="67" t="s">
        <v>781</v>
      </c>
      <c r="B190" s="71">
        <v>46066</v>
      </c>
      <c r="C190" s="77">
        <v>46083</v>
      </c>
      <c r="D190" s="66" t="s">
        <v>5</v>
      </c>
      <c r="E190" s="74" t="s">
        <v>782</v>
      </c>
      <c r="F190" s="74" t="s">
        <v>783</v>
      </c>
      <c r="G190" s="74"/>
      <c r="H190" s="74" t="s">
        <v>69</v>
      </c>
      <c r="I190" s="66">
        <v>32984.4</v>
      </c>
      <c r="J190" s="66">
        <v>1099.48</v>
      </c>
      <c r="K190" s="67" t="s">
        <v>784</v>
      </c>
      <c r="L190" s="67" t="s">
        <v>781</v>
      </c>
      <c r="M190" s="74" t="s">
        <v>10</v>
      </c>
      <c r="N190" s="74" t="s">
        <v>115</v>
      </c>
      <c r="O190" s="67" t="s">
        <v>318</v>
      </c>
      <c r="P190" s="66"/>
      <c r="Q190" s="66"/>
      <c r="R190" s="66"/>
      <c r="S190" s="66"/>
      <c r="T190" s="66"/>
      <c r="U190" s="66"/>
      <c r="V190" s="66"/>
      <c r="W190" s="66"/>
      <c r="X190" s="68">
        <f t="shared" si="6"/>
        <v>2026</v>
      </c>
      <c r="Y190" s="68">
        <f t="shared" si="7"/>
        <v>3</v>
      </c>
      <c r="Z190" s="68">
        <f t="shared" si="8"/>
        <v>2</v>
      </c>
    </row>
    <row r="191" ht="409.5" hidden="1" spans="1:26">
      <c r="A191" s="67" t="s">
        <v>785</v>
      </c>
      <c r="B191" s="71">
        <v>46048</v>
      </c>
      <c r="C191" s="77">
        <v>46083</v>
      </c>
      <c r="D191" s="66" t="s">
        <v>5</v>
      </c>
      <c r="E191" s="74" t="s">
        <v>786</v>
      </c>
      <c r="F191" s="74" t="s">
        <v>787</v>
      </c>
      <c r="G191" s="74"/>
      <c r="H191" s="74" t="s">
        <v>76</v>
      </c>
      <c r="I191" s="66">
        <v>79988.24</v>
      </c>
      <c r="J191" s="66">
        <v>1999.706</v>
      </c>
      <c r="K191" s="67" t="s">
        <v>554</v>
      </c>
      <c r="L191" s="67" t="s">
        <v>785</v>
      </c>
      <c r="M191" s="74" t="s">
        <v>10</v>
      </c>
      <c r="N191" s="74" t="s">
        <v>115</v>
      </c>
      <c r="O191" s="67" t="s">
        <v>318</v>
      </c>
      <c r="P191" s="66"/>
      <c r="Q191" s="66"/>
      <c r="R191" s="66"/>
      <c r="S191" s="66"/>
      <c r="T191" s="66"/>
      <c r="U191" s="66"/>
      <c r="V191" s="66"/>
      <c r="W191" s="66"/>
      <c r="X191" s="68">
        <f t="shared" si="6"/>
        <v>2026</v>
      </c>
      <c r="Y191" s="68">
        <f t="shared" si="7"/>
        <v>3</v>
      </c>
      <c r="Z191" s="68">
        <f t="shared" si="8"/>
        <v>2</v>
      </c>
    </row>
    <row r="192" ht="360.4" hidden="1" spans="1:26">
      <c r="A192" s="66" t="s">
        <v>788</v>
      </c>
      <c r="B192" s="77" t="s">
        <v>789</v>
      </c>
      <c r="C192" s="77">
        <v>46083</v>
      </c>
      <c r="D192" s="66" t="s">
        <v>5</v>
      </c>
      <c r="E192" s="74" t="s">
        <v>790</v>
      </c>
      <c r="F192" s="74" t="s">
        <v>791</v>
      </c>
      <c r="G192" s="74"/>
      <c r="H192" s="74" t="s">
        <v>69</v>
      </c>
      <c r="I192" s="109">
        <v>23183</v>
      </c>
      <c r="J192" s="109">
        <v>1949.64</v>
      </c>
      <c r="K192" s="67" t="s">
        <v>792</v>
      </c>
      <c r="L192" s="67" t="s">
        <v>788</v>
      </c>
      <c r="M192" s="74" t="s">
        <v>13</v>
      </c>
      <c r="N192" s="74" t="s">
        <v>115</v>
      </c>
      <c r="O192" s="67" t="s">
        <v>363</v>
      </c>
      <c r="P192" s="66"/>
      <c r="Q192" s="66"/>
      <c r="R192" s="66"/>
      <c r="S192" s="66"/>
      <c r="T192" s="66"/>
      <c r="U192" s="66"/>
      <c r="V192" s="66"/>
      <c r="W192" s="66"/>
      <c r="X192" s="68">
        <f t="shared" si="6"/>
        <v>2026</v>
      </c>
      <c r="Y192" s="68">
        <f t="shared" si="7"/>
        <v>3</v>
      </c>
      <c r="Z192" s="68">
        <f t="shared" si="8"/>
        <v>2</v>
      </c>
    </row>
    <row r="193" ht="360.4" hidden="1" spans="1:26">
      <c r="A193" s="67" t="s">
        <v>793</v>
      </c>
      <c r="B193" s="77" t="s">
        <v>794</v>
      </c>
      <c r="C193" s="71">
        <v>46083</v>
      </c>
      <c r="D193" s="66" t="s">
        <v>5</v>
      </c>
      <c r="E193" s="74" t="s">
        <v>795</v>
      </c>
      <c r="F193" s="74" t="s">
        <v>796</v>
      </c>
      <c r="G193" s="74"/>
      <c r="H193" s="74" t="s">
        <v>69</v>
      </c>
      <c r="I193" s="66">
        <v>954.42</v>
      </c>
      <c r="J193" s="66">
        <v>12839.3</v>
      </c>
      <c r="K193" s="67" t="s">
        <v>797</v>
      </c>
      <c r="L193" s="67" t="s">
        <v>793</v>
      </c>
      <c r="M193" s="74" t="s">
        <v>13</v>
      </c>
      <c r="N193" s="74" t="s">
        <v>115</v>
      </c>
      <c r="O193" s="67" t="s">
        <v>363</v>
      </c>
      <c r="P193" s="66"/>
      <c r="Q193" s="66"/>
      <c r="R193" s="66"/>
      <c r="S193" s="66"/>
      <c r="T193" s="66"/>
      <c r="U193" s="66"/>
      <c r="V193" s="66"/>
      <c r="W193" s="66"/>
      <c r="X193" s="68">
        <f t="shared" si="6"/>
        <v>2026</v>
      </c>
      <c r="Y193" s="68">
        <f t="shared" si="7"/>
        <v>3</v>
      </c>
      <c r="Z193" s="68">
        <f t="shared" si="8"/>
        <v>2</v>
      </c>
    </row>
    <row r="194" ht="346.5" hidden="1" spans="1:26">
      <c r="A194" s="66" t="s">
        <v>798</v>
      </c>
      <c r="B194" s="71">
        <v>46081</v>
      </c>
      <c r="C194" s="71">
        <v>46084</v>
      </c>
      <c r="D194" s="67" t="s">
        <v>5</v>
      </c>
      <c r="E194" s="48" t="s">
        <v>799</v>
      </c>
      <c r="F194" s="74" t="s">
        <v>800</v>
      </c>
      <c r="G194" s="74"/>
      <c r="H194" s="74" t="s">
        <v>40</v>
      </c>
      <c r="I194" s="66">
        <v>29663.15</v>
      </c>
      <c r="J194" s="66">
        <v>12.2575</v>
      </c>
      <c r="K194" s="67"/>
      <c r="L194" s="66" t="s">
        <v>798</v>
      </c>
      <c r="M194" s="74" t="s">
        <v>10</v>
      </c>
      <c r="N194" s="74" t="s">
        <v>394</v>
      </c>
      <c r="O194" s="67" t="s">
        <v>229</v>
      </c>
      <c r="P194" s="66"/>
      <c r="Q194" s="66"/>
      <c r="R194" s="66"/>
      <c r="S194" s="66"/>
      <c r="T194" s="66"/>
      <c r="U194" s="66"/>
      <c r="V194" s="66"/>
      <c r="W194" s="66"/>
      <c r="X194" s="68">
        <f t="shared" ref="X194:X257" si="9">YEAR(C194)</f>
        <v>2026</v>
      </c>
      <c r="Y194" s="68">
        <f t="shared" ref="Y194:Y257" si="10">MONTH(C194)</f>
        <v>3</v>
      </c>
      <c r="Z194" s="68">
        <f t="shared" ref="Z194:Z257" si="11">DAY(C194)</f>
        <v>3</v>
      </c>
    </row>
    <row r="195" ht="409.5" hidden="1" spans="1:26">
      <c r="A195" s="66" t="s">
        <v>801</v>
      </c>
      <c r="B195" s="71">
        <v>46065</v>
      </c>
      <c r="C195" s="71">
        <v>46084</v>
      </c>
      <c r="D195" s="67" t="s">
        <v>5</v>
      </c>
      <c r="E195" s="55" t="s">
        <v>802</v>
      </c>
      <c r="F195" s="74" t="s">
        <v>803</v>
      </c>
      <c r="G195" s="74"/>
      <c r="H195" s="74" t="s">
        <v>40</v>
      </c>
      <c r="I195" s="66">
        <v>14233.725</v>
      </c>
      <c r="J195" s="66">
        <v>5.8575</v>
      </c>
      <c r="K195" s="67"/>
      <c r="L195" s="66" t="s">
        <v>801</v>
      </c>
      <c r="M195" s="74" t="s">
        <v>10</v>
      </c>
      <c r="N195" s="74" t="s">
        <v>394</v>
      </c>
      <c r="O195" s="67" t="s">
        <v>229</v>
      </c>
      <c r="P195" s="66"/>
      <c r="Q195" s="66"/>
      <c r="R195" s="66"/>
      <c r="S195" s="66"/>
      <c r="T195" s="66"/>
      <c r="U195" s="66"/>
      <c r="V195" s="66"/>
      <c r="W195" s="66"/>
      <c r="X195" s="68">
        <f t="shared" si="9"/>
        <v>2026</v>
      </c>
      <c r="Y195" s="68">
        <f t="shared" si="10"/>
        <v>3</v>
      </c>
      <c r="Z195" s="68">
        <f t="shared" si="11"/>
        <v>3</v>
      </c>
    </row>
    <row r="196" ht="409.5" hidden="1" spans="1:26">
      <c r="A196" s="67" t="s">
        <v>804</v>
      </c>
      <c r="B196" s="77" t="s">
        <v>805</v>
      </c>
      <c r="C196" s="71">
        <v>46084</v>
      </c>
      <c r="D196" s="66" t="s">
        <v>5</v>
      </c>
      <c r="E196" s="74" t="s">
        <v>806</v>
      </c>
      <c r="F196" s="74" t="s">
        <v>807</v>
      </c>
      <c r="G196" s="74"/>
      <c r="H196" s="74" t="s">
        <v>51</v>
      </c>
      <c r="I196" s="66">
        <v>495.14</v>
      </c>
      <c r="J196" s="66">
        <v>15134.5</v>
      </c>
      <c r="K196" s="67"/>
      <c r="L196" s="67" t="s">
        <v>808</v>
      </c>
      <c r="M196" s="74" t="s">
        <v>13</v>
      </c>
      <c r="N196" s="74" t="s">
        <v>115</v>
      </c>
      <c r="O196" s="67" t="s">
        <v>363</v>
      </c>
      <c r="P196" s="66"/>
      <c r="Q196" s="66"/>
      <c r="R196" s="66"/>
      <c r="S196" s="66"/>
      <c r="T196" s="66"/>
      <c r="U196" s="66"/>
      <c r="V196" s="66"/>
      <c r="W196" s="66"/>
      <c r="X196" s="68">
        <f t="shared" si="9"/>
        <v>2026</v>
      </c>
      <c r="Y196" s="68">
        <f t="shared" si="10"/>
        <v>3</v>
      </c>
      <c r="Z196" s="68">
        <f t="shared" si="11"/>
        <v>3</v>
      </c>
    </row>
    <row r="197" ht="399" hidden="1" spans="1:26">
      <c r="A197" s="70" t="s">
        <v>809</v>
      </c>
      <c r="B197" s="77">
        <v>46057</v>
      </c>
      <c r="C197" s="71">
        <v>46085</v>
      </c>
      <c r="D197" s="66" t="s">
        <v>5</v>
      </c>
      <c r="E197" s="74" t="s">
        <v>810</v>
      </c>
      <c r="F197" s="75" t="s">
        <v>811</v>
      </c>
      <c r="G197" s="74"/>
      <c r="H197" s="74" t="s">
        <v>46</v>
      </c>
      <c r="I197" s="66">
        <v>10533</v>
      </c>
      <c r="J197" s="110">
        <v>702.2</v>
      </c>
      <c r="K197" s="70" t="s">
        <v>511</v>
      </c>
      <c r="L197" s="70" t="s">
        <v>809</v>
      </c>
      <c r="M197" s="74" t="s">
        <v>11</v>
      </c>
      <c r="N197" s="74" t="s">
        <v>115</v>
      </c>
      <c r="O197" s="67" t="s">
        <v>198</v>
      </c>
      <c r="P197" s="66"/>
      <c r="Q197" s="66"/>
      <c r="R197" s="66"/>
      <c r="S197" s="66"/>
      <c r="T197" s="66"/>
      <c r="U197" s="66"/>
      <c r="V197" s="66"/>
      <c r="W197" s="66"/>
      <c r="X197" s="68">
        <f t="shared" si="9"/>
        <v>2026</v>
      </c>
      <c r="Y197" s="68">
        <f t="shared" si="10"/>
        <v>3</v>
      </c>
      <c r="Z197" s="68">
        <f t="shared" si="11"/>
        <v>4</v>
      </c>
    </row>
    <row r="198" ht="409.5" hidden="1" spans="1:26">
      <c r="A198" s="70" t="s">
        <v>812</v>
      </c>
      <c r="B198" s="77">
        <v>46057</v>
      </c>
      <c r="C198" s="71">
        <v>46085</v>
      </c>
      <c r="D198" s="66" t="s">
        <v>5</v>
      </c>
      <c r="E198" s="55" t="s">
        <v>813</v>
      </c>
      <c r="F198" s="111" t="s">
        <v>814</v>
      </c>
      <c r="G198" s="74"/>
      <c r="H198" s="74" t="s">
        <v>45</v>
      </c>
      <c r="I198" s="66">
        <v>7946.4</v>
      </c>
      <c r="J198" s="110">
        <v>529.76</v>
      </c>
      <c r="K198" s="70" t="s">
        <v>815</v>
      </c>
      <c r="L198" s="70" t="s">
        <v>812</v>
      </c>
      <c r="M198" s="74" t="s">
        <v>11</v>
      </c>
      <c r="N198" s="74" t="s">
        <v>115</v>
      </c>
      <c r="O198" s="67" t="s">
        <v>198</v>
      </c>
      <c r="P198" s="66"/>
      <c r="Q198" s="66"/>
      <c r="R198" s="66"/>
      <c r="S198" s="66"/>
      <c r="T198" s="66"/>
      <c r="U198" s="66"/>
      <c r="V198" s="66"/>
      <c r="W198" s="66"/>
      <c r="X198" s="68">
        <f t="shared" si="9"/>
        <v>2026</v>
      </c>
      <c r="Y198" s="68">
        <f t="shared" si="10"/>
        <v>3</v>
      </c>
      <c r="Z198" s="68">
        <f t="shared" si="11"/>
        <v>4</v>
      </c>
    </row>
    <row r="199" ht="409.5" hidden="1" spans="1:26">
      <c r="A199" s="70" t="s">
        <v>816</v>
      </c>
      <c r="B199" s="77">
        <v>46057</v>
      </c>
      <c r="C199" s="71">
        <v>46085</v>
      </c>
      <c r="D199" s="66" t="s">
        <v>5</v>
      </c>
      <c r="E199" s="55" t="s">
        <v>813</v>
      </c>
      <c r="F199" s="75" t="s">
        <v>817</v>
      </c>
      <c r="G199" s="74"/>
      <c r="H199" s="74" t="s">
        <v>47</v>
      </c>
      <c r="I199" s="66">
        <v>1710.3</v>
      </c>
      <c r="J199" s="110">
        <v>114.02</v>
      </c>
      <c r="K199" s="70" t="s">
        <v>815</v>
      </c>
      <c r="L199" s="70" t="s">
        <v>816</v>
      </c>
      <c r="M199" s="74" t="s">
        <v>11</v>
      </c>
      <c r="N199" s="74" t="s">
        <v>115</v>
      </c>
      <c r="O199" s="67" t="s">
        <v>198</v>
      </c>
      <c r="P199" s="66"/>
      <c r="Q199" s="66"/>
      <c r="R199" s="66"/>
      <c r="S199" s="66"/>
      <c r="T199" s="66"/>
      <c r="U199" s="66"/>
      <c r="V199" s="66"/>
      <c r="W199" s="66"/>
      <c r="X199" s="68">
        <f t="shared" si="9"/>
        <v>2026</v>
      </c>
      <c r="Y199" s="68">
        <f t="shared" si="10"/>
        <v>3</v>
      </c>
      <c r="Z199" s="68">
        <f t="shared" si="11"/>
        <v>4</v>
      </c>
    </row>
    <row r="200" ht="399" hidden="1" spans="1:26">
      <c r="A200" s="70" t="s">
        <v>818</v>
      </c>
      <c r="B200" s="77">
        <v>46059</v>
      </c>
      <c r="C200" s="71">
        <v>46085</v>
      </c>
      <c r="D200" s="66" t="s">
        <v>5</v>
      </c>
      <c r="E200" s="55" t="s">
        <v>819</v>
      </c>
      <c r="F200" s="112" t="s">
        <v>820</v>
      </c>
      <c r="G200" s="74"/>
      <c r="H200" s="74" t="s">
        <v>61</v>
      </c>
      <c r="I200" s="66">
        <v>3564.89</v>
      </c>
      <c r="J200" s="110">
        <v>1.79</v>
      </c>
      <c r="K200" s="70" t="s">
        <v>536</v>
      </c>
      <c r="L200" s="70" t="s">
        <v>818</v>
      </c>
      <c r="M200" s="74" t="s">
        <v>12</v>
      </c>
      <c r="N200" s="74" t="s">
        <v>115</v>
      </c>
      <c r="O200" s="67" t="s">
        <v>436</v>
      </c>
      <c r="P200" s="66"/>
      <c r="Q200" s="66"/>
      <c r="R200" s="66"/>
      <c r="S200" s="66"/>
      <c r="T200" s="66"/>
      <c r="U200" s="66"/>
      <c r="V200" s="66"/>
      <c r="W200" s="66"/>
      <c r="X200" s="68">
        <f t="shared" si="9"/>
        <v>2026</v>
      </c>
      <c r="Y200" s="68">
        <f t="shared" si="10"/>
        <v>3</v>
      </c>
      <c r="Z200" s="68">
        <f t="shared" si="11"/>
        <v>4</v>
      </c>
    </row>
    <row r="201" ht="41.65" hidden="1" spans="1:26">
      <c r="A201" s="70" t="s">
        <v>821</v>
      </c>
      <c r="B201" s="77">
        <v>46057</v>
      </c>
      <c r="C201" s="71">
        <v>46086</v>
      </c>
      <c r="D201" s="66" t="s">
        <v>5</v>
      </c>
      <c r="E201" s="55" t="s">
        <v>813</v>
      </c>
      <c r="F201" s="113" t="s">
        <v>822</v>
      </c>
      <c r="G201" s="74"/>
      <c r="H201" s="74" t="s">
        <v>44</v>
      </c>
      <c r="I201" s="66">
        <v>1081.5</v>
      </c>
      <c r="J201" s="110">
        <v>216.3</v>
      </c>
      <c r="K201" s="70" t="s">
        <v>815</v>
      </c>
      <c r="L201" s="70" t="s">
        <v>821</v>
      </c>
      <c r="M201" s="74" t="s">
        <v>11</v>
      </c>
      <c r="N201" s="74" t="s">
        <v>115</v>
      </c>
      <c r="O201" s="67" t="s">
        <v>198</v>
      </c>
      <c r="P201" s="66"/>
      <c r="Q201" s="66"/>
      <c r="R201" s="66"/>
      <c r="S201" s="66"/>
      <c r="T201" s="66"/>
      <c r="U201" s="66"/>
      <c r="V201" s="66"/>
      <c r="W201" s="66"/>
      <c r="X201" s="68">
        <f t="shared" si="9"/>
        <v>2026</v>
      </c>
      <c r="Y201" s="68">
        <f t="shared" si="10"/>
        <v>3</v>
      </c>
      <c r="Z201" s="68">
        <f t="shared" si="11"/>
        <v>5</v>
      </c>
    </row>
    <row r="202" ht="41.65" hidden="1" spans="1:26">
      <c r="A202" s="70" t="s">
        <v>823</v>
      </c>
      <c r="B202" s="77">
        <v>46057</v>
      </c>
      <c r="C202" s="71">
        <v>46086</v>
      </c>
      <c r="D202" s="66" t="s">
        <v>5</v>
      </c>
      <c r="E202" s="55" t="s">
        <v>813</v>
      </c>
      <c r="F202" s="113" t="s">
        <v>824</v>
      </c>
      <c r="G202" s="74"/>
      <c r="H202" s="74" t="s">
        <v>69</v>
      </c>
      <c r="I202" s="66">
        <v>5958.3</v>
      </c>
      <c r="J202" s="110">
        <v>397.22</v>
      </c>
      <c r="K202" s="70" t="s">
        <v>815</v>
      </c>
      <c r="L202" s="70" t="s">
        <v>823</v>
      </c>
      <c r="M202" s="74" t="s">
        <v>11</v>
      </c>
      <c r="N202" s="74" t="s">
        <v>115</v>
      </c>
      <c r="O202" s="67" t="s">
        <v>198</v>
      </c>
      <c r="P202" s="66"/>
      <c r="Q202" s="66"/>
      <c r="R202" s="66"/>
      <c r="S202" s="66"/>
      <c r="T202" s="66"/>
      <c r="U202" s="66"/>
      <c r="V202" s="66"/>
      <c r="W202" s="66"/>
      <c r="X202" s="68">
        <f t="shared" si="9"/>
        <v>2026</v>
      </c>
      <c r="Y202" s="68">
        <f t="shared" si="10"/>
        <v>3</v>
      </c>
      <c r="Z202" s="68">
        <f t="shared" si="11"/>
        <v>5</v>
      </c>
    </row>
    <row r="203" ht="374.25" hidden="1" spans="1:26">
      <c r="A203" s="67" t="s">
        <v>825</v>
      </c>
      <c r="B203" s="71">
        <v>46061</v>
      </c>
      <c r="C203" s="71">
        <v>46086</v>
      </c>
      <c r="D203" s="66" t="s">
        <v>5</v>
      </c>
      <c r="E203" s="55" t="s">
        <v>826</v>
      </c>
      <c r="F203" s="74" t="s">
        <v>827</v>
      </c>
      <c r="G203" s="74"/>
      <c r="H203" s="74" t="s">
        <v>61</v>
      </c>
      <c r="I203" s="66">
        <v>592.06</v>
      </c>
      <c r="J203" s="66">
        <v>84.58</v>
      </c>
      <c r="K203" s="67" t="s">
        <v>722</v>
      </c>
      <c r="L203" s="67" t="s">
        <v>825</v>
      </c>
      <c r="M203" s="74" t="s">
        <v>11</v>
      </c>
      <c r="N203" s="74" t="s">
        <v>115</v>
      </c>
      <c r="O203" s="67" t="s">
        <v>189</v>
      </c>
      <c r="P203" s="66"/>
      <c r="Q203" s="66"/>
      <c r="R203" s="66"/>
      <c r="S203" s="66"/>
      <c r="T203" s="66"/>
      <c r="U203" s="66"/>
      <c r="V203" s="66"/>
      <c r="W203" s="66"/>
      <c r="X203" s="68">
        <f t="shared" si="9"/>
        <v>2026</v>
      </c>
      <c r="Y203" s="68">
        <f t="shared" si="10"/>
        <v>3</v>
      </c>
      <c r="Z203" s="68">
        <f t="shared" si="11"/>
        <v>5</v>
      </c>
    </row>
    <row r="204" ht="374.25" hidden="1" spans="1:26">
      <c r="A204" s="66" t="s">
        <v>828</v>
      </c>
      <c r="B204" s="77">
        <v>46057</v>
      </c>
      <c r="C204" s="71">
        <v>46086</v>
      </c>
      <c r="D204" s="66" t="s">
        <v>5</v>
      </c>
      <c r="E204" s="55" t="s">
        <v>829</v>
      </c>
      <c r="F204" s="74" t="s">
        <v>830</v>
      </c>
      <c r="G204" s="74"/>
      <c r="H204" s="74" t="s">
        <v>69</v>
      </c>
      <c r="I204" s="66">
        <v>3825.3</v>
      </c>
      <c r="J204" s="66">
        <v>127.51</v>
      </c>
      <c r="K204" s="67" t="s">
        <v>831</v>
      </c>
      <c r="L204" s="66" t="s">
        <v>828</v>
      </c>
      <c r="M204" s="74" t="s">
        <v>10</v>
      </c>
      <c r="N204" s="74" t="s">
        <v>115</v>
      </c>
      <c r="O204" s="67" t="s">
        <v>546</v>
      </c>
      <c r="P204" s="66"/>
      <c r="Q204" s="66"/>
      <c r="R204" s="66"/>
      <c r="S204" s="66"/>
      <c r="T204" s="66"/>
      <c r="U204" s="66"/>
      <c r="V204" s="66"/>
      <c r="W204" s="66"/>
      <c r="X204" s="68">
        <f t="shared" si="9"/>
        <v>2026</v>
      </c>
      <c r="Y204" s="68">
        <f t="shared" si="10"/>
        <v>3</v>
      </c>
      <c r="Z204" s="68">
        <f t="shared" si="11"/>
        <v>5</v>
      </c>
    </row>
    <row r="205" ht="291" hidden="1" spans="1:26">
      <c r="A205" s="67" t="s">
        <v>832</v>
      </c>
      <c r="B205" s="77" t="s">
        <v>267</v>
      </c>
      <c r="C205" s="77" t="s">
        <v>267</v>
      </c>
      <c r="D205" s="66"/>
      <c r="E205" s="74" t="s">
        <v>833</v>
      </c>
      <c r="F205" s="74" t="s">
        <v>834</v>
      </c>
      <c r="G205" s="74"/>
      <c r="H205" s="74" t="s">
        <v>267</v>
      </c>
      <c r="I205" s="66"/>
      <c r="J205" s="66"/>
      <c r="K205" s="67"/>
      <c r="L205" s="66"/>
      <c r="M205" s="74" t="s">
        <v>13</v>
      </c>
      <c r="N205" s="74" t="s">
        <v>835</v>
      </c>
      <c r="O205" s="67" t="s">
        <v>273</v>
      </c>
      <c r="P205" s="66"/>
      <c r="Q205" s="66"/>
      <c r="R205" s="66"/>
      <c r="S205" s="66"/>
      <c r="T205" s="66"/>
      <c r="U205" s="66"/>
      <c r="V205" s="66"/>
      <c r="W205" s="66"/>
      <c r="X205" s="68" t="e">
        <f t="shared" si="9"/>
        <v>#VALUE!</v>
      </c>
      <c r="Y205" s="68" t="e">
        <f t="shared" si="10"/>
        <v>#VALUE!</v>
      </c>
      <c r="Z205" s="68" t="e">
        <f t="shared" si="11"/>
        <v>#VALUE!</v>
      </c>
    </row>
    <row r="206" ht="374.25" hidden="1" spans="1:26">
      <c r="A206" s="67" t="s">
        <v>836</v>
      </c>
      <c r="B206" s="71">
        <v>46061</v>
      </c>
      <c r="C206" s="71">
        <v>46086</v>
      </c>
      <c r="D206" s="66" t="s">
        <v>5</v>
      </c>
      <c r="E206" s="55" t="s">
        <v>837</v>
      </c>
      <c r="F206" s="74" t="s">
        <v>838</v>
      </c>
      <c r="G206" s="74"/>
      <c r="H206" s="74" t="s">
        <v>69</v>
      </c>
      <c r="I206" s="66">
        <v>62.94</v>
      </c>
      <c r="J206" s="66">
        <v>1258.8</v>
      </c>
      <c r="K206" s="67"/>
      <c r="L206" s="67" t="s">
        <v>839</v>
      </c>
      <c r="M206" s="74" t="s">
        <v>11</v>
      </c>
      <c r="N206" s="74" t="s">
        <v>115</v>
      </c>
      <c r="O206" s="67" t="s">
        <v>189</v>
      </c>
      <c r="P206" s="66"/>
      <c r="Q206" s="66"/>
      <c r="R206" s="66"/>
      <c r="S206" s="66"/>
      <c r="T206" s="66"/>
      <c r="U206" s="66"/>
      <c r="V206" s="66"/>
      <c r="W206" s="66"/>
      <c r="X206" s="68">
        <f t="shared" si="9"/>
        <v>2026</v>
      </c>
      <c r="Y206" s="68">
        <f t="shared" si="10"/>
        <v>3</v>
      </c>
      <c r="Z206" s="68">
        <f t="shared" si="11"/>
        <v>5</v>
      </c>
    </row>
    <row r="207" s="23" customFormat="1" ht="360.4" hidden="1" spans="1:26">
      <c r="A207" s="67" t="s">
        <v>840</v>
      </c>
      <c r="B207" s="71">
        <v>46063</v>
      </c>
      <c r="C207" s="71">
        <v>46090</v>
      </c>
      <c r="D207" s="66" t="s">
        <v>5</v>
      </c>
      <c r="E207" s="55" t="s">
        <v>841</v>
      </c>
      <c r="F207" s="74" t="s">
        <v>842</v>
      </c>
      <c r="G207" s="74"/>
      <c r="H207" s="74" t="s">
        <v>61</v>
      </c>
      <c r="I207" s="66">
        <v>3193.5</v>
      </c>
      <c r="J207" s="66">
        <v>638.7</v>
      </c>
      <c r="K207" s="67" t="s">
        <v>536</v>
      </c>
      <c r="L207" s="66" t="s">
        <v>840</v>
      </c>
      <c r="M207" s="74" t="s">
        <v>12</v>
      </c>
      <c r="N207" s="74" t="s">
        <v>115</v>
      </c>
      <c r="O207" s="35" t="s">
        <v>234</v>
      </c>
      <c r="P207" s="66"/>
      <c r="Q207" s="66"/>
      <c r="R207" s="66"/>
      <c r="S207" s="66"/>
      <c r="T207" s="66"/>
      <c r="U207" s="66"/>
      <c r="V207" s="66"/>
      <c r="W207" s="66"/>
      <c r="X207" s="85">
        <f t="shared" si="9"/>
        <v>2026</v>
      </c>
      <c r="Y207" s="85">
        <f t="shared" si="10"/>
        <v>3</v>
      </c>
      <c r="Z207" s="85">
        <f t="shared" si="11"/>
        <v>9</v>
      </c>
    </row>
    <row r="208" ht="409.5" hidden="1" spans="1:26">
      <c r="A208" s="66" t="s">
        <v>843</v>
      </c>
      <c r="B208" s="77">
        <v>46085</v>
      </c>
      <c r="C208" s="71">
        <v>46090</v>
      </c>
      <c r="D208" s="66" t="s">
        <v>422</v>
      </c>
      <c r="E208" s="55" t="s">
        <v>844</v>
      </c>
      <c r="F208" s="74" t="s">
        <v>845</v>
      </c>
      <c r="G208" s="74"/>
      <c r="H208" s="74" t="s">
        <v>37</v>
      </c>
      <c r="I208" s="66">
        <v>57203</v>
      </c>
      <c r="J208" s="66">
        <v>9625</v>
      </c>
      <c r="K208" s="114" t="s">
        <v>846</v>
      </c>
      <c r="L208" s="114" t="s">
        <v>847</v>
      </c>
      <c r="M208" s="74" t="s">
        <v>10</v>
      </c>
      <c r="N208" s="74" t="s">
        <v>115</v>
      </c>
      <c r="O208" s="67" t="s">
        <v>159</v>
      </c>
      <c r="P208" s="66"/>
      <c r="Q208" s="66"/>
      <c r="R208" s="66"/>
      <c r="S208" s="66"/>
      <c r="T208" s="66"/>
      <c r="U208" s="66"/>
      <c r="V208" s="66"/>
      <c r="W208" s="66"/>
      <c r="X208" s="68">
        <f t="shared" si="9"/>
        <v>2026</v>
      </c>
      <c r="Y208" s="68">
        <f t="shared" si="10"/>
        <v>3</v>
      </c>
      <c r="Z208" s="68">
        <f t="shared" si="11"/>
        <v>9</v>
      </c>
    </row>
    <row r="209" ht="388.15" hidden="1" spans="1:26">
      <c r="A209" s="67" t="s">
        <v>848</v>
      </c>
      <c r="B209" s="71">
        <v>46064</v>
      </c>
      <c r="C209" s="71">
        <v>46090</v>
      </c>
      <c r="D209" s="66" t="s">
        <v>5</v>
      </c>
      <c r="E209" s="74" t="s">
        <v>849</v>
      </c>
      <c r="F209" s="74" t="s">
        <v>850</v>
      </c>
      <c r="G209" s="74"/>
      <c r="H209" s="74" t="s">
        <v>62</v>
      </c>
      <c r="I209" s="66">
        <v>6881.5</v>
      </c>
      <c r="J209" s="66">
        <v>1031.03</v>
      </c>
      <c r="K209" s="67" t="s">
        <v>587</v>
      </c>
      <c r="L209" s="67" t="s">
        <v>848</v>
      </c>
      <c r="M209" s="74" t="s">
        <v>13</v>
      </c>
      <c r="N209" s="74" t="s">
        <v>115</v>
      </c>
      <c r="O209" s="67" t="s">
        <v>260</v>
      </c>
      <c r="P209" s="66"/>
      <c r="Q209" s="66"/>
      <c r="R209" s="66"/>
      <c r="S209" s="66"/>
      <c r="T209" s="66"/>
      <c r="U209" s="66"/>
      <c r="V209" s="66"/>
      <c r="W209" s="66"/>
      <c r="X209" s="68">
        <f t="shared" si="9"/>
        <v>2026</v>
      </c>
      <c r="Y209" s="68">
        <f t="shared" si="10"/>
        <v>3</v>
      </c>
      <c r="Z209" s="68">
        <f t="shared" si="11"/>
        <v>9</v>
      </c>
    </row>
    <row r="210" ht="409.5" hidden="1" spans="1:26">
      <c r="A210" s="67" t="s">
        <v>851</v>
      </c>
      <c r="B210" s="71">
        <v>46065</v>
      </c>
      <c r="C210" s="71">
        <v>46090</v>
      </c>
      <c r="D210" s="66" t="s">
        <v>5</v>
      </c>
      <c r="E210" s="55" t="s">
        <v>852</v>
      </c>
      <c r="F210" s="74" t="s">
        <v>853</v>
      </c>
      <c r="G210" s="74"/>
      <c r="H210" s="74" t="s">
        <v>69</v>
      </c>
      <c r="I210" s="66">
        <v>2394.7</v>
      </c>
      <c r="J210" s="66">
        <v>1497.048</v>
      </c>
      <c r="K210" s="66" t="s">
        <v>854</v>
      </c>
      <c r="L210" s="66" t="s">
        <v>851</v>
      </c>
      <c r="M210" s="74" t="s">
        <v>10</v>
      </c>
      <c r="N210" s="74" t="s">
        <v>115</v>
      </c>
      <c r="O210" s="67" t="s">
        <v>159</v>
      </c>
      <c r="P210" s="66"/>
      <c r="Q210" s="66"/>
      <c r="R210" s="66"/>
      <c r="S210" s="66"/>
      <c r="T210" s="66"/>
      <c r="U210" s="66"/>
      <c r="V210" s="66"/>
      <c r="W210" s="66"/>
      <c r="X210" s="68">
        <f t="shared" si="9"/>
        <v>2026</v>
      </c>
      <c r="Y210" s="68">
        <f t="shared" si="10"/>
        <v>3</v>
      </c>
      <c r="Z210" s="68">
        <f t="shared" si="11"/>
        <v>9</v>
      </c>
    </row>
    <row r="211" ht="374.25" hidden="1" spans="1:26">
      <c r="A211" s="79" t="s">
        <v>855</v>
      </c>
      <c r="B211" s="93">
        <v>46050</v>
      </c>
      <c r="C211" s="93">
        <v>46087</v>
      </c>
      <c r="D211" s="83" t="s">
        <v>5</v>
      </c>
      <c r="E211" s="82" t="s">
        <v>856</v>
      </c>
      <c r="F211" s="82" t="s">
        <v>857</v>
      </c>
      <c r="G211" s="82"/>
      <c r="H211" s="82" t="s">
        <v>34</v>
      </c>
      <c r="I211" s="83">
        <v>1538.22</v>
      </c>
      <c r="J211" s="83">
        <v>1490.8</v>
      </c>
      <c r="K211" s="79" t="s">
        <v>489</v>
      </c>
      <c r="L211" s="79" t="s">
        <v>855</v>
      </c>
      <c r="M211" s="82" t="s">
        <v>12</v>
      </c>
      <c r="N211" s="82" t="s">
        <v>115</v>
      </c>
      <c r="O211" s="79" t="s">
        <v>482</v>
      </c>
      <c r="P211" s="83"/>
      <c r="Q211" s="83"/>
      <c r="R211" s="83"/>
      <c r="S211" s="83"/>
      <c r="T211" s="83"/>
      <c r="U211" s="83"/>
      <c r="V211" s="83"/>
      <c r="W211" s="83"/>
      <c r="X211" s="68">
        <f t="shared" si="9"/>
        <v>2026</v>
      </c>
      <c r="Y211" s="68">
        <f t="shared" si="10"/>
        <v>3</v>
      </c>
      <c r="Z211" s="68">
        <f t="shared" si="11"/>
        <v>6</v>
      </c>
    </row>
    <row r="212" ht="318.75" hidden="1" spans="1:26">
      <c r="A212" s="115" t="s">
        <v>858</v>
      </c>
      <c r="B212" s="71">
        <v>46056</v>
      </c>
      <c r="C212" s="71">
        <v>46092</v>
      </c>
      <c r="D212" s="83" t="s">
        <v>5</v>
      </c>
      <c r="E212" s="82" t="s">
        <v>859</v>
      </c>
      <c r="F212" s="74" t="s">
        <v>860</v>
      </c>
      <c r="G212" s="74"/>
      <c r="H212" s="74" t="s">
        <v>61</v>
      </c>
      <c r="I212" s="74">
        <v>2144.2</v>
      </c>
      <c r="J212" s="74">
        <v>428.84</v>
      </c>
      <c r="K212" s="79" t="s">
        <v>536</v>
      </c>
      <c r="L212" s="79" t="s">
        <v>858</v>
      </c>
      <c r="M212" s="79" t="s">
        <v>12</v>
      </c>
      <c r="N212" s="82" t="s">
        <v>115</v>
      </c>
      <c r="O212" s="74" t="s">
        <v>436</v>
      </c>
      <c r="P212" s="66"/>
      <c r="Q212" s="66"/>
      <c r="R212" s="66"/>
      <c r="S212" s="66"/>
      <c r="T212" s="66"/>
      <c r="U212" s="66"/>
      <c r="V212" s="66"/>
      <c r="W212" s="66"/>
      <c r="X212" s="68">
        <f t="shared" si="9"/>
        <v>2026</v>
      </c>
      <c r="Y212" s="68">
        <f t="shared" si="10"/>
        <v>3</v>
      </c>
      <c r="Z212" s="68">
        <f t="shared" si="11"/>
        <v>11</v>
      </c>
    </row>
    <row r="213" ht="207.75" hidden="1" spans="1:26">
      <c r="A213" s="115" t="s">
        <v>861</v>
      </c>
      <c r="B213" s="71">
        <v>46030</v>
      </c>
      <c r="C213" s="71">
        <v>46092</v>
      </c>
      <c r="D213" s="83" t="s">
        <v>5</v>
      </c>
      <c r="E213" s="82" t="s">
        <v>859</v>
      </c>
      <c r="F213" s="74" t="s">
        <v>862</v>
      </c>
      <c r="G213" s="74"/>
      <c r="H213" s="74" t="s">
        <v>61</v>
      </c>
      <c r="I213" s="74" t="s">
        <v>863</v>
      </c>
      <c r="J213" s="74">
        <v>139.07</v>
      </c>
      <c r="K213" s="79" t="s">
        <v>864</v>
      </c>
      <c r="L213" s="79" t="s">
        <v>861</v>
      </c>
      <c r="M213" s="79" t="s">
        <v>12</v>
      </c>
      <c r="N213" s="82" t="s">
        <v>115</v>
      </c>
      <c r="O213" s="74" t="s">
        <v>436</v>
      </c>
      <c r="P213" s="66"/>
      <c r="Q213" s="66"/>
      <c r="R213" s="66"/>
      <c r="S213" s="66"/>
      <c r="T213" s="66"/>
      <c r="U213" s="66"/>
      <c r="V213" s="66"/>
      <c r="W213" s="66"/>
      <c r="X213" s="68">
        <f t="shared" si="9"/>
        <v>2026</v>
      </c>
      <c r="Y213" s="68">
        <f t="shared" si="10"/>
        <v>3</v>
      </c>
      <c r="Z213" s="68">
        <f t="shared" si="11"/>
        <v>11</v>
      </c>
    </row>
    <row r="214" ht="374.25" hidden="1" spans="1:26">
      <c r="A214" s="66" t="s">
        <v>865</v>
      </c>
      <c r="B214" s="71">
        <v>46067</v>
      </c>
      <c r="C214" s="71">
        <v>46092</v>
      </c>
      <c r="D214" s="83" t="s">
        <v>5</v>
      </c>
      <c r="E214" s="74" t="s">
        <v>866</v>
      </c>
      <c r="F214" s="74" t="s">
        <v>867</v>
      </c>
      <c r="G214" s="74"/>
      <c r="H214" s="74" t="s">
        <v>61</v>
      </c>
      <c r="I214" s="66">
        <v>505.6</v>
      </c>
      <c r="J214" s="66">
        <v>58.46</v>
      </c>
      <c r="K214" s="67"/>
      <c r="L214" s="66" t="s">
        <v>865</v>
      </c>
      <c r="M214" s="74" t="s">
        <v>10</v>
      </c>
      <c r="N214" s="82" t="s">
        <v>115</v>
      </c>
      <c r="O214" s="67" t="s">
        <v>431</v>
      </c>
      <c r="P214" s="66"/>
      <c r="Q214" s="66"/>
      <c r="R214" s="66"/>
      <c r="S214" s="66"/>
      <c r="T214" s="66"/>
      <c r="U214" s="66"/>
      <c r="V214" s="66"/>
      <c r="W214" s="66"/>
      <c r="X214" s="68">
        <f t="shared" si="9"/>
        <v>2026</v>
      </c>
      <c r="Y214" s="68">
        <f t="shared" si="10"/>
        <v>3</v>
      </c>
      <c r="Z214" s="68">
        <f t="shared" si="11"/>
        <v>11</v>
      </c>
    </row>
    <row r="215" ht="409.5" hidden="1" spans="1:26">
      <c r="A215" s="66"/>
      <c r="B215" s="71">
        <v>46085</v>
      </c>
      <c r="C215" s="71">
        <v>46092</v>
      </c>
      <c r="D215" s="83" t="s">
        <v>5</v>
      </c>
      <c r="E215" s="74" t="s">
        <v>868</v>
      </c>
      <c r="F215" s="74" t="s">
        <v>869</v>
      </c>
      <c r="G215" s="74"/>
      <c r="H215" s="74" t="s">
        <v>56</v>
      </c>
      <c r="I215" s="66">
        <v>5360</v>
      </c>
      <c r="J215" s="66">
        <v>5.36</v>
      </c>
      <c r="K215" s="67"/>
      <c r="L215" s="66" t="s">
        <v>870</v>
      </c>
      <c r="M215" s="74" t="s">
        <v>10</v>
      </c>
      <c r="N215" s="82" t="s">
        <v>115</v>
      </c>
      <c r="O215" s="67" t="s">
        <v>431</v>
      </c>
      <c r="P215" s="66"/>
      <c r="Q215" s="66"/>
      <c r="R215" s="66"/>
      <c r="S215" s="66"/>
      <c r="T215" s="66"/>
      <c r="U215" s="66"/>
      <c r="V215" s="66"/>
      <c r="W215" s="66"/>
      <c r="X215" s="68">
        <f t="shared" si="9"/>
        <v>2026</v>
      </c>
      <c r="Y215" s="68">
        <f t="shared" si="10"/>
        <v>3</v>
      </c>
      <c r="Z215" s="68">
        <f t="shared" si="11"/>
        <v>11</v>
      </c>
    </row>
    <row r="216" ht="360.4" hidden="1" spans="1:26">
      <c r="A216" s="66" t="s">
        <v>687</v>
      </c>
      <c r="B216" s="71">
        <v>46083</v>
      </c>
      <c r="C216" s="71">
        <v>46092</v>
      </c>
      <c r="D216" s="67" t="s">
        <v>5</v>
      </c>
      <c r="E216" s="74" t="s">
        <v>871</v>
      </c>
      <c r="F216" s="74" t="s">
        <v>872</v>
      </c>
      <c r="G216" s="74"/>
      <c r="H216" s="74" t="s">
        <v>69</v>
      </c>
      <c r="I216" s="66">
        <v>1882.2</v>
      </c>
      <c r="J216" s="66">
        <v>62.74</v>
      </c>
      <c r="K216" s="67"/>
      <c r="L216" s="66" t="s">
        <v>687</v>
      </c>
      <c r="M216" s="74" t="s">
        <v>10</v>
      </c>
      <c r="N216" s="74" t="s">
        <v>115</v>
      </c>
      <c r="O216" s="67" t="s">
        <v>229</v>
      </c>
      <c r="P216" s="66"/>
      <c r="Q216" s="66"/>
      <c r="R216" s="66"/>
      <c r="S216" s="66"/>
      <c r="T216" s="66"/>
      <c r="U216" s="66"/>
      <c r="V216" s="66"/>
      <c r="W216" s="66"/>
      <c r="X216" s="68">
        <f t="shared" si="9"/>
        <v>2026</v>
      </c>
      <c r="Y216" s="68">
        <f t="shared" si="10"/>
        <v>3</v>
      </c>
      <c r="Z216" s="68">
        <f t="shared" si="11"/>
        <v>11</v>
      </c>
    </row>
    <row r="217" ht="360.4" hidden="1" spans="1:26">
      <c r="A217" s="66" t="s">
        <v>873</v>
      </c>
      <c r="B217" s="71">
        <v>46080</v>
      </c>
      <c r="C217" s="71">
        <v>46092</v>
      </c>
      <c r="D217" s="67" t="s">
        <v>5</v>
      </c>
      <c r="E217" s="74" t="s">
        <v>874</v>
      </c>
      <c r="F217" s="74" t="s">
        <v>875</v>
      </c>
      <c r="G217" s="74"/>
      <c r="H217" s="74" t="s">
        <v>62</v>
      </c>
      <c r="I217" s="66">
        <v>24984.2</v>
      </c>
      <c r="J217" s="66">
        <v>2498.42</v>
      </c>
      <c r="K217" s="67"/>
      <c r="L217" s="66" t="s">
        <v>873</v>
      </c>
      <c r="M217" s="74" t="s">
        <v>10</v>
      </c>
      <c r="N217" s="74" t="s">
        <v>115</v>
      </c>
      <c r="O217" s="67" t="s">
        <v>229</v>
      </c>
      <c r="P217" s="66"/>
      <c r="Q217" s="66"/>
      <c r="R217" s="66"/>
      <c r="S217" s="66"/>
      <c r="T217" s="66"/>
      <c r="U217" s="66"/>
      <c r="V217" s="66"/>
      <c r="W217" s="66"/>
      <c r="X217" s="68">
        <f t="shared" si="9"/>
        <v>2026</v>
      </c>
      <c r="Y217" s="68">
        <f t="shared" si="10"/>
        <v>3</v>
      </c>
      <c r="Z217" s="68">
        <f t="shared" si="11"/>
        <v>11</v>
      </c>
    </row>
    <row r="218" ht="409.5" hidden="1" spans="1:26">
      <c r="A218" s="67" t="s">
        <v>876</v>
      </c>
      <c r="B218" s="71">
        <v>46055</v>
      </c>
      <c r="C218" s="71">
        <v>46092</v>
      </c>
      <c r="D218" s="67" t="s">
        <v>5</v>
      </c>
      <c r="E218" s="44" t="s">
        <v>877</v>
      </c>
      <c r="F218" s="116" t="s">
        <v>878</v>
      </c>
      <c r="G218" s="74"/>
      <c r="H218" s="74" t="s">
        <v>69</v>
      </c>
      <c r="I218" s="45">
        <v>8626.5</v>
      </c>
      <c r="J218" s="45">
        <v>862.65</v>
      </c>
      <c r="K218" s="67"/>
      <c r="L218" s="44" t="s">
        <v>876</v>
      </c>
      <c r="M218" s="74" t="s">
        <v>11</v>
      </c>
      <c r="N218" s="74" t="s">
        <v>115</v>
      </c>
      <c r="O218" s="67" t="s">
        <v>189</v>
      </c>
      <c r="P218" s="66"/>
      <c r="Q218" s="66"/>
      <c r="R218" s="66"/>
      <c r="S218" s="66"/>
      <c r="T218" s="66"/>
      <c r="U218" s="66"/>
      <c r="V218" s="66"/>
      <c r="W218" s="66"/>
      <c r="X218" s="68">
        <f t="shared" si="9"/>
        <v>2026</v>
      </c>
      <c r="Y218" s="68">
        <f t="shared" si="10"/>
        <v>3</v>
      </c>
      <c r="Z218" s="68">
        <f t="shared" si="11"/>
        <v>11</v>
      </c>
    </row>
    <row r="219" ht="409.5" hidden="1" spans="1:26">
      <c r="A219" s="67" t="s">
        <v>876</v>
      </c>
      <c r="B219" s="71">
        <v>46031</v>
      </c>
      <c r="C219" s="71">
        <v>46092</v>
      </c>
      <c r="D219" s="67" t="s">
        <v>5</v>
      </c>
      <c r="E219" s="74" t="s">
        <v>879</v>
      </c>
      <c r="F219" s="74" t="s">
        <v>880</v>
      </c>
      <c r="G219" s="74"/>
      <c r="H219" s="74" t="s">
        <v>62</v>
      </c>
      <c r="I219" s="66">
        <v>528.77</v>
      </c>
      <c r="J219" s="66">
        <v>9902.1</v>
      </c>
      <c r="K219" s="67"/>
      <c r="L219" s="44" t="s">
        <v>876</v>
      </c>
      <c r="M219" s="74" t="s">
        <v>11</v>
      </c>
      <c r="N219" s="74" t="s">
        <v>115</v>
      </c>
      <c r="O219" s="67" t="s">
        <v>189</v>
      </c>
      <c r="P219" s="66"/>
      <c r="Q219" s="66"/>
      <c r="R219" s="66"/>
      <c r="S219" s="66"/>
      <c r="T219" s="66"/>
      <c r="U219" s="66"/>
      <c r="V219" s="66"/>
      <c r="W219" s="66"/>
      <c r="X219" s="68">
        <f t="shared" si="9"/>
        <v>2026</v>
      </c>
      <c r="Y219" s="68">
        <f t="shared" si="10"/>
        <v>3</v>
      </c>
      <c r="Z219" s="68">
        <f t="shared" si="11"/>
        <v>11</v>
      </c>
    </row>
    <row r="220" ht="409.5" hidden="1" spans="1:26">
      <c r="A220" s="66" t="s">
        <v>881</v>
      </c>
      <c r="B220" s="71">
        <v>46067</v>
      </c>
      <c r="C220" s="71">
        <v>46093</v>
      </c>
      <c r="D220" s="67" t="s">
        <v>5</v>
      </c>
      <c r="E220" s="74" t="s">
        <v>882</v>
      </c>
      <c r="F220" s="74" t="s">
        <v>883</v>
      </c>
      <c r="G220" s="74"/>
      <c r="H220" s="74" t="s">
        <v>69</v>
      </c>
      <c r="I220" s="66">
        <v>1321.2</v>
      </c>
      <c r="J220" s="66">
        <v>132.12</v>
      </c>
      <c r="K220" s="67" t="s">
        <v>884</v>
      </c>
      <c r="L220" s="67" t="s">
        <v>885</v>
      </c>
      <c r="M220" s="74" t="s">
        <v>10</v>
      </c>
      <c r="N220" s="74" t="s">
        <v>115</v>
      </c>
      <c r="O220" s="67" t="s">
        <v>149</v>
      </c>
      <c r="P220" s="66"/>
      <c r="Q220" s="66"/>
      <c r="R220" s="66"/>
      <c r="S220" s="66"/>
      <c r="T220" s="66"/>
      <c r="U220" s="66"/>
      <c r="V220" s="66"/>
      <c r="W220" s="66"/>
      <c r="X220" s="68">
        <f t="shared" si="9"/>
        <v>2026</v>
      </c>
      <c r="Y220" s="68">
        <f t="shared" si="10"/>
        <v>3</v>
      </c>
      <c r="Z220" s="68">
        <f t="shared" si="11"/>
        <v>12</v>
      </c>
    </row>
    <row r="221" ht="409.5" hidden="1" spans="1:26">
      <c r="A221" s="67" t="s">
        <v>886</v>
      </c>
      <c r="B221" s="71">
        <v>46067</v>
      </c>
      <c r="C221" s="71">
        <v>46093</v>
      </c>
      <c r="D221" s="67" t="s">
        <v>5</v>
      </c>
      <c r="E221" s="74" t="s">
        <v>887</v>
      </c>
      <c r="F221" s="74" t="s">
        <v>888</v>
      </c>
      <c r="G221" s="74"/>
      <c r="H221" s="74" t="s">
        <v>64</v>
      </c>
      <c r="I221" s="105">
        <v>8926.81</v>
      </c>
      <c r="J221" s="105">
        <v>563.98</v>
      </c>
      <c r="K221" s="67" t="s">
        <v>745</v>
      </c>
      <c r="L221" s="67" t="s">
        <v>886</v>
      </c>
      <c r="M221" s="74" t="s">
        <v>10</v>
      </c>
      <c r="N221" s="74" t="s">
        <v>115</v>
      </c>
      <c r="O221" s="67" t="s">
        <v>149</v>
      </c>
      <c r="P221" s="66"/>
      <c r="Q221" s="66"/>
      <c r="R221" s="66"/>
      <c r="S221" s="66"/>
      <c r="T221" s="66"/>
      <c r="U221" s="66"/>
      <c r="V221" s="66"/>
      <c r="W221" s="66"/>
      <c r="X221" s="68">
        <f t="shared" si="9"/>
        <v>2026</v>
      </c>
      <c r="Y221" s="68">
        <f t="shared" si="10"/>
        <v>3</v>
      </c>
      <c r="Z221" s="68">
        <f t="shared" si="11"/>
        <v>12</v>
      </c>
    </row>
    <row r="222" ht="409.5" hidden="1" spans="1:26">
      <c r="A222" s="67" t="s">
        <v>889</v>
      </c>
      <c r="B222" s="77" t="s">
        <v>890</v>
      </c>
      <c r="C222" s="71">
        <v>46094</v>
      </c>
      <c r="D222" s="66" t="s">
        <v>5</v>
      </c>
      <c r="E222" s="74" t="s">
        <v>891</v>
      </c>
      <c r="F222" s="74" t="s">
        <v>892</v>
      </c>
      <c r="G222" s="74"/>
      <c r="H222" s="74" t="s">
        <v>61</v>
      </c>
      <c r="I222" s="66">
        <v>5000</v>
      </c>
      <c r="J222" s="66">
        <v>305.84</v>
      </c>
      <c r="K222" s="67"/>
      <c r="L222" s="67" t="s">
        <v>889</v>
      </c>
      <c r="M222" s="74" t="s">
        <v>14</v>
      </c>
      <c r="N222" s="74" t="s">
        <v>115</v>
      </c>
      <c r="O222" s="67" t="s">
        <v>284</v>
      </c>
      <c r="P222" s="66"/>
      <c r="Q222" s="66"/>
      <c r="R222" s="66"/>
      <c r="S222" s="66"/>
      <c r="T222" s="66"/>
      <c r="U222" s="66"/>
      <c r="V222" s="66"/>
      <c r="W222" s="66"/>
      <c r="X222" s="68">
        <f t="shared" si="9"/>
        <v>2026</v>
      </c>
      <c r="Y222" s="68">
        <f t="shared" si="10"/>
        <v>3</v>
      </c>
      <c r="Z222" s="68">
        <f t="shared" si="11"/>
        <v>13</v>
      </c>
    </row>
    <row r="223" ht="409.5" hidden="1" spans="1:26">
      <c r="A223" s="67" t="s">
        <v>893</v>
      </c>
      <c r="B223" s="71">
        <v>46081</v>
      </c>
      <c r="C223" s="71">
        <v>46094</v>
      </c>
      <c r="D223" s="66" t="s">
        <v>5</v>
      </c>
      <c r="E223" s="74" t="s">
        <v>592</v>
      </c>
      <c r="F223" s="74" t="s">
        <v>894</v>
      </c>
      <c r="G223" s="74"/>
      <c r="H223" s="74" t="s">
        <v>69</v>
      </c>
      <c r="I223" s="66">
        <v>5804.06</v>
      </c>
      <c r="J223" s="66">
        <v>174.67</v>
      </c>
      <c r="K223" s="67" t="s">
        <v>895</v>
      </c>
      <c r="L223" s="67" t="s">
        <v>893</v>
      </c>
      <c r="M223" s="74" t="s">
        <v>13</v>
      </c>
      <c r="N223" s="74" t="s">
        <v>115</v>
      </c>
      <c r="O223" s="67" t="s">
        <v>293</v>
      </c>
      <c r="P223" s="66"/>
      <c r="Q223" s="66"/>
      <c r="R223" s="66"/>
      <c r="S223" s="66"/>
      <c r="T223" s="66"/>
      <c r="U223" s="66"/>
      <c r="V223" s="66"/>
      <c r="W223" s="66"/>
      <c r="X223" s="68">
        <f t="shared" si="9"/>
        <v>2026</v>
      </c>
      <c r="Y223" s="68">
        <f t="shared" si="10"/>
        <v>3</v>
      </c>
      <c r="Z223" s="68">
        <f t="shared" si="11"/>
        <v>13</v>
      </c>
    </row>
    <row r="224" ht="409.5" hidden="1" spans="1:26">
      <c r="A224" s="67" t="s">
        <v>896</v>
      </c>
      <c r="B224" s="71">
        <v>46063</v>
      </c>
      <c r="C224" s="71">
        <v>46094</v>
      </c>
      <c r="D224" s="66" t="s">
        <v>5</v>
      </c>
      <c r="E224" s="74" t="s">
        <v>897</v>
      </c>
      <c r="F224" s="74" t="s">
        <v>898</v>
      </c>
      <c r="G224" s="74"/>
      <c r="H224" s="74" t="s">
        <v>61</v>
      </c>
      <c r="I224" s="66">
        <v>7729.8</v>
      </c>
      <c r="J224" s="66">
        <v>515.32</v>
      </c>
      <c r="K224" s="67" t="s">
        <v>899</v>
      </c>
      <c r="L224" s="67" t="s">
        <v>896</v>
      </c>
      <c r="M224" s="74" t="s">
        <v>13</v>
      </c>
      <c r="N224" s="74" t="s">
        <v>115</v>
      </c>
      <c r="O224" s="67" t="s">
        <v>900</v>
      </c>
      <c r="P224" s="66"/>
      <c r="Q224" s="66"/>
      <c r="R224" s="66"/>
      <c r="S224" s="66"/>
      <c r="T224" s="66"/>
      <c r="U224" s="66"/>
      <c r="V224" s="66"/>
      <c r="W224" s="66"/>
      <c r="X224" s="68">
        <f t="shared" si="9"/>
        <v>2026</v>
      </c>
      <c r="Y224" s="68">
        <f t="shared" si="10"/>
        <v>3</v>
      </c>
      <c r="Z224" s="68">
        <f t="shared" si="11"/>
        <v>13</v>
      </c>
    </row>
    <row r="225" ht="409.5" hidden="1" spans="1:26">
      <c r="A225" s="67" t="s">
        <v>901</v>
      </c>
      <c r="B225" s="71">
        <v>46051</v>
      </c>
      <c r="C225" s="71">
        <v>46094</v>
      </c>
      <c r="D225" s="67" t="s">
        <v>5</v>
      </c>
      <c r="E225" s="74" t="s">
        <v>902</v>
      </c>
      <c r="F225" s="74" t="s">
        <v>903</v>
      </c>
      <c r="G225" s="74"/>
      <c r="H225" s="74" t="s">
        <v>65</v>
      </c>
      <c r="I225" s="66">
        <v>6971.7</v>
      </c>
      <c r="J225" s="66">
        <v>397.59</v>
      </c>
      <c r="K225" s="67" t="s">
        <v>899</v>
      </c>
      <c r="L225" s="67" t="s">
        <v>901</v>
      </c>
      <c r="M225" s="74" t="s">
        <v>13</v>
      </c>
      <c r="N225" s="74" t="s">
        <v>115</v>
      </c>
      <c r="O225" s="67" t="s">
        <v>900</v>
      </c>
      <c r="P225" s="66"/>
      <c r="Q225" s="66"/>
      <c r="R225" s="66"/>
      <c r="S225" s="66"/>
      <c r="T225" s="66"/>
      <c r="U225" s="66"/>
      <c r="V225" s="66"/>
      <c r="W225" s="66"/>
      <c r="X225" s="68">
        <f t="shared" si="9"/>
        <v>2026</v>
      </c>
      <c r="Y225" s="68">
        <f t="shared" si="10"/>
        <v>3</v>
      </c>
      <c r="Z225" s="68">
        <f t="shared" si="11"/>
        <v>13</v>
      </c>
    </row>
    <row r="226" ht="382.5" hidden="1" spans="1:26">
      <c r="A226" s="58" t="s">
        <v>904</v>
      </c>
      <c r="B226" s="71">
        <v>46086</v>
      </c>
      <c r="C226" s="71">
        <v>46094</v>
      </c>
      <c r="D226" s="66" t="s">
        <v>5</v>
      </c>
      <c r="E226" s="59" t="s">
        <v>905</v>
      </c>
      <c r="F226" s="117" t="s">
        <v>906</v>
      </c>
      <c r="G226" s="74" t="s">
        <v>907</v>
      </c>
      <c r="H226" s="74" t="s">
        <v>61</v>
      </c>
      <c r="I226" s="66">
        <v>2414.4</v>
      </c>
      <c r="J226" s="66">
        <v>301.8</v>
      </c>
      <c r="K226" s="67"/>
      <c r="L226" s="66" t="s">
        <v>904</v>
      </c>
      <c r="M226" s="74" t="s">
        <v>12</v>
      </c>
      <c r="N226" s="74" t="s">
        <v>115</v>
      </c>
      <c r="O226" s="67" t="s">
        <v>482</v>
      </c>
      <c r="P226" s="66"/>
      <c r="Q226" s="66"/>
      <c r="R226" s="66"/>
      <c r="S226" s="66"/>
      <c r="T226" s="66"/>
      <c r="U226" s="66"/>
      <c r="V226" s="66"/>
      <c r="W226" s="66"/>
      <c r="X226" s="68">
        <f t="shared" si="9"/>
        <v>2026</v>
      </c>
      <c r="Y226" s="68">
        <f t="shared" si="10"/>
        <v>3</v>
      </c>
      <c r="Z226" s="68">
        <f t="shared" si="11"/>
        <v>13</v>
      </c>
    </row>
    <row r="227" ht="409.5" hidden="1" spans="1:26">
      <c r="A227" s="67" t="s">
        <v>908</v>
      </c>
      <c r="B227" s="71">
        <v>46095</v>
      </c>
      <c r="C227" s="71">
        <v>46097</v>
      </c>
      <c r="D227" s="66" t="s">
        <v>5</v>
      </c>
      <c r="E227" s="74" t="s">
        <v>909</v>
      </c>
      <c r="F227" s="74" t="s">
        <v>910</v>
      </c>
      <c r="G227" s="74" t="s">
        <v>907</v>
      </c>
      <c r="H227" s="74" t="s">
        <v>61</v>
      </c>
      <c r="I227" s="66">
        <v>5117.1</v>
      </c>
      <c r="J227" s="66">
        <v>1023.42</v>
      </c>
      <c r="K227" s="67"/>
      <c r="L227" s="66" t="s">
        <v>911</v>
      </c>
      <c r="M227" s="74" t="s">
        <v>12</v>
      </c>
      <c r="N227" s="74" t="s">
        <v>115</v>
      </c>
      <c r="O227" s="67" t="s">
        <v>168</v>
      </c>
      <c r="P227" s="66"/>
      <c r="Q227" s="66"/>
      <c r="R227" s="66"/>
      <c r="S227" s="66"/>
      <c r="T227" s="66"/>
      <c r="U227" s="66"/>
      <c r="V227" s="66"/>
      <c r="W227" s="66"/>
      <c r="X227" s="68">
        <f t="shared" si="9"/>
        <v>2026</v>
      </c>
      <c r="Y227" s="68">
        <f t="shared" si="10"/>
        <v>3</v>
      </c>
      <c r="Z227" s="68">
        <f t="shared" si="11"/>
        <v>16</v>
      </c>
    </row>
    <row r="228" ht="409.5" hidden="1" spans="1:26">
      <c r="A228" s="66" t="s">
        <v>912</v>
      </c>
      <c r="B228" s="71">
        <v>46049</v>
      </c>
      <c r="C228" s="71">
        <v>46097</v>
      </c>
      <c r="D228" s="66" t="s">
        <v>5</v>
      </c>
      <c r="E228" s="44" t="s">
        <v>913</v>
      </c>
      <c r="F228" s="74" t="s">
        <v>914</v>
      </c>
      <c r="G228" s="74" t="s">
        <v>907</v>
      </c>
      <c r="H228" s="74" t="s">
        <v>48</v>
      </c>
      <c r="I228" s="45">
        <v>14231.6</v>
      </c>
      <c r="J228" s="45">
        <v>711.58</v>
      </c>
      <c r="K228" s="45" t="s">
        <v>915</v>
      </c>
      <c r="L228" s="44" t="s">
        <v>912</v>
      </c>
      <c r="M228" s="74" t="s">
        <v>11</v>
      </c>
      <c r="N228" s="74" t="s">
        <v>115</v>
      </c>
      <c r="O228" s="67" t="s">
        <v>189</v>
      </c>
      <c r="P228" s="66"/>
      <c r="Q228" s="66"/>
      <c r="R228" s="66"/>
      <c r="S228" s="66"/>
      <c r="T228" s="66"/>
      <c r="U228" s="66"/>
      <c r="V228" s="66"/>
      <c r="W228" s="66"/>
      <c r="X228" s="68">
        <f t="shared" si="9"/>
        <v>2026</v>
      </c>
      <c r="Y228" s="68">
        <f t="shared" si="10"/>
        <v>3</v>
      </c>
      <c r="Z228" s="68">
        <f t="shared" si="11"/>
        <v>16</v>
      </c>
    </row>
    <row r="229" ht="409.5" hidden="1" spans="1:26">
      <c r="A229" s="66" t="s">
        <v>912</v>
      </c>
      <c r="B229" s="71">
        <v>46045</v>
      </c>
      <c r="C229" s="71">
        <v>46097</v>
      </c>
      <c r="D229" s="66" t="s">
        <v>5</v>
      </c>
      <c r="E229" s="44" t="s">
        <v>916</v>
      </c>
      <c r="F229" s="74" t="s">
        <v>917</v>
      </c>
      <c r="G229" s="74"/>
      <c r="H229" s="74" t="s">
        <v>66</v>
      </c>
      <c r="I229" s="66">
        <v>15682.4</v>
      </c>
      <c r="J229" s="66">
        <v>784.12</v>
      </c>
      <c r="K229" s="45" t="s">
        <v>918</v>
      </c>
      <c r="L229" s="44" t="s">
        <v>912</v>
      </c>
      <c r="M229" s="74" t="s">
        <v>11</v>
      </c>
      <c r="N229" s="74" t="s">
        <v>115</v>
      </c>
      <c r="O229" s="67" t="s">
        <v>189</v>
      </c>
      <c r="P229" s="66"/>
      <c r="Q229" s="66"/>
      <c r="R229" s="66"/>
      <c r="S229" s="66"/>
      <c r="T229" s="66"/>
      <c r="U229" s="66"/>
      <c r="V229" s="66"/>
      <c r="W229" s="66"/>
      <c r="X229" s="68">
        <f t="shared" si="9"/>
        <v>2026</v>
      </c>
      <c r="Y229" s="68">
        <f t="shared" si="10"/>
        <v>3</v>
      </c>
      <c r="Z229" s="68">
        <f t="shared" si="11"/>
        <v>16</v>
      </c>
    </row>
    <row r="230" ht="409.5" hidden="1" spans="1:26">
      <c r="A230" s="66" t="s">
        <v>919</v>
      </c>
      <c r="B230" s="71">
        <v>46069</v>
      </c>
      <c r="C230" s="71">
        <v>46098</v>
      </c>
      <c r="D230" s="66" t="s">
        <v>5</v>
      </c>
      <c r="E230" s="44" t="s">
        <v>920</v>
      </c>
      <c r="F230" s="118" t="s">
        <v>921</v>
      </c>
      <c r="G230" s="74"/>
      <c r="H230" s="74" t="s">
        <v>45</v>
      </c>
      <c r="I230" s="66">
        <v>9194</v>
      </c>
      <c r="J230" s="66">
        <v>459.7</v>
      </c>
      <c r="K230" s="67" t="s">
        <v>922</v>
      </c>
      <c r="L230" s="64" t="s">
        <v>919</v>
      </c>
      <c r="M230" s="74" t="s">
        <v>10</v>
      </c>
      <c r="N230" s="74" t="s">
        <v>115</v>
      </c>
      <c r="O230" s="67" t="s">
        <v>149</v>
      </c>
      <c r="P230" s="66"/>
      <c r="Q230" s="66"/>
      <c r="R230" s="66"/>
      <c r="S230" s="66"/>
      <c r="T230" s="66"/>
      <c r="U230" s="66"/>
      <c r="V230" s="66"/>
      <c r="W230" s="66"/>
      <c r="X230" s="68">
        <f t="shared" si="9"/>
        <v>2026</v>
      </c>
      <c r="Y230" s="68">
        <f t="shared" si="10"/>
        <v>3</v>
      </c>
      <c r="Z230" s="68">
        <f t="shared" si="11"/>
        <v>17</v>
      </c>
    </row>
    <row r="231" ht="409.5" hidden="1" spans="1:26">
      <c r="A231" s="66" t="s">
        <v>923</v>
      </c>
      <c r="B231" s="71">
        <v>46048</v>
      </c>
      <c r="C231" s="71">
        <v>46098</v>
      </c>
      <c r="D231" s="66" t="s">
        <v>5</v>
      </c>
      <c r="E231" s="64" t="s">
        <v>924</v>
      </c>
      <c r="F231" s="119" t="s">
        <v>925</v>
      </c>
      <c r="G231" s="74"/>
      <c r="H231" s="74" t="s">
        <v>69</v>
      </c>
      <c r="I231" s="73">
        <v>3620.6</v>
      </c>
      <c r="J231" s="73">
        <v>362.06</v>
      </c>
      <c r="K231" s="73" t="s">
        <v>926</v>
      </c>
      <c r="L231" s="73" t="s">
        <v>923</v>
      </c>
      <c r="M231" s="74" t="s">
        <v>10</v>
      </c>
      <c r="N231" s="74" t="s">
        <v>115</v>
      </c>
      <c r="O231" s="67" t="s">
        <v>149</v>
      </c>
      <c r="P231" s="66"/>
      <c r="Q231" s="66"/>
      <c r="R231" s="66"/>
      <c r="S231" s="66"/>
      <c r="T231" s="66"/>
      <c r="U231" s="66"/>
      <c r="V231" s="66"/>
      <c r="W231" s="66"/>
      <c r="X231" s="68">
        <f t="shared" si="9"/>
        <v>2026</v>
      </c>
      <c r="Y231" s="68">
        <f t="shared" si="10"/>
        <v>3</v>
      </c>
      <c r="Z231" s="68">
        <f t="shared" si="11"/>
        <v>17</v>
      </c>
    </row>
    <row r="232" ht="409.5" hidden="1" spans="1:26">
      <c r="A232" s="67" t="s">
        <v>927</v>
      </c>
      <c r="B232" s="71">
        <v>46079</v>
      </c>
      <c r="C232" s="71">
        <v>46098</v>
      </c>
      <c r="D232" s="66" t="s">
        <v>5</v>
      </c>
      <c r="E232" s="64" t="s">
        <v>928</v>
      </c>
      <c r="F232" s="74" t="s">
        <v>929</v>
      </c>
      <c r="G232" s="74"/>
      <c r="H232" s="74" t="s">
        <v>69</v>
      </c>
      <c r="I232" s="66">
        <v>1685.9</v>
      </c>
      <c r="J232" s="66">
        <v>168.59</v>
      </c>
      <c r="K232" s="73" t="s">
        <v>926</v>
      </c>
      <c r="L232" s="64" t="s">
        <v>927</v>
      </c>
      <c r="M232" s="74" t="s">
        <v>10</v>
      </c>
      <c r="N232" s="74" t="s">
        <v>115</v>
      </c>
      <c r="O232" s="67" t="s">
        <v>149</v>
      </c>
      <c r="P232" s="66"/>
      <c r="Q232" s="66"/>
      <c r="R232" s="66"/>
      <c r="S232" s="66"/>
      <c r="T232" s="66"/>
      <c r="U232" s="66"/>
      <c r="V232" s="66"/>
      <c r="W232" s="66"/>
      <c r="X232" s="68">
        <f t="shared" si="9"/>
        <v>2026</v>
      </c>
      <c r="Y232" s="68">
        <f t="shared" si="10"/>
        <v>3</v>
      </c>
      <c r="Z232" s="68">
        <f t="shared" si="11"/>
        <v>17</v>
      </c>
    </row>
    <row r="233" ht="346.5" hidden="1" spans="1:26">
      <c r="A233" s="67" t="s">
        <v>930</v>
      </c>
      <c r="B233" s="71">
        <v>46090</v>
      </c>
      <c r="C233" s="71">
        <v>46100</v>
      </c>
      <c r="D233" s="66" t="s">
        <v>5</v>
      </c>
      <c r="E233" s="74" t="s">
        <v>931</v>
      </c>
      <c r="F233" s="74" t="s">
        <v>932</v>
      </c>
      <c r="G233" s="74"/>
      <c r="H233" s="74" t="s">
        <v>73</v>
      </c>
      <c r="I233" s="66">
        <v>15041.16</v>
      </c>
      <c r="J233" s="66">
        <v>791.64</v>
      </c>
      <c r="K233" s="67" t="s">
        <v>765</v>
      </c>
      <c r="L233" s="67" t="s">
        <v>930</v>
      </c>
      <c r="M233" s="74" t="s">
        <v>10</v>
      </c>
      <c r="N233" s="74" t="s">
        <v>115</v>
      </c>
      <c r="O233" s="67" t="s">
        <v>173</v>
      </c>
      <c r="P233" s="66"/>
      <c r="Q233" s="66"/>
      <c r="R233" s="66"/>
      <c r="S233" s="66"/>
      <c r="T233" s="66"/>
      <c r="U233" s="66"/>
      <c r="V233" s="66"/>
      <c r="W233" s="66"/>
      <c r="X233" s="68">
        <f t="shared" si="9"/>
        <v>2026</v>
      </c>
      <c r="Y233" s="68">
        <f t="shared" si="10"/>
        <v>3</v>
      </c>
      <c r="Z233" s="68">
        <f t="shared" si="11"/>
        <v>19</v>
      </c>
    </row>
    <row r="234" ht="291" hidden="1" spans="1:26">
      <c r="A234" s="66" t="s">
        <v>933</v>
      </c>
      <c r="B234" s="24">
        <v>46092</v>
      </c>
      <c r="C234" s="71">
        <v>46101</v>
      </c>
      <c r="D234" s="66" t="s">
        <v>422</v>
      </c>
      <c r="E234" s="74" t="s">
        <v>934</v>
      </c>
      <c r="F234" s="74" t="s">
        <v>935</v>
      </c>
      <c r="G234" s="74"/>
      <c r="H234" s="74" t="s">
        <v>422</v>
      </c>
      <c r="I234" s="66">
        <v>1848</v>
      </c>
      <c r="J234" s="66">
        <v>1222.89</v>
      </c>
      <c r="K234" s="67"/>
      <c r="L234" s="66" t="s">
        <v>933</v>
      </c>
      <c r="M234" s="74" t="s">
        <v>10</v>
      </c>
      <c r="N234" s="74" t="s">
        <v>394</v>
      </c>
      <c r="O234" s="67" t="s">
        <v>159</v>
      </c>
      <c r="P234" s="66"/>
      <c r="Q234" s="66"/>
      <c r="R234" s="66"/>
      <c r="S234" s="66"/>
      <c r="T234" s="66"/>
      <c r="U234" s="66"/>
      <c r="V234" s="66"/>
      <c r="W234" s="66"/>
      <c r="X234" s="68">
        <f t="shared" si="9"/>
        <v>2026</v>
      </c>
      <c r="Y234" s="68">
        <f t="shared" si="10"/>
        <v>3</v>
      </c>
      <c r="Z234" s="68">
        <f t="shared" si="11"/>
        <v>20</v>
      </c>
    </row>
    <row r="235" ht="409.5" hidden="1" spans="1:26">
      <c r="A235" s="66" t="s">
        <v>936</v>
      </c>
      <c r="B235" s="71">
        <v>46092</v>
      </c>
      <c r="C235" s="71">
        <v>46101</v>
      </c>
      <c r="D235" s="66" t="s">
        <v>5</v>
      </c>
      <c r="E235" s="55" t="s">
        <v>937</v>
      </c>
      <c r="F235" s="74" t="s">
        <v>938</v>
      </c>
      <c r="G235" s="74"/>
      <c r="H235" s="74" t="s">
        <v>39</v>
      </c>
      <c r="I235" s="114">
        <v>1320</v>
      </c>
      <c r="J235" s="66"/>
      <c r="K235" s="67"/>
      <c r="L235" s="66" t="s">
        <v>936</v>
      </c>
      <c r="M235" s="74" t="s">
        <v>10</v>
      </c>
      <c r="N235" s="74" t="s">
        <v>394</v>
      </c>
      <c r="O235" s="67" t="s">
        <v>159</v>
      </c>
      <c r="P235" s="66"/>
      <c r="Q235" s="66"/>
      <c r="R235" s="66"/>
      <c r="S235" s="66"/>
      <c r="T235" s="66"/>
      <c r="U235" s="66"/>
      <c r="V235" s="66"/>
      <c r="W235" s="66"/>
      <c r="X235" s="68">
        <f t="shared" si="9"/>
        <v>2026</v>
      </c>
      <c r="Y235" s="68">
        <f t="shared" si="10"/>
        <v>3</v>
      </c>
      <c r="Z235" s="68">
        <f t="shared" si="11"/>
        <v>20</v>
      </c>
    </row>
    <row r="236" ht="409.5" hidden="1" spans="1:26">
      <c r="A236" s="66" t="s">
        <v>939</v>
      </c>
      <c r="B236" s="71">
        <v>46008</v>
      </c>
      <c r="C236" s="71">
        <v>46101</v>
      </c>
      <c r="D236" s="66" t="s">
        <v>370</v>
      </c>
      <c r="E236" s="74" t="s">
        <v>940</v>
      </c>
      <c r="F236" s="74" t="s">
        <v>941</v>
      </c>
      <c r="G236" s="74"/>
      <c r="H236" s="74" t="s">
        <v>942</v>
      </c>
      <c r="I236" s="114">
        <v>2287.09</v>
      </c>
      <c r="J236" s="66">
        <v>2498.63</v>
      </c>
      <c r="K236" s="67" t="s">
        <v>943</v>
      </c>
      <c r="L236" s="66" t="s">
        <v>939</v>
      </c>
      <c r="M236" s="74" t="s">
        <v>10</v>
      </c>
      <c r="N236" s="74" t="s">
        <v>394</v>
      </c>
      <c r="O236" s="67" t="s">
        <v>159</v>
      </c>
      <c r="P236" s="66"/>
      <c r="Q236" s="66"/>
      <c r="R236" s="66"/>
      <c r="S236" s="66"/>
      <c r="T236" s="66"/>
      <c r="U236" s="66"/>
      <c r="V236" s="66"/>
      <c r="W236" s="66"/>
      <c r="X236" s="68">
        <f t="shared" si="9"/>
        <v>2026</v>
      </c>
      <c r="Y236" s="68">
        <f t="shared" si="10"/>
        <v>3</v>
      </c>
      <c r="Z236" s="68">
        <f t="shared" si="11"/>
        <v>20</v>
      </c>
    </row>
    <row r="237" ht="409.5" spans="1:26">
      <c r="A237" s="66" t="s">
        <v>944</v>
      </c>
      <c r="B237" s="71"/>
      <c r="C237" s="71"/>
      <c r="D237" s="66" t="s">
        <v>370</v>
      </c>
      <c r="E237" s="55" t="s">
        <v>945</v>
      </c>
      <c r="F237" s="74" t="s">
        <v>946</v>
      </c>
      <c r="G237" s="74"/>
      <c r="H237" s="74" t="s">
        <v>942</v>
      </c>
      <c r="I237" s="66">
        <v>8852.05</v>
      </c>
      <c r="J237" s="66" t="s">
        <v>947</v>
      </c>
      <c r="K237" s="67" t="s">
        <v>947</v>
      </c>
      <c r="L237" s="66" t="s">
        <v>944</v>
      </c>
      <c r="M237" s="74" t="s">
        <v>10</v>
      </c>
      <c r="N237" s="74" t="s">
        <v>394</v>
      </c>
      <c r="O237" s="67" t="s">
        <v>323</v>
      </c>
      <c r="P237" s="66"/>
      <c r="Q237" s="66"/>
      <c r="R237" s="66"/>
      <c r="S237" s="66"/>
      <c r="T237" s="66"/>
      <c r="U237" s="66"/>
      <c r="V237" s="66"/>
      <c r="W237" s="66"/>
      <c r="X237" s="68">
        <f t="shared" si="9"/>
        <v>1900</v>
      </c>
      <c r="Y237" s="68">
        <f t="shared" si="10"/>
        <v>1</v>
      </c>
      <c r="Z237" s="68">
        <f t="shared" si="11"/>
        <v>0</v>
      </c>
    </row>
    <row r="238" ht="207.75" hidden="1" spans="1:26">
      <c r="A238" s="66" t="s">
        <v>948</v>
      </c>
      <c r="B238" s="71">
        <v>46094</v>
      </c>
      <c r="C238" s="71">
        <v>46096</v>
      </c>
      <c r="D238" s="66" t="s">
        <v>5</v>
      </c>
      <c r="E238" s="74" t="s">
        <v>186</v>
      </c>
      <c r="F238" s="74" t="s">
        <v>949</v>
      </c>
      <c r="G238" s="74"/>
      <c r="H238" s="82" t="s">
        <v>34</v>
      </c>
      <c r="I238" s="66">
        <v>320.6</v>
      </c>
      <c r="J238" s="66">
        <v>32.06</v>
      </c>
      <c r="K238" s="67" t="s">
        <v>765</v>
      </c>
      <c r="L238" s="66" t="s">
        <v>948</v>
      </c>
      <c r="M238" s="74" t="s">
        <v>10</v>
      </c>
      <c r="N238" s="74" t="s">
        <v>115</v>
      </c>
      <c r="O238" s="67" t="s">
        <v>323</v>
      </c>
      <c r="P238" s="66"/>
      <c r="Q238" s="66"/>
      <c r="R238" s="66"/>
      <c r="S238" s="66"/>
      <c r="T238" s="66"/>
      <c r="U238" s="66"/>
      <c r="V238" s="66"/>
      <c r="W238" s="66"/>
      <c r="X238" s="68">
        <f t="shared" si="9"/>
        <v>2026</v>
      </c>
      <c r="Y238" s="68">
        <f t="shared" si="10"/>
        <v>3</v>
      </c>
      <c r="Z238" s="68">
        <f t="shared" si="11"/>
        <v>15</v>
      </c>
    </row>
    <row r="239" ht="221.65" hidden="1" spans="1:26">
      <c r="A239" s="66" t="s">
        <v>950</v>
      </c>
      <c r="B239" s="71">
        <v>46091</v>
      </c>
      <c r="C239" s="71">
        <v>46092</v>
      </c>
      <c r="D239" s="66" t="s">
        <v>5</v>
      </c>
      <c r="E239" s="74" t="s">
        <v>951</v>
      </c>
      <c r="F239" s="74" t="s">
        <v>952</v>
      </c>
      <c r="G239" s="74"/>
      <c r="H239" s="82" t="s">
        <v>34</v>
      </c>
      <c r="I239" s="66">
        <v>11174.12</v>
      </c>
      <c r="J239" s="66">
        <v>1096.92</v>
      </c>
      <c r="K239" s="67" t="s">
        <v>953</v>
      </c>
      <c r="L239" s="66" t="s">
        <v>950</v>
      </c>
      <c r="M239" s="74" t="s">
        <v>10</v>
      </c>
      <c r="N239" s="74" t="s">
        <v>115</v>
      </c>
      <c r="O239" s="67" t="s">
        <v>323</v>
      </c>
      <c r="P239" s="66"/>
      <c r="Q239" s="66"/>
      <c r="R239" s="66"/>
      <c r="S239" s="66"/>
      <c r="T239" s="66"/>
      <c r="U239" s="66"/>
      <c r="V239" s="66"/>
      <c r="W239" s="66"/>
      <c r="X239" s="68">
        <f t="shared" si="9"/>
        <v>2026</v>
      </c>
      <c r="Y239" s="68">
        <f t="shared" si="10"/>
        <v>3</v>
      </c>
      <c r="Z239" s="68">
        <f t="shared" si="11"/>
        <v>11</v>
      </c>
    </row>
    <row r="240" ht="221.65" hidden="1" spans="1:26">
      <c r="A240" s="66" t="s">
        <v>954</v>
      </c>
      <c r="B240" s="71">
        <v>46086</v>
      </c>
      <c r="C240" s="71">
        <v>46101</v>
      </c>
      <c r="D240" s="66" t="s">
        <v>5</v>
      </c>
      <c r="E240" s="74" t="s">
        <v>955</v>
      </c>
      <c r="F240" s="74" t="s">
        <v>956</v>
      </c>
      <c r="G240" s="74"/>
      <c r="H240" s="82" t="s">
        <v>52</v>
      </c>
      <c r="I240" s="66">
        <v>422</v>
      </c>
      <c r="J240" s="66">
        <v>84.4</v>
      </c>
      <c r="K240" s="67"/>
      <c r="L240" s="66" t="s">
        <v>954</v>
      </c>
      <c r="M240" s="74" t="s">
        <v>12</v>
      </c>
      <c r="N240" s="74" t="s">
        <v>394</v>
      </c>
      <c r="O240" s="67" t="s">
        <v>111</v>
      </c>
      <c r="P240" s="66"/>
      <c r="Q240" s="66"/>
      <c r="R240" s="66"/>
      <c r="S240" s="66"/>
      <c r="T240" s="66"/>
      <c r="U240" s="66"/>
      <c r="V240" s="66"/>
      <c r="W240" s="66"/>
      <c r="X240" s="68">
        <f t="shared" si="9"/>
        <v>2026</v>
      </c>
      <c r="Y240" s="68">
        <f t="shared" si="10"/>
        <v>3</v>
      </c>
      <c r="Z240" s="68">
        <f t="shared" si="11"/>
        <v>20</v>
      </c>
    </row>
    <row r="241" ht="405" hidden="1" spans="1:26">
      <c r="A241" s="66" t="s">
        <v>957</v>
      </c>
      <c r="B241" s="71">
        <v>46085</v>
      </c>
      <c r="C241" s="71">
        <v>46101</v>
      </c>
      <c r="D241" s="66" t="s">
        <v>5</v>
      </c>
      <c r="E241" s="55" t="s">
        <v>958</v>
      </c>
      <c r="F241" s="120" t="s">
        <v>959</v>
      </c>
      <c r="G241" s="74"/>
      <c r="H241" s="74" t="s">
        <v>69</v>
      </c>
      <c r="I241" s="52">
        <v>2277.4</v>
      </c>
      <c r="J241" s="52">
        <v>455.47</v>
      </c>
      <c r="K241" s="67" t="s">
        <v>960</v>
      </c>
      <c r="L241" s="67" t="s">
        <v>957</v>
      </c>
      <c r="M241" s="74" t="s">
        <v>12</v>
      </c>
      <c r="N241" s="74" t="s">
        <v>394</v>
      </c>
      <c r="O241" s="67" t="s">
        <v>111</v>
      </c>
      <c r="P241" s="66"/>
      <c r="Q241" s="66"/>
      <c r="R241" s="66"/>
      <c r="S241" s="66"/>
      <c r="T241" s="66"/>
      <c r="U241" s="66"/>
      <c r="V241" s="66"/>
      <c r="W241" s="66"/>
      <c r="X241" s="68">
        <f t="shared" si="9"/>
        <v>2026</v>
      </c>
      <c r="Y241" s="68">
        <f t="shared" si="10"/>
        <v>3</v>
      </c>
      <c r="Z241" s="68">
        <f t="shared" si="11"/>
        <v>20</v>
      </c>
    </row>
    <row r="242" ht="409.5" hidden="1" spans="1:26">
      <c r="A242" s="52" t="s">
        <v>961</v>
      </c>
      <c r="B242" s="71">
        <v>46083</v>
      </c>
      <c r="C242" s="71">
        <v>46101</v>
      </c>
      <c r="D242" s="66" t="s">
        <v>5</v>
      </c>
      <c r="E242" s="51" t="s">
        <v>962</v>
      </c>
      <c r="F242" s="120" t="s">
        <v>963</v>
      </c>
      <c r="G242" s="74"/>
      <c r="H242" s="74" t="s">
        <v>61</v>
      </c>
      <c r="I242" s="66">
        <v>3744.1</v>
      </c>
      <c r="J242" s="66">
        <v>748.82</v>
      </c>
      <c r="K242" s="67" t="s">
        <v>964</v>
      </c>
      <c r="L242" s="52" t="s">
        <v>961</v>
      </c>
      <c r="M242" s="74" t="s">
        <v>12</v>
      </c>
      <c r="N242" s="74" t="s">
        <v>394</v>
      </c>
      <c r="O242" s="67" t="s">
        <v>111</v>
      </c>
      <c r="P242" s="66"/>
      <c r="Q242" s="66"/>
      <c r="R242" s="66"/>
      <c r="S242" s="66"/>
      <c r="T242" s="66"/>
      <c r="U242" s="66"/>
      <c r="V242" s="66"/>
      <c r="W242" s="66"/>
      <c r="X242" s="68">
        <f t="shared" si="9"/>
        <v>2026</v>
      </c>
      <c r="Y242" s="68">
        <f t="shared" si="10"/>
        <v>3</v>
      </c>
      <c r="Z242" s="68">
        <f t="shared" si="11"/>
        <v>20</v>
      </c>
    </row>
    <row r="243" ht="409.5" hidden="1" spans="1:26">
      <c r="A243" s="67" t="s">
        <v>965</v>
      </c>
      <c r="B243" s="71">
        <v>46064</v>
      </c>
      <c r="C243" s="71">
        <v>46104</v>
      </c>
      <c r="D243" s="66" t="s">
        <v>5</v>
      </c>
      <c r="E243" s="74" t="s">
        <v>966</v>
      </c>
      <c r="F243" s="120" t="s">
        <v>967</v>
      </c>
      <c r="G243" s="74"/>
      <c r="H243" s="74" t="s">
        <v>79</v>
      </c>
      <c r="I243" s="66">
        <v>14401.5</v>
      </c>
      <c r="J243" s="66">
        <v>288.03</v>
      </c>
      <c r="K243" s="67" t="s">
        <v>899</v>
      </c>
      <c r="L243" s="67" t="s">
        <v>965</v>
      </c>
      <c r="M243" s="74" t="s">
        <v>13</v>
      </c>
      <c r="N243" s="74" t="s">
        <v>394</v>
      </c>
      <c r="O243" s="67" t="s">
        <v>293</v>
      </c>
      <c r="P243" s="66"/>
      <c r="Q243" s="66"/>
      <c r="R243" s="66"/>
      <c r="S243" s="66"/>
      <c r="T243" s="66"/>
      <c r="U243" s="66"/>
      <c r="V243" s="66"/>
      <c r="W243" s="66"/>
      <c r="X243" s="68">
        <f t="shared" si="9"/>
        <v>2026</v>
      </c>
      <c r="Y243" s="68">
        <f t="shared" si="10"/>
        <v>3</v>
      </c>
      <c r="Z243" s="68">
        <f t="shared" si="11"/>
        <v>23</v>
      </c>
    </row>
    <row r="244" ht="374.25" hidden="1" spans="1:26">
      <c r="A244" s="35" t="s">
        <v>968</v>
      </c>
      <c r="B244" s="31">
        <v>46082</v>
      </c>
      <c r="C244" s="31">
        <v>46105</v>
      </c>
      <c r="D244" s="30" t="s">
        <v>5</v>
      </c>
      <c r="E244" s="32" t="s">
        <v>969</v>
      </c>
      <c r="F244" s="32" t="s">
        <v>970</v>
      </c>
      <c r="G244" s="74"/>
      <c r="H244" s="74" t="s">
        <v>61</v>
      </c>
      <c r="I244" s="66">
        <v>566.35</v>
      </c>
      <c r="J244" s="66">
        <v>282.4</v>
      </c>
      <c r="K244" s="67" t="s">
        <v>971</v>
      </c>
      <c r="L244" s="67" t="s">
        <v>968</v>
      </c>
      <c r="M244" s="74" t="s">
        <v>13</v>
      </c>
      <c r="N244" s="74" t="s">
        <v>115</v>
      </c>
      <c r="O244" s="67" t="s">
        <v>260</v>
      </c>
      <c r="P244" s="66"/>
      <c r="Q244" s="66"/>
      <c r="R244" s="66"/>
      <c r="S244" s="66"/>
      <c r="T244" s="66"/>
      <c r="U244" s="66"/>
      <c r="V244" s="66"/>
      <c r="W244" s="66"/>
      <c r="X244" s="68">
        <f t="shared" si="9"/>
        <v>2026</v>
      </c>
      <c r="Y244" s="68">
        <f t="shared" si="10"/>
        <v>3</v>
      </c>
      <c r="Z244" s="68">
        <f t="shared" si="11"/>
        <v>24</v>
      </c>
    </row>
    <row r="245" ht="409.5" hidden="1" spans="1:26">
      <c r="A245" s="121" t="s">
        <v>972</v>
      </c>
      <c r="B245" s="31">
        <v>46064</v>
      </c>
      <c r="C245" s="31">
        <v>46105</v>
      </c>
      <c r="D245" s="30" t="s">
        <v>5</v>
      </c>
      <c r="E245" s="32" t="s">
        <v>973</v>
      </c>
      <c r="F245" s="32" t="s">
        <v>974</v>
      </c>
      <c r="G245" s="74"/>
      <c r="H245" s="74" t="s">
        <v>47</v>
      </c>
      <c r="I245" s="66">
        <v>28167.3</v>
      </c>
      <c r="J245" s="66">
        <v>938.91</v>
      </c>
      <c r="K245" s="67" t="s">
        <v>884</v>
      </c>
      <c r="L245" s="67" t="s">
        <v>972</v>
      </c>
      <c r="M245" s="74" t="s">
        <v>10</v>
      </c>
      <c r="N245" s="74" t="s">
        <v>115</v>
      </c>
      <c r="O245" s="67" t="s">
        <v>149</v>
      </c>
      <c r="P245" s="66"/>
      <c r="Q245" s="66"/>
      <c r="R245" s="66"/>
      <c r="S245" s="66"/>
      <c r="T245" s="66"/>
      <c r="U245" s="66"/>
      <c r="V245" s="66"/>
      <c r="W245" s="66"/>
      <c r="X245" s="68">
        <f t="shared" si="9"/>
        <v>2026</v>
      </c>
      <c r="Y245" s="68">
        <f t="shared" si="10"/>
        <v>3</v>
      </c>
      <c r="Z245" s="68">
        <f t="shared" si="11"/>
        <v>24</v>
      </c>
    </row>
    <row r="246" ht="402" hidden="1" spans="1:26">
      <c r="A246" s="121" t="s">
        <v>975</v>
      </c>
      <c r="B246" s="31">
        <v>46066</v>
      </c>
      <c r="C246" s="31">
        <v>46105</v>
      </c>
      <c r="D246" s="30" t="s">
        <v>5</v>
      </c>
      <c r="E246" s="32" t="s">
        <v>976</v>
      </c>
      <c r="F246" s="32" t="s">
        <v>977</v>
      </c>
      <c r="G246" s="74"/>
      <c r="H246" s="74" t="s">
        <v>61</v>
      </c>
      <c r="I246" s="66">
        <v>348.9</v>
      </c>
      <c r="J246" s="66">
        <v>69.78</v>
      </c>
      <c r="K246" s="67" t="s">
        <v>884</v>
      </c>
      <c r="L246" s="67" t="s">
        <v>975</v>
      </c>
      <c r="M246" s="74" t="s">
        <v>10</v>
      </c>
      <c r="N246" s="74" t="s">
        <v>115</v>
      </c>
      <c r="O246" s="67" t="s">
        <v>149</v>
      </c>
      <c r="P246" s="66"/>
      <c r="Q246" s="66"/>
      <c r="R246" s="66"/>
      <c r="S246" s="66"/>
      <c r="T246" s="66"/>
      <c r="U246" s="66"/>
      <c r="V246" s="66"/>
      <c r="W246" s="66"/>
      <c r="X246" s="68">
        <f t="shared" si="9"/>
        <v>2026</v>
      </c>
      <c r="Y246" s="68">
        <f t="shared" si="10"/>
        <v>3</v>
      </c>
      <c r="Z246" s="68">
        <f t="shared" si="11"/>
        <v>24</v>
      </c>
    </row>
    <row r="247" ht="374.25" hidden="1" spans="1:26">
      <c r="A247" s="121" t="s">
        <v>978</v>
      </c>
      <c r="B247" s="31">
        <v>46093</v>
      </c>
      <c r="C247" s="31">
        <v>46106</v>
      </c>
      <c r="D247" s="30" t="s">
        <v>5</v>
      </c>
      <c r="E247" s="32" t="s">
        <v>790</v>
      </c>
      <c r="F247" s="32" t="s">
        <v>979</v>
      </c>
      <c r="G247" s="74" t="s">
        <v>980</v>
      </c>
      <c r="H247" s="74" t="s">
        <v>72</v>
      </c>
      <c r="I247" s="66">
        <v>6400.5</v>
      </c>
      <c r="J247" s="66">
        <v>509.96</v>
      </c>
      <c r="K247" s="67" t="s">
        <v>771</v>
      </c>
      <c r="L247" s="67" t="s">
        <v>978</v>
      </c>
      <c r="M247" s="74" t="s">
        <v>13</v>
      </c>
      <c r="N247" s="74" t="s">
        <v>115</v>
      </c>
      <c r="O247" s="67" t="s">
        <v>363</v>
      </c>
      <c r="P247" s="66"/>
      <c r="Q247" s="66"/>
      <c r="R247" s="66"/>
      <c r="S247" s="66"/>
      <c r="T247" s="66"/>
      <c r="U247" s="66"/>
      <c r="V247" s="66"/>
      <c r="W247" s="66"/>
      <c r="X247" s="68">
        <f t="shared" si="9"/>
        <v>2026</v>
      </c>
      <c r="Y247" s="68">
        <f t="shared" si="10"/>
        <v>3</v>
      </c>
      <c r="Z247" s="68">
        <f t="shared" si="11"/>
        <v>25</v>
      </c>
    </row>
    <row r="248" ht="409.5" hidden="1" spans="1:26">
      <c r="A248" s="122" t="s">
        <v>981</v>
      </c>
      <c r="B248" s="31">
        <v>46084</v>
      </c>
      <c r="C248" s="31">
        <v>46107</v>
      </c>
      <c r="D248" s="30" t="s">
        <v>5</v>
      </c>
      <c r="E248" s="32" t="s">
        <v>982</v>
      </c>
      <c r="F248" s="32" t="s">
        <v>983</v>
      </c>
      <c r="G248" s="74"/>
      <c r="H248" s="74" t="s">
        <v>69</v>
      </c>
      <c r="I248" s="66">
        <v>21407.47</v>
      </c>
      <c r="J248" s="66">
        <v>836.36</v>
      </c>
      <c r="K248" s="67" t="s">
        <v>765</v>
      </c>
      <c r="L248" s="67" t="s">
        <v>981</v>
      </c>
      <c r="M248" s="74" t="s">
        <v>10</v>
      </c>
      <c r="N248" s="74" t="s">
        <v>115</v>
      </c>
      <c r="O248" s="67" t="s">
        <v>159</v>
      </c>
      <c r="P248" s="66"/>
      <c r="Q248" s="66"/>
      <c r="R248" s="66"/>
      <c r="S248" s="66"/>
      <c r="T248" s="66"/>
      <c r="U248" s="66"/>
      <c r="V248" s="66"/>
      <c r="W248" s="66"/>
      <c r="X248" s="68">
        <f t="shared" si="9"/>
        <v>2026</v>
      </c>
      <c r="Y248" s="68">
        <f t="shared" si="10"/>
        <v>3</v>
      </c>
      <c r="Z248" s="68">
        <f t="shared" si="11"/>
        <v>26</v>
      </c>
    </row>
    <row r="249" ht="409.5" hidden="1" spans="1:26">
      <c r="A249" s="35" t="s">
        <v>984</v>
      </c>
      <c r="B249" s="31">
        <v>46094</v>
      </c>
      <c r="C249" s="31">
        <v>46107</v>
      </c>
      <c r="D249" s="30" t="s">
        <v>5</v>
      </c>
      <c r="E249" s="32" t="s">
        <v>592</v>
      </c>
      <c r="F249" s="32" t="s">
        <v>985</v>
      </c>
      <c r="G249" s="74" t="s">
        <v>980</v>
      </c>
      <c r="H249" s="74" t="s">
        <v>69</v>
      </c>
      <c r="I249" s="66">
        <v>7269.63</v>
      </c>
      <c r="J249" s="66">
        <v>362.22</v>
      </c>
      <c r="K249" s="67" t="s">
        <v>895</v>
      </c>
      <c r="L249" s="67" t="s">
        <v>984</v>
      </c>
      <c r="M249" s="74" t="s">
        <v>13</v>
      </c>
      <c r="N249" s="74" t="s">
        <v>115</v>
      </c>
      <c r="O249" s="67" t="s">
        <v>293</v>
      </c>
      <c r="P249" s="66"/>
      <c r="Q249" s="66"/>
      <c r="R249" s="66"/>
      <c r="S249" s="66"/>
      <c r="T249" s="66"/>
      <c r="U249" s="66"/>
      <c r="V249" s="66"/>
      <c r="W249" s="66"/>
      <c r="X249" s="68">
        <f t="shared" si="9"/>
        <v>2026</v>
      </c>
      <c r="Y249" s="68">
        <f t="shared" si="10"/>
        <v>3</v>
      </c>
      <c r="Z249" s="68">
        <f t="shared" si="11"/>
        <v>26</v>
      </c>
    </row>
    <row r="250" ht="409.5" hidden="1" spans="1:26">
      <c r="A250" s="35" t="s">
        <v>591</v>
      </c>
      <c r="B250" s="31">
        <v>46092</v>
      </c>
      <c r="C250" s="31">
        <v>46107</v>
      </c>
      <c r="D250" s="30" t="s">
        <v>5</v>
      </c>
      <c r="E250" s="32" t="s">
        <v>678</v>
      </c>
      <c r="F250" s="32" t="s">
        <v>986</v>
      </c>
      <c r="G250" s="74"/>
      <c r="H250" s="74" t="s">
        <v>69</v>
      </c>
      <c r="I250" s="66">
        <v>3450.3</v>
      </c>
      <c r="J250" s="66">
        <v>230.02</v>
      </c>
      <c r="K250" s="67" t="s">
        <v>899</v>
      </c>
      <c r="L250" s="67" t="s">
        <v>591</v>
      </c>
      <c r="M250" s="74" t="s">
        <v>13</v>
      </c>
      <c r="N250" s="74" t="s">
        <v>115</v>
      </c>
      <c r="O250" s="67" t="s">
        <v>363</v>
      </c>
      <c r="P250" s="66"/>
      <c r="Q250" s="66"/>
      <c r="R250" s="66"/>
      <c r="S250" s="66"/>
      <c r="T250" s="66"/>
      <c r="U250" s="66"/>
      <c r="V250" s="66"/>
      <c r="W250" s="66"/>
      <c r="X250" s="68">
        <f t="shared" si="9"/>
        <v>2026</v>
      </c>
      <c r="Y250" s="68">
        <f t="shared" si="10"/>
        <v>3</v>
      </c>
      <c r="Z250" s="68">
        <f t="shared" si="11"/>
        <v>26</v>
      </c>
    </row>
    <row r="251" ht="360.4" hidden="1" spans="1:26">
      <c r="A251" s="35" t="s">
        <v>987</v>
      </c>
      <c r="B251" s="31">
        <v>46096</v>
      </c>
      <c r="C251" s="31">
        <v>46107</v>
      </c>
      <c r="D251" s="30" t="s">
        <v>5</v>
      </c>
      <c r="E251" s="32" t="s">
        <v>988</v>
      </c>
      <c r="F251" s="32" t="s">
        <v>989</v>
      </c>
      <c r="G251" s="74"/>
      <c r="H251" s="74" t="s">
        <v>71</v>
      </c>
      <c r="I251" s="66">
        <v>21838.5</v>
      </c>
      <c r="J251" s="66">
        <v>873.54</v>
      </c>
      <c r="K251" s="67" t="s">
        <v>990</v>
      </c>
      <c r="L251" s="35" t="s">
        <v>987</v>
      </c>
      <c r="M251" s="74" t="s">
        <v>13</v>
      </c>
      <c r="N251" s="74" t="s">
        <v>115</v>
      </c>
      <c r="O251" s="67" t="s">
        <v>363</v>
      </c>
      <c r="P251" s="66"/>
      <c r="Q251" s="66"/>
      <c r="R251" s="66"/>
      <c r="S251" s="66"/>
      <c r="T251" s="66"/>
      <c r="U251" s="66"/>
      <c r="V251" s="66"/>
      <c r="W251" s="66"/>
      <c r="X251" s="68">
        <f t="shared" si="9"/>
        <v>2026</v>
      </c>
      <c r="Y251" s="68">
        <f t="shared" si="10"/>
        <v>3</v>
      </c>
      <c r="Z251" s="68">
        <f t="shared" si="11"/>
        <v>26</v>
      </c>
    </row>
    <row r="252" ht="409.5" hidden="1" spans="1:26">
      <c r="A252" s="35" t="s">
        <v>991</v>
      </c>
      <c r="B252" s="31">
        <v>46086</v>
      </c>
      <c r="C252" s="31">
        <v>46107</v>
      </c>
      <c r="D252" s="30" t="s">
        <v>5</v>
      </c>
      <c r="E252" s="32" t="s">
        <v>992</v>
      </c>
      <c r="F252" s="32" t="s">
        <v>993</v>
      </c>
      <c r="G252" s="74"/>
      <c r="H252" s="74" t="s">
        <v>48</v>
      </c>
      <c r="I252" s="66">
        <v>1950.42</v>
      </c>
      <c r="J252" s="66">
        <v>238.56</v>
      </c>
      <c r="K252" s="67" t="s">
        <v>994</v>
      </c>
      <c r="L252" s="67" t="s">
        <v>991</v>
      </c>
      <c r="M252" s="74" t="s">
        <v>10</v>
      </c>
      <c r="N252" s="74" t="s">
        <v>115</v>
      </c>
      <c r="O252" s="67" t="s">
        <v>173</v>
      </c>
      <c r="P252" s="66"/>
      <c r="Q252" s="66"/>
      <c r="R252" s="66"/>
      <c r="S252" s="66"/>
      <c r="T252" s="66"/>
      <c r="U252" s="66"/>
      <c r="V252" s="66"/>
      <c r="W252" s="66"/>
      <c r="X252" s="68">
        <f t="shared" si="9"/>
        <v>2026</v>
      </c>
      <c r="Y252" s="68">
        <f t="shared" si="10"/>
        <v>3</v>
      </c>
      <c r="Z252" s="68">
        <f t="shared" si="11"/>
        <v>26</v>
      </c>
    </row>
    <row r="253" ht="409.5" hidden="1" spans="1:26">
      <c r="A253" s="35" t="s">
        <v>995</v>
      </c>
      <c r="B253" s="31">
        <v>46065</v>
      </c>
      <c r="C253" s="31">
        <v>46107</v>
      </c>
      <c r="D253" s="30" t="s">
        <v>5</v>
      </c>
      <c r="E253" s="32" t="s">
        <v>996</v>
      </c>
      <c r="F253" s="32" t="s">
        <v>997</v>
      </c>
      <c r="G253" s="74"/>
      <c r="H253" s="74" t="s">
        <v>70</v>
      </c>
      <c r="I253" s="66">
        <v>27840.4</v>
      </c>
      <c r="J253" s="66">
        <v>1392.02</v>
      </c>
      <c r="K253" s="78" t="s">
        <v>899</v>
      </c>
      <c r="L253" s="35" t="s">
        <v>995</v>
      </c>
      <c r="M253" s="74" t="s">
        <v>13</v>
      </c>
      <c r="N253" s="74" t="s">
        <v>115</v>
      </c>
      <c r="O253" s="67" t="s">
        <v>363</v>
      </c>
      <c r="P253" s="66"/>
      <c r="Q253" s="66"/>
      <c r="R253" s="66"/>
      <c r="S253" s="66"/>
      <c r="T253" s="66"/>
      <c r="U253" s="66"/>
      <c r="V253" s="66"/>
      <c r="W253" s="66"/>
      <c r="X253" s="68">
        <f t="shared" si="9"/>
        <v>2026</v>
      </c>
      <c r="Y253" s="68">
        <f t="shared" si="10"/>
        <v>3</v>
      </c>
      <c r="Z253" s="68">
        <f t="shared" si="11"/>
        <v>26</v>
      </c>
    </row>
    <row r="254" ht="402" hidden="1" spans="1:26">
      <c r="A254" s="35"/>
      <c r="B254" s="31">
        <v>46086</v>
      </c>
      <c r="C254" s="31">
        <v>46107</v>
      </c>
      <c r="D254" s="30" t="s">
        <v>5</v>
      </c>
      <c r="E254" s="32" t="s">
        <v>998</v>
      </c>
      <c r="F254" s="32" t="s">
        <v>999</v>
      </c>
      <c r="G254" s="74"/>
      <c r="H254" s="74" t="s">
        <v>49</v>
      </c>
      <c r="I254" s="66">
        <v>9787.76</v>
      </c>
      <c r="J254" s="66">
        <v>270</v>
      </c>
      <c r="K254" s="67" t="s">
        <v>994</v>
      </c>
      <c r="L254" s="67" t="s">
        <v>994</v>
      </c>
      <c r="M254" s="74" t="s">
        <v>10</v>
      </c>
      <c r="N254" s="74" t="s">
        <v>115</v>
      </c>
      <c r="O254" s="67" t="s">
        <v>173</v>
      </c>
      <c r="P254" s="66"/>
      <c r="Q254" s="66"/>
      <c r="R254" s="66"/>
      <c r="S254" s="66"/>
      <c r="T254" s="66"/>
      <c r="U254" s="66"/>
      <c r="V254" s="66"/>
      <c r="W254" s="66"/>
      <c r="X254" s="68">
        <f t="shared" si="9"/>
        <v>2026</v>
      </c>
      <c r="Y254" s="68">
        <f t="shared" si="10"/>
        <v>3</v>
      </c>
      <c r="Z254" s="68">
        <f t="shared" si="11"/>
        <v>26</v>
      </c>
    </row>
    <row r="255" ht="409.5" hidden="1" spans="1:26">
      <c r="A255" s="35" t="s">
        <v>1000</v>
      </c>
      <c r="B255" s="31">
        <v>46084</v>
      </c>
      <c r="C255" s="31">
        <v>46108</v>
      </c>
      <c r="D255" s="30" t="s">
        <v>5</v>
      </c>
      <c r="E255" s="32" t="s">
        <v>1001</v>
      </c>
      <c r="F255" s="32" t="s">
        <v>1002</v>
      </c>
      <c r="G255" s="74"/>
      <c r="H255" s="74" t="s">
        <v>36</v>
      </c>
      <c r="I255" s="66">
        <v>364.08</v>
      </c>
      <c r="J255" s="66">
        <v>30.74</v>
      </c>
      <c r="K255" s="67" t="s">
        <v>1003</v>
      </c>
      <c r="L255" s="67" t="s">
        <v>1000</v>
      </c>
      <c r="M255" s="74" t="s">
        <v>10</v>
      </c>
      <c r="N255" s="74" t="s">
        <v>115</v>
      </c>
      <c r="O255" s="67" t="s">
        <v>318</v>
      </c>
      <c r="P255" s="66"/>
      <c r="Q255" s="66"/>
      <c r="R255" s="66"/>
      <c r="S255" s="66"/>
      <c r="T255" s="66"/>
      <c r="U255" s="66"/>
      <c r="V255" s="66"/>
      <c r="W255" s="66"/>
      <c r="X255" s="68">
        <f t="shared" si="9"/>
        <v>2026</v>
      </c>
      <c r="Y255" s="68">
        <f t="shared" si="10"/>
        <v>3</v>
      </c>
      <c r="Z255" s="68">
        <f t="shared" si="11"/>
        <v>27</v>
      </c>
    </row>
    <row r="256" s="23" customFormat="1" ht="346.5" hidden="1" spans="1:26">
      <c r="A256" s="35" t="s">
        <v>1004</v>
      </c>
      <c r="B256" s="31">
        <v>46080</v>
      </c>
      <c r="C256" s="31">
        <v>46108</v>
      </c>
      <c r="D256" s="30" t="s">
        <v>5</v>
      </c>
      <c r="E256" s="32" t="s">
        <v>1005</v>
      </c>
      <c r="F256" s="32" t="s">
        <v>1006</v>
      </c>
      <c r="G256" s="74"/>
      <c r="H256" s="74" t="s">
        <v>48</v>
      </c>
      <c r="I256" s="66">
        <v>1227.4</v>
      </c>
      <c r="J256" s="66">
        <v>122.74</v>
      </c>
      <c r="K256" s="67" t="s">
        <v>738</v>
      </c>
      <c r="L256" s="67" t="s">
        <v>1004</v>
      </c>
      <c r="M256" s="74" t="s">
        <v>10</v>
      </c>
      <c r="N256" s="74" t="s">
        <v>115</v>
      </c>
      <c r="O256" s="67" t="s">
        <v>318</v>
      </c>
      <c r="P256" s="66"/>
      <c r="Q256" s="66"/>
      <c r="R256" s="66"/>
      <c r="S256" s="66"/>
      <c r="T256" s="66"/>
      <c r="U256" s="66"/>
      <c r="V256" s="66"/>
      <c r="W256" s="66"/>
      <c r="X256" s="85">
        <f t="shared" si="9"/>
        <v>2026</v>
      </c>
      <c r="Y256" s="85">
        <f t="shared" si="10"/>
        <v>3</v>
      </c>
      <c r="Z256" s="85">
        <f t="shared" si="11"/>
        <v>27</v>
      </c>
    </row>
    <row r="257" s="23" customFormat="1" ht="409.5" hidden="1" spans="1:26">
      <c r="A257" s="35" t="s">
        <v>1007</v>
      </c>
      <c r="B257" s="31">
        <v>46091</v>
      </c>
      <c r="C257" s="31">
        <v>46108</v>
      </c>
      <c r="D257" s="30" t="s">
        <v>5</v>
      </c>
      <c r="E257" s="32" t="s">
        <v>290</v>
      </c>
      <c r="F257" s="32" t="s">
        <v>1008</v>
      </c>
      <c r="G257" s="74" t="s">
        <v>980</v>
      </c>
      <c r="H257" s="74" t="s">
        <v>74</v>
      </c>
      <c r="I257" s="66">
        <v>11793.57</v>
      </c>
      <c r="J257" s="66">
        <v>498.09</v>
      </c>
      <c r="K257" s="67" t="s">
        <v>899</v>
      </c>
      <c r="L257" s="67" t="s">
        <v>1007</v>
      </c>
      <c r="M257" s="74" t="s">
        <v>13</v>
      </c>
      <c r="N257" s="74" t="s">
        <v>115</v>
      </c>
      <c r="O257" s="67" t="s">
        <v>293</v>
      </c>
      <c r="P257" s="66"/>
      <c r="Q257" s="66"/>
      <c r="R257" s="66"/>
      <c r="S257" s="66"/>
      <c r="T257" s="66"/>
      <c r="U257" s="66"/>
      <c r="V257" s="66"/>
      <c r="W257" s="66"/>
      <c r="X257" s="85">
        <f t="shared" si="9"/>
        <v>2026</v>
      </c>
      <c r="Y257" s="85">
        <f t="shared" si="10"/>
        <v>3</v>
      </c>
      <c r="Z257" s="85">
        <f t="shared" si="11"/>
        <v>27</v>
      </c>
    </row>
    <row r="258" ht="409.5" hidden="1" spans="1:26">
      <c r="A258" s="35" t="s">
        <v>1009</v>
      </c>
      <c r="B258" s="31">
        <v>46099</v>
      </c>
      <c r="C258" s="31">
        <v>46115</v>
      </c>
      <c r="D258" s="35" t="s">
        <v>5</v>
      </c>
      <c r="E258" s="32" t="s">
        <v>1010</v>
      </c>
      <c r="F258" s="32" t="s">
        <v>1011</v>
      </c>
      <c r="G258" s="74"/>
      <c r="H258" s="74" t="s">
        <v>61</v>
      </c>
      <c r="I258" s="66">
        <v>5158.66</v>
      </c>
      <c r="J258" s="66">
        <v>414.66</v>
      </c>
      <c r="K258" s="67" t="s">
        <v>1012</v>
      </c>
      <c r="L258" s="67" t="s">
        <v>1009</v>
      </c>
      <c r="M258" s="74" t="s">
        <v>10</v>
      </c>
      <c r="N258" s="74" t="s">
        <v>115</v>
      </c>
      <c r="O258" s="67" t="s">
        <v>229</v>
      </c>
      <c r="P258" s="66"/>
      <c r="Q258" s="66"/>
      <c r="R258" s="66"/>
      <c r="S258" s="66"/>
      <c r="T258" s="66"/>
      <c r="U258" s="66"/>
      <c r="V258" s="66"/>
      <c r="W258" s="66"/>
      <c r="X258" s="68">
        <f t="shared" ref="X258:X321" si="12">YEAR(C258)</f>
        <v>2026</v>
      </c>
      <c r="Y258" s="68">
        <f t="shared" ref="Y258:Y321" si="13">MONTH(C258)</f>
        <v>4</v>
      </c>
      <c r="Z258" s="68">
        <f t="shared" ref="Z258:Z321" si="14">DAY(C258)</f>
        <v>3</v>
      </c>
    </row>
    <row r="259" ht="409.5" hidden="1" spans="1:26">
      <c r="A259" s="35" t="s">
        <v>1013</v>
      </c>
      <c r="B259" s="31">
        <v>46050</v>
      </c>
      <c r="C259" s="31">
        <v>46115</v>
      </c>
      <c r="D259" s="35" t="s">
        <v>5</v>
      </c>
      <c r="E259" s="32" t="s">
        <v>1014</v>
      </c>
      <c r="F259" s="32" t="s">
        <v>1015</v>
      </c>
      <c r="G259" s="74"/>
      <c r="H259" s="74" t="s">
        <v>38</v>
      </c>
      <c r="I259" s="66"/>
      <c r="J259" s="66"/>
      <c r="K259" s="67" t="s">
        <v>1016</v>
      </c>
      <c r="L259" s="67" t="s">
        <v>1013</v>
      </c>
      <c r="M259" s="74" t="s">
        <v>10</v>
      </c>
      <c r="N259" s="74" t="s">
        <v>394</v>
      </c>
      <c r="O259" s="67" t="s">
        <v>229</v>
      </c>
      <c r="P259" s="66"/>
      <c r="Q259" s="66"/>
      <c r="R259" s="66"/>
      <c r="S259" s="66"/>
      <c r="T259" s="66"/>
      <c r="U259" s="66"/>
      <c r="V259" s="66"/>
      <c r="W259" s="66"/>
      <c r="X259" s="68">
        <f t="shared" si="12"/>
        <v>2026</v>
      </c>
      <c r="Y259" s="68">
        <f t="shared" si="13"/>
        <v>4</v>
      </c>
      <c r="Z259" s="68">
        <f t="shared" si="14"/>
        <v>3</v>
      </c>
    </row>
    <row r="260" ht="409.5" hidden="1" spans="1:26">
      <c r="A260" s="123" t="s">
        <v>1017</v>
      </c>
      <c r="B260" s="124">
        <v>46094</v>
      </c>
      <c r="C260" s="124">
        <v>46115</v>
      </c>
      <c r="D260" s="123" t="s">
        <v>5</v>
      </c>
      <c r="E260" s="72" t="s">
        <v>1018</v>
      </c>
      <c r="F260" s="72" t="s">
        <v>1019</v>
      </c>
      <c r="G260" s="74"/>
      <c r="H260" s="74" t="s">
        <v>37</v>
      </c>
      <c r="I260" s="66">
        <v>1402.8</v>
      </c>
      <c r="J260" s="66">
        <v>0.6</v>
      </c>
      <c r="K260" s="67" t="s">
        <v>953</v>
      </c>
      <c r="L260" s="67" t="s">
        <v>1017</v>
      </c>
      <c r="M260" s="74" t="s">
        <v>10</v>
      </c>
      <c r="N260" s="74" t="s">
        <v>394</v>
      </c>
      <c r="O260" s="67" t="s">
        <v>229</v>
      </c>
      <c r="P260" s="66"/>
      <c r="Q260" s="66"/>
      <c r="R260" s="66"/>
      <c r="S260" s="66"/>
      <c r="T260" s="66"/>
      <c r="U260" s="66"/>
      <c r="V260" s="66"/>
      <c r="W260" s="66"/>
      <c r="X260" s="68">
        <f t="shared" si="12"/>
        <v>2026</v>
      </c>
      <c r="Y260" s="68">
        <f t="shared" si="13"/>
        <v>4</v>
      </c>
      <c r="Z260" s="68">
        <f t="shared" si="14"/>
        <v>3</v>
      </c>
    </row>
    <row r="261" ht="360.4" hidden="1" spans="1:26">
      <c r="A261" s="35" t="s">
        <v>1020</v>
      </c>
      <c r="B261" s="31">
        <v>46098</v>
      </c>
      <c r="C261" s="31">
        <v>46115</v>
      </c>
      <c r="D261" s="30" t="s">
        <v>5</v>
      </c>
      <c r="E261" s="125" t="s">
        <v>1021</v>
      </c>
      <c r="F261" s="32" t="s">
        <v>1022</v>
      </c>
      <c r="G261" s="126"/>
      <c r="H261" s="32" t="s">
        <v>77</v>
      </c>
      <c r="I261" s="30">
        <v>11885.25</v>
      </c>
      <c r="J261" s="30">
        <v>9.27</v>
      </c>
      <c r="K261" s="35" t="s">
        <v>971</v>
      </c>
      <c r="L261" s="35" t="s">
        <v>1020</v>
      </c>
      <c r="M261" s="32" t="s">
        <v>13</v>
      </c>
      <c r="N261" s="32" t="s">
        <v>115</v>
      </c>
      <c r="O261" s="35" t="s">
        <v>260</v>
      </c>
      <c r="P261" s="83"/>
      <c r="Q261" s="83"/>
      <c r="R261" s="83"/>
      <c r="S261" s="83"/>
      <c r="T261" s="83"/>
      <c r="U261" s="83"/>
      <c r="V261" s="83"/>
      <c r="W261" s="83"/>
      <c r="X261" s="68">
        <f t="shared" si="12"/>
        <v>2026</v>
      </c>
      <c r="Y261" s="68">
        <f t="shared" si="13"/>
        <v>4</v>
      </c>
      <c r="Z261" s="68">
        <f t="shared" si="14"/>
        <v>3</v>
      </c>
    </row>
    <row r="262" ht="332.65" hidden="1" spans="1:26">
      <c r="A262" s="35" t="s">
        <v>1023</v>
      </c>
      <c r="B262" s="31">
        <v>46098</v>
      </c>
      <c r="C262" s="31">
        <v>46115</v>
      </c>
      <c r="D262" s="30" t="s">
        <v>5</v>
      </c>
      <c r="E262" s="125" t="s">
        <v>1024</v>
      </c>
      <c r="F262" s="32" t="s">
        <v>1025</v>
      </c>
      <c r="G262" s="126"/>
      <c r="H262" s="32" t="s">
        <v>77</v>
      </c>
      <c r="I262" s="30">
        <v>5704.78</v>
      </c>
      <c r="J262" s="30">
        <v>8.31</v>
      </c>
      <c r="K262" s="35" t="s">
        <v>971</v>
      </c>
      <c r="L262" s="35" t="s">
        <v>1023</v>
      </c>
      <c r="M262" s="32" t="s">
        <v>13</v>
      </c>
      <c r="N262" s="32" t="s">
        <v>115</v>
      </c>
      <c r="O262" s="35" t="s">
        <v>260</v>
      </c>
      <c r="P262" s="83"/>
      <c r="Q262" s="83"/>
      <c r="R262" s="83"/>
      <c r="S262" s="83"/>
      <c r="T262" s="83"/>
      <c r="U262" s="83"/>
      <c r="V262" s="83"/>
      <c r="W262" s="83"/>
      <c r="X262" s="68">
        <f t="shared" si="12"/>
        <v>2026</v>
      </c>
      <c r="Y262" s="68">
        <f t="shared" si="13"/>
        <v>4</v>
      </c>
      <c r="Z262" s="68">
        <f t="shared" si="14"/>
        <v>3</v>
      </c>
    </row>
    <row r="263" ht="332.65" hidden="1" spans="1:26">
      <c r="A263" s="66" t="s">
        <v>1026</v>
      </c>
      <c r="B263" s="71">
        <v>46089</v>
      </c>
      <c r="C263" s="71">
        <v>46119</v>
      </c>
      <c r="D263" s="66" t="s">
        <v>5</v>
      </c>
      <c r="E263" s="55" t="s">
        <v>1027</v>
      </c>
      <c r="F263" s="74" t="s">
        <v>1028</v>
      </c>
      <c r="G263" s="74"/>
      <c r="H263" s="32" t="s">
        <v>77</v>
      </c>
      <c r="I263" s="66">
        <v>1618.6</v>
      </c>
      <c r="J263" s="66">
        <v>161.86</v>
      </c>
      <c r="K263" s="67" t="s">
        <v>1029</v>
      </c>
      <c r="L263" s="66" t="s">
        <v>1026</v>
      </c>
      <c r="M263" s="74" t="s">
        <v>10</v>
      </c>
      <c r="N263" s="32" t="s">
        <v>115</v>
      </c>
      <c r="O263" s="67" t="s">
        <v>431</v>
      </c>
      <c r="P263" s="66"/>
      <c r="Q263" s="66"/>
      <c r="R263" s="66"/>
      <c r="S263" s="66"/>
      <c r="T263" s="66"/>
      <c r="U263" s="66"/>
      <c r="V263" s="66"/>
      <c r="W263" s="66"/>
      <c r="X263" s="68">
        <f t="shared" si="12"/>
        <v>2026</v>
      </c>
      <c r="Y263" s="68">
        <f t="shared" si="13"/>
        <v>4</v>
      </c>
      <c r="Z263" s="68">
        <f t="shared" si="14"/>
        <v>7</v>
      </c>
    </row>
    <row r="264" ht="409.5" hidden="1" spans="1:26">
      <c r="A264" s="66" t="s">
        <v>1030</v>
      </c>
      <c r="B264" s="71">
        <v>46113</v>
      </c>
      <c r="C264" s="71">
        <v>46119</v>
      </c>
      <c r="D264" s="66" t="s">
        <v>504</v>
      </c>
      <c r="E264" s="55" t="s">
        <v>1031</v>
      </c>
      <c r="F264" s="74" t="s">
        <v>1032</v>
      </c>
      <c r="G264" s="74"/>
      <c r="H264" s="74" t="s">
        <v>1033</v>
      </c>
      <c r="I264" s="66">
        <v>0</v>
      </c>
      <c r="J264" s="66">
        <v>999.64</v>
      </c>
      <c r="K264" s="67" t="s">
        <v>1034</v>
      </c>
      <c r="L264" s="66" t="s">
        <v>1030</v>
      </c>
      <c r="M264" s="74" t="s">
        <v>10</v>
      </c>
      <c r="N264" s="32" t="s">
        <v>115</v>
      </c>
      <c r="O264" s="67" t="s">
        <v>159</v>
      </c>
      <c r="P264" s="66"/>
      <c r="Q264" s="66"/>
      <c r="R264" s="66"/>
      <c r="S264" s="66"/>
      <c r="T264" s="66"/>
      <c r="U264" s="66"/>
      <c r="V264" s="66"/>
      <c r="W264" s="66"/>
      <c r="X264" s="68">
        <f t="shared" si="12"/>
        <v>2026</v>
      </c>
      <c r="Y264" s="68">
        <f t="shared" si="13"/>
        <v>4</v>
      </c>
      <c r="Z264" s="68">
        <f t="shared" si="14"/>
        <v>7</v>
      </c>
    </row>
    <row r="265" ht="409.5" hidden="1" spans="1:26">
      <c r="A265" s="127" t="s">
        <v>1035</v>
      </c>
      <c r="B265" s="71">
        <v>46119</v>
      </c>
      <c r="C265" s="71">
        <v>46119</v>
      </c>
      <c r="D265" s="66" t="s">
        <v>422</v>
      </c>
      <c r="E265" s="74" t="s">
        <v>1036</v>
      </c>
      <c r="F265" s="74" t="s">
        <v>1037</v>
      </c>
      <c r="G265" s="74"/>
      <c r="H265" s="74" t="s">
        <v>422</v>
      </c>
      <c r="I265" s="128">
        <v>18476.66</v>
      </c>
      <c r="J265" s="66">
        <v>1</v>
      </c>
      <c r="K265" s="67" t="s">
        <v>1038</v>
      </c>
      <c r="L265" s="129" t="s">
        <v>1035</v>
      </c>
      <c r="M265" s="74" t="s">
        <v>10</v>
      </c>
      <c r="N265" s="32" t="s">
        <v>115</v>
      </c>
      <c r="O265" s="67" t="s">
        <v>323</v>
      </c>
      <c r="P265" s="66"/>
      <c r="Q265" s="66"/>
      <c r="R265" s="66"/>
      <c r="S265" s="66"/>
      <c r="T265" s="66"/>
      <c r="U265" s="66"/>
      <c r="V265" s="66"/>
      <c r="W265" s="66"/>
      <c r="X265" s="68">
        <f t="shared" si="12"/>
        <v>2026</v>
      </c>
      <c r="Y265" s="68">
        <f t="shared" si="13"/>
        <v>4</v>
      </c>
      <c r="Z265" s="68">
        <f t="shared" si="14"/>
        <v>7</v>
      </c>
    </row>
    <row r="266" ht="409.5" hidden="1" spans="1:26">
      <c r="A266" s="74" t="s">
        <v>1039</v>
      </c>
      <c r="B266" s="108" t="s">
        <v>1040</v>
      </c>
      <c r="C266" s="71">
        <v>46119</v>
      </c>
      <c r="D266" s="66" t="s">
        <v>370</v>
      </c>
      <c r="E266" s="55" t="s">
        <v>1041</v>
      </c>
      <c r="F266" s="74" t="s">
        <v>1042</v>
      </c>
      <c r="G266" s="130"/>
      <c r="H266" s="74" t="s">
        <v>942</v>
      </c>
      <c r="I266" s="44">
        <v>28636.85</v>
      </c>
      <c r="J266" s="66">
        <v>7712.95</v>
      </c>
      <c r="K266" s="74" t="s">
        <v>1043</v>
      </c>
      <c r="L266" s="55" t="s">
        <v>1039</v>
      </c>
      <c r="M266" s="74" t="s">
        <v>10</v>
      </c>
      <c r="N266" s="74" t="s">
        <v>394</v>
      </c>
      <c r="O266" s="67" t="s">
        <v>159</v>
      </c>
      <c r="P266" s="66"/>
      <c r="Q266" s="66"/>
      <c r="R266" s="66"/>
      <c r="S266" s="66"/>
      <c r="T266" s="66"/>
      <c r="U266" s="66"/>
      <c r="V266" s="66"/>
      <c r="W266" s="66"/>
      <c r="X266" s="68">
        <f t="shared" si="12"/>
        <v>2026</v>
      </c>
      <c r="Y266" s="68">
        <f t="shared" si="13"/>
        <v>4</v>
      </c>
      <c r="Z266" s="68">
        <f t="shared" si="14"/>
        <v>7</v>
      </c>
    </row>
    <row r="267" ht="402" hidden="1" spans="1:26">
      <c r="A267" s="66" t="s">
        <v>1044</v>
      </c>
      <c r="B267" s="71">
        <v>45986</v>
      </c>
      <c r="C267" s="71">
        <v>46120</v>
      </c>
      <c r="D267" s="66" t="s">
        <v>5</v>
      </c>
      <c r="E267" s="55" t="s">
        <v>1045</v>
      </c>
      <c r="F267" s="74" t="s">
        <v>1046</v>
      </c>
      <c r="G267" s="130"/>
      <c r="H267" s="74" t="s">
        <v>37</v>
      </c>
      <c r="I267" s="66">
        <v>180</v>
      </c>
      <c r="J267" s="66">
        <v>336.962</v>
      </c>
      <c r="K267" s="21"/>
      <c r="L267" s="67" t="s">
        <v>1047</v>
      </c>
      <c r="M267" s="74" t="s">
        <v>10</v>
      </c>
      <c r="N267" s="32" t="s">
        <v>115</v>
      </c>
      <c r="O267" s="67" t="s">
        <v>159</v>
      </c>
      <c r="P267" s="66"/>
      <c r="Q267" s="66"/>
      <c r="R267" s="66"/>
      <c r="S267" s="66"/>
      <c r="T267" s="66"/>
      <c r="U267" s="66"/>
      <c r="V267" s="66"/>
      <c r="W267" s="66"/>
      <c r="X267" s="68">
        <f t="shared" si="12"/>
        <v>2026</v>
      </c>
      <c r="Y267" s="68">
        <f t="shared" si="13"/>
        <v>4</v>
      </c>
      <c r="Z267" s="68">
        <f t="shared" si="14"/>
        <v>8</v>
      </c>
    </row>
    <row r="268" ht="409.5" hidden="1" spans="1:26">
      <c r="A268" s="66" t="s">
        <v>1048</v>
      </c>
      <c r="B268" s="71"/>
      <c r="C268" s="71">
        <v>46120</v>
      </c>
      <c r="D268" s="66" t="s">
        <v>370</v>
      </c>
      <c r="E268" s="55" t="s">
        <v>1049</v>
      </c>
      <c r="F268" s="74" t="s">
        <v>1050</v>
      </c>
      <c r="G268" s="130"/>
      <c r="H268" s="74" t="s">
        <v>266</v>
      </c>
      <c r="I268" s="66">
        <v>3024</v>
      </c>
      <c r="J268" s="66">
        <v>235.58</v>
      </c>
      <c r="K268" s="66"/>
      <c r="L268" s="66" t="s">
        <v>1048</v>
      </c>
      <c r="M268" s="74" t="s">
        <v>10</v>
      </c>
      <c r="N268" s="74" t="s">
        <v>394</v>
      </c>
      <c r="O268" s="67" t="s">
        <v>159</v>
      </c>
      <c r="P268" s="66"/>
      <c r="Q268" s="66"/>
      <c r="R268" s="66"/>
      <c r="S268" s="66"/>
      <c r="T268" s="66"/>
      <c r="U268" s="66"/>
      <c r="V268" s="66"/>
      <c r="W268" s="66"/>
      <c r="X268" s="68">
        <f t="shared" si="12"/>
        <v>2026</v>
      </c>
      <c r="Y268" s="68">
        <f t="shared" si="13"/>
        <v>4</v>
      </c>
      <c r="Z268" s="68">
        <f t="shared" si="14"/>
        <v>8</v>
      </c>
    </row>
    <row r="269" ht="409.5" hidden="1" spans="1:26">
      <c r="A269" s="66" t="s">
        <v>1051</v>
      </c>
      <c r="B269" s="71">
        <v>46121</v>
      </c>
      <c r="C269" s="71">
        <v>46122</v>
      </c>
      <c r="D269" s="66" t="s">
        <v>370</v>
      </c>
      <c r="E269" s="55" t="s">
        <v>1052</v>
      </c>
      <c r="F269" s="74" t="s">
        <v>1053</v>
      </c>
      <c r="G269" s="130"/>
      <c r="H269" s="74" t="s">
        <v>266</v>
      </c>
      <c r="I269" s="66">
        <v>156</v>
      </c>
      <c r="J269" s="66">
        <v>27.16</v>
      </c>
      <c r="K269" s="66"/>
      <c r="L269" s="66" t="s">
        <v>1051</v>
      </c>
      <c r="M269" s="74" t="s">
        <v>10</v>
      </c>
      <c r="N269" s="74" t="s">
        <v>394</v>
      </c>
      <c r="O269" s="67" t="s">
        <v>159</v>
      </c>
      <c r="P269" s="66"/>
      <c r="Q269" s="66"/>
      <c r="R269" s="66"/>
      <c r="S269" s="66"/>
      <c r="T269" s="66"/>
      <c r="U269" s="66"/>
      <c r="V269" s="66"/>
      <c r="W269" s="66"/>
      <c r="X269" s="68">
        <f t="shared" si="12"/>
        <v>2026</v>
      </c>
      <c r="Y269" s="68">
        <f t="shared" si="13"/>
        <v>4</v>
      </c>
      <c r="Z269" s="68">
        <f t="shared" si="14"/>
        <v>10</v>
      </c>
    </row>
    <row r="270" ht="409.5" hidden="1" spans="1:26">
      <c r="A270" s="131" t="s">
        <v>1054</v>
      </c>
      <c r="B270" s="108" t="s">
        <v>1055</v>
      </c>
      <c r="C270" s="71">
        <v>46125</v>
      </c>
      <c r="D270" s="67" t="s">
        <v>1056</v>
      </c>
      <c r="E270" s="74" t="s">
        <v>1057</v>
      </c>
      <c r="F270" s="74" t="s">
        <v>1058</v>
      </c>
      <c r="G270" s="130"/>
      <c r="H270" s="74" t="s">
        <v>1056</v>
      </c>
      <c r="I270" s="66">
        <v>2020</v>
      </c>
      <c r="J270" s="66"/>
      <c r="K270" s="66"/>
      <c r="L270" s="74" t="s">
        <v>1059</v>
      </c>
      <c r="M270" s="74" t="s">
        <v>10</v>
      </c>
      <c r="N270" s="32" t="s">
        <v>115</v>
      </c>
      <c r="O270" s="67" t="s">
        <v>159</v>
      </c>
      <c r="P270" s="66"/>
      <c r="Q270" s="66"/>
      <c r="R270" s="66"/>
      <c r="S270" s="66"/>
      <c r="T270" s="66"/>
      <c r="U270" s="66"/>
      <c r="V270" s="66"/>
      <c r="W270" s="66"/>
      <c r="X270" s="68">
        <f t="shared" si="12"/>
        <v>2026</v>
      </c>
      <c r="Y270" s="68">
        <f t="shared" si="13"/>
        <v>4</v>
      </c>
      <c r="Z270" s="68">
        <f t="shared" si="14"/>
        <v>13</v>
      </c>
    </row>
    <row r="271" ht="409.5" hidden="1" spans="1:26">
      <c r="A271" s="66" t="s">
        <v>1060</v>
      </c>
      <c r="B271" s="71">
        <v>46115</v>
      </c>
      <c r="C271" s="71">
        <v>46125</v>
      </c>
      <c r="D271" s="66" t="s">
        <v>1061</v>
      </c>
      <c r="E271" s="55" t="s">
        <v>1062</v>
      </c>
      <c r="F271" s="55" t="s">
        <v>1063</v>
      </c>
      <c r="G271" s="130"/>
      <c r="H271" s="55" t="s">
        <v>1061</v>
      </c>
      <c r="I271" s="66">
        <v>3979.8</v>
      </c>
      <c r="J271" s="66">
        <v>14.74</v>
      </c>
      <c r="K271" s="66"/>
      <c r="L271" s="66" t="s">
        <v>1064</v>
      </c>
      <c r="M271" s="74" t="s">
        <v>10</v>
      </c>
      <c r="N271" s="74" t="s">
        <v>394</v>
      </c>
      <c r="O271" s="67" t="s">
        <v>159</v>
      </c>
      <c r="P271" s="66"/>
      <c r="Q271" s="66"/>
      <c r="R271" s="66"/>
      <c r="S271" s="66"/>
      <c r="T271" s="66"/>
      <c r="U271" s="66"/>
      <c r="V271" s="66"/>
      <c r="W271" s="66"/>
      <c r="X271" s="68">
        <f t="shared" si="12"/>
        <v>2026</v>
      </c>
      <c r="Y271" s="68">
        <f t="shared" si="13"/>
        <v>4</v>
      </c>
      <c r="Z271" s="68">
        <f t="shared" si="14"/>
        <v>13</v>
      </c>
    </row>
    <row r="272" ht="409.5" hidden="1" spans="1:26">
      <c r="A272" s="67" t="s">
        <v>1065</v>
      </c>
      <c r="B272" s="71">
        <v>46094</v>
      </c>
      <c r="C272" s="71">
        <v>46126</v>
      </c>
      <c r="D272" s="67" t="s">
        <v>5</v>
      </c>
      <c r="E272" s="74" t="s">
        <v>1066</v>
      </c>
      <c r="F272" s="74" t="s">
        <v>1067</v>
      </c>
      <c r="G272" s="130"/>
      <c r="H272" s="74" t="s">
        <v>75</v>
      </c>
      <c r="I272" s="66">
        <v>4187.4</v>
      </c>
      <c r="J272" s="66">
        <v>139.58</v>
      </c>
      <c r="K272" s="66"/>
      <c r="L272" s="67" t="s">
        <v>1065</v>
      </c>
      <c r="M272" s="74" t="s">
        <v>13</v>
      </c>
      <c r="N272" s="74" t="s">
        <v>115</v>
      </c>
      <c r="O272" s="67" t="s">
        <v>900</v>
      </c>
      <c r="P272" s="66"/>
      <c r="Q272" s="66"/>
      <c r="R272" s="66"/>
      <c r="S272" s="66"/>
      <c r="T272" s="66"/>
      <c r="U272" s="66"/>
      <c r="V272" s="66"/>
      <c r="W272" s="66"/>
      <c r="X272" s="68">
        <f t="shared" si="12"/>
        <v>2026</v>
      </c>
      <c r="Y272" s="68">
        <f t="shared" si="13"/>
        <v>4</v>
      </c>
      <c r="Z272" s="68">
        <f t="shared" si="14"/>
        <v>14</v>
      </c>
    </row>
    <row r="273" ht="409.5" hidden="1" spans="1:26">
      <c r="A273" s="67" t="s">
        <v>1068</v>
      </c>
      <c r="B273" s="71">
        <v>46104</v>
      </c>
      <c r="C273" s="71">
        <v>46126</v>
      </c>
      <c r="D273" s="67" t="s">
        <v>5</v>
      </c>
      <c r="E273" s="74" t="s">
        <v>1069</v>
      </c>
      <c r="F273" s="74" t="s">
        <v>1070</v>
      </c>
      <c r="G273" s="130"/>
      <c r="H273" s="74" t="s">
        <v>75</v>
      </c>
      <c r="I273" s="66">
        <v>8997.6</v>
      </c>
      <c r="J273" s="66">
        <v>449.88</v>
      </c>
      <c r="K273" s="66"/>
      <c r="L273" s="67" t="s">
        <v>1068</v>
      </c>
      <c r="M273" s="74" t="s">
        <v>13</v>
      </c>
      <c r="N273" s="74" t="s">
        <v>115</v>
      </c>
      <c r="O273" s="67" t="s">
        <v>900</v>
      </c>
      <c r="P273" s="66"/>
      <c r="Q273" s="66"/>
      <c r="R273" s="66"/>
      <c r="S273" s="66"/>
      <c r="T273" s="66"/>
      <c r="U273" s="66"/>
      <c r="V273" s="66"/>
      <c r="W273" s="66"/>
      <c r="X273" s="68">
        <f t="shared" si="12"/>
        <v>2026</v>
      </c>
      <c r="Y273" s="68">
        <f t="shared" si="13"/>
        <v>4</v>
      </c>
      <c r="Z273" s="68">
        <f t="shared" si="14"/>
        <v>14</v>
      </c>
    </row>
    <row r="274" ht="318.75" hidden="1" spans="1:26">
      <c r="A274" s="67" t="s">
        <v>1071</v>
      </c>
      <c r="B274" s="71">
        <v>46106</v>
      </c>
      <c r="C274" s="71">
        <v>46127</v>
      </c>
      <c r="D274" s="67" t="s">
        <v>5</v>
      </c>
      <c r="E274" s="74" t="s">
        <v>1072</v>
      </c>
      <c r="F274" s="74" t="s">
        <v>1073</v>
      </c>
      <c r="G274" s="130"/>
      <c r="H274" s="74" t="s">
        <v>77</v>
      </c>
      <c r="I274" s="66">
        <v>12893.4</v>
      </c>
      <c r="J274" s="66">
        <v>961.35</v>
      </c>
      <c r="K274" s="67" t="s">
        <v>1074</v>
      </c>
      <c r="L274" s="67" t="s">
        <v>1071</v>
      </c>
      <c r="M274" s="74" t="s">
        <v>13</v>
      </c>
      <c r="N274" s="74" t="s">
        <v>115</v>
      </c>
      <c r="O274" s="67" t="s">
        <v>363</v>
      </c>
      <c r="P274" s="66"/>
      <c r="Q274" s="66"/>
      <c r="R274" s="66"/>
      <c r="S274" s="66"/>
      <c r="T274" s="66"/>
      <c r="U274" s="66"/>
      <c r="V274" s="66"/>
      <c r="W274" s="66"/>
      <c r="X274" s="68">
        <f t="shared" si="12"/>
        <v>2026</v>
      </c>
      <c r="Y274" s="68">
        <f t="shared" si="13"/>
        <v>4</v>
      </c>
      <c r="Z274" s="68">
        <f t="shared" si="14"/>
        <v>15</v>
      </c>
    </row>
    <row r="275" ht="409.5" hidden="1" spans="1:26">
      <c r="A275" s="67" t="s">
        <v>1075</v>
      </c>
      <c r="B275" s="71">
        <v>46106</v>
      </c>
      <c r="C275" s="71">
        <v>46127</v>
      </c>
      <c r="D275" s="67" t="s">
        <v>5</v>
      </c>
      <c r="E275" s="74" t="s">
        <v>897</v>
      </c>
      <c r="F275" s="76" t="s">
        <v>1076</v>
      </c>
      <c r="G275" s="130"/>
      <c r="H275" s="74" t="s">
        <v>75</v>
      </c>
      <c r="I275" s="66">
        <v>15835</v>
      </c>
      <c r="J275" s="66">
        <v>622.69</v>
      </c>
      <c r="K275" s="66"/>
      <c r="L275" s="67" t="s">
        <v>1075</v>
      </c>
      <c r="M275" s="74" t="s">
        <v>13</v>
      </c>
      <c r="N275" s="74" t="s">
        <v>115</v>
      </c>
      <c r="O275" s="67" t="s">
        <v>900</v>
      </c>
      <c r="P275" s="66"/>
      <c r="Q275" s="66"/>
      <c r="R275" s="66"/>
      <c r="S275" s="66"/>
      <c r="T275" s="66"/>
      <c r="U275" s="66"/>
      <c r="V275" s="66"/>
      <c r="W275" s="66"/>
      <c r="X275" s="68">
        <f t="shared" si="12"/>
        <v>2026</v>
      </c>
      <c r="Y275" s="68">
        <f t="shared" si="13"/>
        <v>4</v>
      </c>
      <c r="Z275" s="68">
        <f t="shared" si="14"/>
        <v>15</v>
      </c>
    </row>
    <row r="276" ht="304.9" hidden="1" spans="1:26">
      <c r="A276" s="66" t="s">
        <v>1030</v>
      </c>
      <c r="B276" s="71">
        <v>46127</v>
      </c>
      <c r="C276" s="71">
        <v>46128</v>
      </c>
      <c r="D276" s="67" t="s">
        <v>5</v>
      </c>
      <c r="E276" s="55" t="s">
        <v>1077</v>
      </c>
      <c r="F276" s="74" t="s">
        <v>1078</v>
      </c>
      <c r="G276" s="130"/>
      <c r="H276" s="74" t="s">
        <v>75</v>
      </c>
      <c r="I276" s="66">
        <v>9965.88</v>
      </c>
      <c r="J276" s="66">
        <v>996.588</v>
      </c>
      <c r="K276" s="67" t="s">
        <v>1079</v>
      </c>
      <c r="L276" s="66" t="s">
        <v>1030</v>
      </c>
      <c r="M276" s="74" t="s">
        <v>10</v>
      </c>
      <c r="N276" s="74" t="s">
        <v>115</v>
      </c>
      <c r="O276" s="67" t="s">
        <v>159</v>
      </c>
      <c r="P276" s="66"/>
      <c r="Q276" s="66"/>
      <c r="R276" s="66"/>
      <c r="S276" s="66"/>
      <c r="T276" s="66"/>
      <c r="U276" s="66"/>
      <c r="V276" s="66"/>
      <c r="W276" s="66"/>
      <c r="X276" s="68">
        <f t="shared" si="12"/>
        <v>2026</v>
      </c>
      <c r="Y276" s="25">
        <f t="shared" si="13"/>
        <v>4</v>
      </c>
      <c r="Z276" s="68">
        <f t="shared" si="14"/>
        <v>16</v>
      </c>
    </row>
    <row r="277" ht="332.65" hidden="1" spans="1:26">
      <c r="A277" s="67" t="s">
        <v>1080</v>
      </c>
      <c r="B277" s="71">
        <v>46112</v>
      </c>
      <c r="C277" s="71">
        <v>46127</v>
      </c>
      <c r="D277" s="66" t="s">
        <v>504</v>
      </c>
      <c r="E277" s="55" t="s">
        <v>1081</v>
      </c>
      <c r="F277" s="74" t="s">
        <v>1082</v>
      </c>
      <c r="G277" s="130"/>
      <c r="H277" s="74" t="s">
        <v>1033</v>
      </c>
      <c r="I277" s="66"/>
      <c r="J277" s="66"/>
      <c r="K277" s="67" t="s">
        <v>1083</v>
      </c>
      <c r="L277" s="67" t="s">
        <v>1080</v>
      </c>
      <c r="M277" s="74" t="s">
        <v>10</v>
      </c>
      <c r="N277" s="74" t="s">
        <v>394</v>
      </c>
      <c r="O277" s="67" t="s">
        <v>323</v>
      </c>
      <c r="P277" s="66"/>
      <c r="Q277" s="66"/>
      <c r="R277" s="66"/>
      <c r="S277" s="66"/>
      <c r="T277" s="66"/>
      <c r="U277" s="66"/>
      <c r="V277" s="66"/>
      <c r="W277" s="66"/>
      <c r="X277" s="68">
        <f t="shared" si="12"/>
        <v>2026</v>
      </c>
      <c r="Y277" s="25">
        <f t="shared" si="13"/>
        <v>4</v>
      </c>
      <c r="Z277" s="68">
        <f t="shared" si="14"/>
        <v>15</v>
      </c>
    </row>
    <row r="278" ht="409.5" hidden="1" spans="1:26">
      <c r="A278" s="66" t="s">
        <v>1084</v>
      </c>
      <c r="B278" s="71">
        <v>46127</v>
      </c>
      <c r="C278" s="71">
        <v>46128</v>
      </c>
      <c r="D278" s="67" t="s">
        <v>1085</v>
      </c>
      <c r="E278" s="74" t="s">
        <v>1086</v>
      </c>
      <c r="F278" s="74" t="s">
        <v>1087</v>
      </c>
      <c r="G278" s="130"/>
      <c r="H278" s="74" t="s">
        <v>266</v>
      </c>
      <c r="I278" s="66">
        <v>850</v>
      </c>
      <c r="J278" s="66"/>
      <c r="K278" s="66"/>
      <c r="L278" s="66" t="s">
        <v>1084</v>
      </c>
      <c r="M278" s="74" t="s">
        <v>10</v>
      </c>
      <c r="N278" s="74" t="s">
        <v>394</v>
      </c>
      <c r="O278" s="67" t="s">
        <v>159</v>
      </c>
      <c r="P278" s="66"/>
      <c r="Q278" s="66"/>
      <c r="R278" s="66"/>
      <c r="S278" s="66"/>
      <c r="T278" s="66"/>
      <c r="U278" s="66"/>
      <c r="V278" s="66"/>
      <c r="W278" s="66"/>
      <c r="X278" s="68">
        <f t="shared" si="12"/>
        <v>2026</v>
      </c>
      <c r="Y278" s="25">
        <f t="shared" si="13"/>
        <v>4</v>
      </c>
      <c r="Z278" s="68">
        <f t="shared" si="14"/>
        <v>16</v>
      </c>
    </row>
    <row r="279" ht="409.5" hidden="1" spans="1:26">
      <c r="A279" s="66" t="s">
        <v>1088</v>
      </c>
      <c r="B279" s="71">
        <v>46127</v>
      </c>
      <c r="C279" s="71">
        <v>46128</v>
      </c>
      <c r="D279" s="67" t="s">
        <v>370</v>
      </c>
      <c r="E279" s="74" t="s">
        <v>1089</v>
      </c>
      <c r="F279" s="74" t="s">
        <v>1090</v>
      </c>
      <c r="G279" s="130"/>
      <c r="H279" s="74" t="s">
        <v>266</v>
      </c>
      <c r="I279" s="66">
        <v>485</v>
      </c>
      <c r="J279" s="66"/>
      <c r="K279" s="66"/>
      <c r="L279" s="66" t="s">
        <v>1088</v>
      </c>
      <c r="M279" s="74" t="s">
        <v>10</v>
      </c>
      <c r="N279" s="74" t="s">
        <v>394</v>
      </c>
      <c r="O279" s="67" t="s">
        <v>159</v>
      </c>
      <c r="P279" s="66"/>
      <c r="Q279" s="66"/>
      <c r="R279" s="66"/>
      <c r="S279" s="66"/>
      <c r="T279" s="66"/>
      <c r="U279" s="66"/>
      <c r="V279" s="66"/>
      <c r="W279" s="66"/>
      <c r="X279" s="68">
        <f t="shared" si="12"/>
        <v>2026</v>
      </c>
      <c r="Y279" s="25">
        <f t="shared" si="13"/>
        <v>4</v>
      </c>
      <c r="Z279" s="68">
        <f t="shared" si="14"/>
        <v>16</v>
      </c>
    </row>
    <row r="280" ht="409.5" hidden="1" spans="1:26">
      <c r="A280" s="66" t="s">
        <v>1091</v>
      </c>
      <c r="B280" s="71">
        <v>46127</v>
      </c>
      <c r="C280" s="71">
        <v>46128</v>
      </c>
      <c r="D280" s="67" t="s">
        <v>370</v>
      </c>
      <c r="E280" s="74" t="s">
        <v>1089</v>
      </c>
      <c r="F280" s="74" t="s">
        <v>1092</v>
      </c>
      <c r="G280" s="130"/>
      <c r="H280" s="74" t="s">
        <v>266</v>
      </c>
      <c r="I280" s="66">
        <v>1872</v>
      </c>
      <c r="J280" s="66"/>
      <c r="K280" s="66"/>
      <c r="L280" s="66" t="s">
        <v>1091</v>
      </c>
      <c r="M280" s="74" t="s">
        <v>10</v>
      </c>
      <c r="N280" s="74" t="s">
        <v>394</v>
      </c>
      <c r="O280" s="67" t="s">
        <v>159</v>
      </c>
      <c r="P280" s="66"/>
      <c r="Q280" s="66"/>
      <c r="R280" s="66"/>
      <c r="S280" s="66"/>
      <c r="T280" s="66"/>
      <c r="U280" s="66"/>
      <c r="V280" s="66"/>
      <c r="W280" s="66"/>
      <c r="X280" s="68">
        <f t="shared" si="12"/>
        <v>2026</v>
      </c>
      <c r="Y280" s="25">
        <f t="shared" si="13"/>
        <v>4</v>
      </c>
      <c r="Z280" s="68">
        <f t="shared" si="14"/>
        <v>16</v>
      </c>
    </row>
    <row r="281" ht="374.25" hidden="1" spans="1:26">
      <c r="A281" s="67" t="s">
        <v>1093</v>
      </c>
      <c r="B281" s="71">
        <v>46096</v>
      </c>
      <c r="C281" s="71">
        <v>46132</v>
      </c>
      <c r="D281" s="67" t="s">
        <v>5</v>
      </c>
      <c r="E281" s="74" t="s">
        <v>1094</v>
      </c>
      <c r="F281" s="74" t="s">
        <v>1095</v>
      </c>
      <c r="G281" s="130"/>
      <c r="H281" s="74" t="s">
        <v>75</v>
      </c>
      <c r="I281" s="66">
        <v>12073.69</v>
      </c>
      <c r="J281" s="66">
        <v>413.34</v>
      </c>
      <c r="K281" s="66"/>
      <c r="L281" s="67" t="s">
        <v>1093</v>
      </c>
      <c r="M281" s="74" t="s">
        <v>13</v>
      </c>
      <c r="N281" s="74" t="s">
        <v>115</v>
      </c>
      <c r="O281" s="67" t="s">
        <v>900</v>
      </c>
      <c r="P281" s="66"/>
      <c r="Q281" s="66"/>
      <c r="R281" s="66"/>
      <c r="S281" s="66"/>
      <c r="T281" s="66"/>
      <c r="U281" s="66"/>
      <c r="V281" s="66"/>
      <c r="W281" s="66"/>
      <c r="X281" s="68">
        <f t="shared" si="12"/>
        <v>2026</v>
      </c>
      <c r="Y281" s="25">
        <f t="shared" si="13"/>
        <v>4</v>
      </c>
      <c r="Z281" s="68">
        <f t="shared" si="14"/>
        <v>20</v>
      </c>
    </row>
    <row r="282" ht="409.5" hidden="1" spans="1:26">
      <c r="A282" s="67" t="s">
        <v>1096</v>
      </c>
      <c r="B282" s="71">
        <v>46101</v>
      </c>
      <c r="C282" s="71">
        <v>46132</v>
      </c>
      <c r="D282" s="67" t="s">
        <v>5</v>
      </c>
      <c r="E282" s="74" t="s">
        <v>897</v>
      </c>
      <c r="F282" s="74" t="s">
        <v>1097</v>
      </c>
      <c r="G282" s="130"/>
      <c r="H282" s="74" t="s">
        <v>75</v>
      </c>
      <c r="I282" s="66">
        <v>13135.5</v>
      </c>
      <c r="J282" s="66">
        <v>524.42</v>
      </c>
      <c r="K282" s="66"/>
      <c r="L282" s="67" t="s">
        <v>1096</v>
      </c>
      <c r="M282" s="74" t="s">
        <v>13</v>
      </c>
      <c r="N282" s="74" t="s">
        <v>115</v>
      </c>
      <c r="O282" s="67" t="s">
        <v>900</v>
      </c>
      <c r="P282" s="66"/>
      <c r="Q282" s="66"/>
      <c r="R282" s="66"/>
      <c r="S282" s="66"/>
      <c r="T282" s="66"/>
      <c r="U282" s="66"/>
      <c r="V282" s="66"/>
      <c r="W282" s="66"/>
      <c r="X282" s="68">
        <f t="shared" si="12"/>
        <v>2026</v>
      </c>
      <c r="Y282" s="25">
        <f t="shared" si="13"/>
        <v>4</v>
      </c>
      <c r="Z282" s="68">
        <f t="shared" si="14"/>
        <v>20</v>
      </c>
    </row>
    <row r="283" ht="409.5" hidden="1" spans="1:26">
      <c r="A283" s="78" t="s">
        <v>1098</v>
      </c>
      <c r="B283" s="71">
        <v>46047</v>
      </c>
      <c r="C283" s="71">
        <v>46133</v>
      </c>
      <c r="D283" s="67" t="s">
        <v>5</v>
      </c>
      <c r="E283" s="132" t="s">
        <v>1099</v>
      </c>
      <c r="F283" s="74" t="s">
        <v>1100</v>
      </c>
      <c r="G283" s="130"/>
      <c r="H283" s="74" t="s">
        <v>50</v>
      </c>
      <c r="I283" s="66">
        <v>1593.45</v>
      </c>
      <c r="J283" s="66">
        <v>52.8</v>
      </c>
      <c r="K283" s="66"/>
      <c r="L283" s="67" t="s">
        <v>1098</v>
      </c>
      <c r="M283" s="74" t="s">
        <v>13</v>
      </c>
      <c r="N283" s="74" t="s">
        <v>115</v>
      </c>
      <c r="O283" s="67" t="s">
        <v>363</v>
      </c>
      <c r="P283" s="66"/>
      <c r="Q283" s="66"/>
      <c r="R283" s="66"/>
      <c r="S283" s="66"/>
      <c r="T283" s="66"/>
      <c r="U283" s="66"/>
      <c r="V283" s="66"/>
      <c r="W283" s="66"/>
      <c r="X283" s="68">
        <f t="shared" si="12"/>
        <v>2026</v>
      </c>
      <c r="Y283" s="25">
        <f t="shared" si="13"/>
        <v>4</v>
      </c>
      <c r="Z283" s="68">
        <f t="shared" si="14"/>
        <v>21</v>
      </c>
    </row>
    <row r="284" ht="409.5" hidden="1" spans="1:26">
      <c r="A284" s="58" t="s">
        <v>1101</v>
      </c>
      <c r="B284" s="71">
        <v>46112</v>
      </c>
      <c r="C284" s="71">
        <v>46135</v>
      </c>
      <c r="D284" s="67" t="s">
        <v>5</v>
      </c>
      <c r="E284" s="74" t="s">
        <v>1102</v>
      </c>
      <c r="F284" s="133" t="s">
        <v>1103</v>
      </c>
      <c r="G284" s="76" t="s">
        <v>980</v>
      </c>
      <c r="H284" s="74" t="s">
        <v>50</v>
      </c>
      <c r="I284" s="66">
        <v>2679.28</v>
      </c>
      <c r="J284" s="66">
        <v>466.96</v>
      </c>
      <c r="K284" s="66" t="s">
        <v>1104</v>
      </c>
      <c r="L284" s="58" t="s">
        <v>1101</v>
      </c>
      <c r="M284" s="74" t="s">
        <v>12</v>
      </c>
      <c r="N284" s="74" t="s">
        <v>115</v>
      </c>
      <c r="O284" s="67" t="s">
        <v>482</v>
      </c>
      <c r="P284" s="66"/>
      <c r="Q284" s="66"/>
      <c r="R284" s="66"/>
      <c r="S284" s="66"/>
      <c r="T284" s="66"/>
      <c r="U284" s="66"/>
      <c r="V284" s="66"/>
      <c r="W284" s="66"/>
      <c r="X284" s="68">
        <f t="shared" si="12"/>
        <v>2026</v>
      </c>
      <c r="Y284" s="25">
        <f t="shared" si="13"/>
        <v>4</v>
      </c>
      <c r="Z284" s="68">
        <f t="shared" si="14"/>
        <v>23</v>
      </c>
    </row>
    <row r="285" ht="409.5" hidden="1" spans="1:26">
      <c r="A285" s="66" t="s">
        <v>1105</v>
      </c>
      <c r="B285" s="71">
        <v>46099</v>
      </c>
      <c r="C285" s="71">
        <v>46140</v>
      </c>
      <c r="D285" s="67" t="s">
        <v>5</v>
      </c>
      <c r="E285" s="71" t="s">
        <v>1106</v>
      </c>
      <c r="F285" s="74" t="s">
        <v>1107</v>
      </c>
      <c r="G285" s="76" t="s">
        <v>1108</v>
      </c>
      <c r="H285" s="74" t="s">
        <v>75</v>
      </c>
      <c r="I285" s="105">
        <v>41388.13</v>
      </c>
      <c r="J285" s="105">
        <v>1971.46</v>
      </c>
      <c r="K285" s="74" t="s">
        <v>1109</v>
      </c>
      <c r="L285" s="66" t="s">
        <v>1105</v>
      </c>
      <c r="M285" s="74" t="s">
        <v>10</v>
      </c>
      <c r="N285" s="74" t="s">
        <v>10</v>
      </c>
      <c r="O285" s="67" t="s">
        <v>149</v>
      </c>
      <c r="P285" s="66"/>
      <c r="Q285" s="66"/>
      <c r="R285" s="66"/>
      <c r="S285" s="66"/>
      <c r="T285" s="66"/>
      <c r="U285" s="66"/>
      <c r="V285" s="66"/>
      <c r="W285" s="66"/>
      <c r="X285" s="68">
        <f t="shared" si="12"/>
        <v>2026</v>
      </c>
      <c r="Y285" s="25">
        <f t="shared" si="13"/>
        <v>4</v>
      </c>
      <c r="Z285" s="68">
        <f t="shared" si="14"/>
        <v>28</v>
      </c>
    </row>
    <row r="286" ht="409.5" hidden="1" spans="1:26">
      <c r="A286" s="67" t="s">
        <v>1110</v>
      </c>
      <c r="B286" s="71">
        <v>46135</v>
      </c>
      <c r="C286" s="71">
        <v>46140</v>
      </c>
      <c r="D286" s="67" t="s">
        <v>504</v>
      </c>
      <c r="E286" s="74" t="s">
        <v>1111</v>
      </c>
      <c r="F286" s="74" t="s">
        <v>1112</v>
      </c>
      <c r="G286" s="130"/>
      <c r="H286" s="74" t="s">
        <v>1113</v>
      </c>
      <c r="I286" s="66">
        <v>8156.04</v>
      </c>
      <c r="J286" s="66">
        <v>57.71</v>
      </c>
      <c r="K286" s="67" t="s">
        <v>1114</v>
      </c>
      <c r="L286" s="67" t="s">
        <v>1110</v>
      </c>
      <c r="M286" s="74" t="s">
        <v>13</v>
      </c>
      <c r="N286" s="74" t="s">
        <v>115</v>
      </c>
      <c r="O286" s="67" t="s">
        <v>363</v>
      </c>
      <c r="P286" s="66"/>
      <c r="Q286" s="66"/>
      <c r="R286" s="66"/>
      <c r="S286" s="66"/>
      <c r="T286" s="66"/>
      <c r="U286" s="66"/>
      <c r="V286" s="66"/>
      <c r="W286" s="66"/>
      <c r="X286" s="68">
        <f t="shared" si="12"/>
        <v>2026</v>
      </c>
      <c r="Y286" s="25">
        <f t="shared" si="13"/>
        <v>4</v>
      </c>
      <c r="Z286" s="68">
        <f t="shared" si="14"/>
        <v>28</v>
      </c>
    </row>
    <row r="287" ht="409.5" hidden="1" spans="1:26">
      <c r="A287" s="67" t="s">
        <v>1115</v>
      </c>
      <c r="B287" s="71">
        <v>46139</v>
      </c>
      <c r="C287" s="77">
        <v>46140</v>
      </c>
      <c r="D287" s="67" t="s">
        <v>504</v>
      </c>
      <c r="E287" s="74" t="s">
        <v>1116</v>
      </c>
      <c r="F287" s="74" t="s">
        <v>1117</v>
      </c>
      <c r="G287" s="130"/>
      <c r="H287" s="74" t="s">
        <v>1118</v>
      </c>
      <c r="I287" s="66">
        <v>14720.44</v>
      </c>
      <c r="J287" s="66">
        <v>134.01</v>
      </c>
      <c r="K287" s="67" t="s">
        <v>1114</v>
      </c>
      <c r="L287" s="67" t="s">
        <v>1119</v>
      </c>
      <c r="M287" s="74" t="s">
        <v>13</v>
      </c>
      <c r="N287" s="74" t="s">
        <v>115</v>
      </c>
      <c r="O287" s="67" t="s">
        <v>363</v>
      </c>
      <c r="P287" s="66"/>
      <c r="Q287" s="66"/>
      <c r="R287" s="66"/>
      <c r="S287" s="66"/>
      <c r="T287" s="66"/>
      <c r="U287" s="66"/>
      <c r="V287" s="66"/>
      <c r="W287" s="66"/>
      <c r="X287" s="68">
        <f t="shared" si="12"/>
        <v>2026</v>
      </c>
      <c r="Y287" s="25">
        <f t="shared" si="13"/>
        <v>4</v>
      </c>
      <c r="Z287" s="68">
        <f t="shared" si="14"/>
        <v>28</v>
      </c>
    </row>
    <row r="288" ht="409.5" hidden="1" spans="1:26">
      <c r="A288" s="67" t="s">
        <v>1120</v>
      </c>
      <c r="B288" s="71">
        <v>46107</v>
      </c>
      <c r="C288" s="77">
        <v>46148</v>
      </c>
      <c r="D288" s="67" t="s">
        <v>5</v>
      </c>
      <c r="E288" s="74" t="s">
        <v>1121</v>
      </c>
      <c r="F288" s="74" t="s">
        <v>1122</v>
      </c>
      <c r="G288" s="130"/>
      <c r="H288" s="74" t="s">
        <v>77</v>
      </c>
      <c r="I288" s="66">
        <v>2859.9</v>
      </c>
      <c r="J288" s="105">
        <v>285.99</v>
      </c>
      <c r="K288" s="67" t="s">
        <v>1123</v>
      </c>
      <c r="L288" s="66" t="s">
        <v>1120</v>
      </c>
      <c r="M288" s="74" t="s">
        <v>10</v>
      </c>
      <c r="N288" s="74" t="s">
        <v>10</v>
      </c>
      <c r="O288" s="67" t="s">
        <v>149</v>
      </c>
      <c r="P288" s="66"/>
      <c r="Q288" s="66"/>
      <c r="R288" s="66"/>
      <c r="S288" s="66"/>
      <c r="T288" s="66"/>
      <c r="U288" s="66"/>
      <c r="V288" s="66"/>
      <c r="W288" s="66"/>
      <c r="X288" s="68">
        <f t="shared" si="12"/>
        <v>2026</v>
      </c>
      <c r="Y288" s="25">
        <f t="shared" si="13"/>
        <v>5</v>
      </c>
      <c r="Z288" s="68">
        <f t="shared" si="14"/>
        <v>6</v>
      </c>
    </row>
    <row r="289" ht="409.5" hidden="1" spans="1:26">
      <c r="A289" s="67" t="s">
        <v>1124</v>
      </c>
      <c r="B289" s="71">
        <v>46139</v>
      </c>
      <c r="C289" s="71">
        <v>46150</v>
      </c>
      <c r="D289" s="67" t="s">
        <v>5</v>
      </c>
      <c r="E289" s="55" t="s">
        <v>1125</v>
      </c>
      <c r="F289" s="74" t="s">
        <v>1126</v>
      </c>
      <c r="G289" s="130"/>
      <c r="H289" s="74" t="s">
        <v>55</v>
      </c>
      <c r="I289" s="66">
        <v>67418.87</v>
      </c>
      <c r="J289" s="66">
        <v>549.685</v>
      </c>
      <c r="K289" s="66"/>
      <c r="L289" s="66" t="s">
        <v>1124</v>
      </c>
      <c r="M289" s="74" t="s">
        <v>10</v>
      </c>
      <c r="N289" s="74" t="s">
        <v>115</v>
      </c>
      <c r="O289" s="67" t="s">
        <v>159</v>
      </c>
      <c r="P289" s="66"/>
      <c r="Q289" s="66"/>
      <c r="R289" s="66"/>
      <c r="S289" s="66"/>
      <c r="T289" s="66"/>
      <c r="U289" s="66"/>
      <c r="V289" s="66"/>
      <c r="W289" s="66"/>
      <c r="X289" s="68">
        <f t="shared" si="12"/>
        <v>2026</v>
      </c>
      <c r="Y289" s="25">
        <f t="shared" si="13"/>
        <v>5</v>
      </c>
      <c r="Z289" s="68">
        <f t="shared" si="14"/>
        <v>8</v>
      </c>
    </row>
    <row r="290" ht="409.5" hidden="1" spans="1:26">
      <c r="A290" s="67" t="s">
        <v>1127</v>
      </c>
      <c r="B290" s="71">
        <v>46136</v>
      </c>
      <c r="C290" s="71">
        <v>46150</v>
      </c>
      <c r="D290" s="67" t="s">
        <v>5</v>
      </c>
      <c r="E290" s="55" t="s">
        <v>1128</v>
      </c>
      <c r="F290" s="74" t="s">
        <v>1129</v>
      </c>
      <c r="G290" s="130"/>
      <c r="H290" s="74" t="s">
        <v>67</v>
      </c>
      <c r="I290" s="66">
        <v>7164.75</v>
      </c>
      <c r="J290" s="66">
        <v>540.52</v>
      </c>
      <c r="K290" s="66"/>
      <c r="L290" s="66" t="s">
        <v>1127</v>
      </c>
      <c r="M290" s="74" t="s">
        <v>10</v>
      </c>
      <c r="N290" s="74" t="s">
        <v>115</v>
      </c>
      <c r="O290" s="67" t="s">
        <v>159</v>
      </c>
      <c r="P290" s="66"/>
      <c r="Q290" s="66"/>
      <c r="R290" s="66"/>
      <c r="S290" s="66"/>
      <c r="T290" s="66"/>
      <c r="U290" s="66"/>
      <c r="V290" s="66"/>
      <c r="W290" s="66"/>
      <c r="X290" s="68">
        <f t="shared" si="12"/>
        <v>2026</v>
      </c>
      <c r="Y290" s="25">
        <f t="shared" si="13"/>
        <v>5</v>
      </c>
      <c r="Z290" s="68">
        <f t="shared" si="14"/>
        <v>8</v>
      </c>
    </row>
    <row r="291" ht="360.4" hidden="1" spans="1:26">
      <c r="A291" s="66" t="s">
        <v>1130</v>
      </c>
      <c r="B291" s="71">
        <v>46146</v>
      </c>
      <c r="C291" s="71">
        <v>46150</v>
      </c>
      <c r="D291" s="67" t="s">
        <v>218</v>
      </c>
      <c r="E291" s="74" t="s">
        <v>1131</v>
      </c>
      <c r="F291" s="74" t="s">
        <v>1132</v>
      </c>
      <c r="G291" s="130"/>
      <c r="H291" s="74" t="s">
        <v>221</v>
      </c>
      <c r="I291" s="66">
        <v>463.45</v>
      </c>
      <c r="J291" s="66">
        <v>185.38</v>
      </c>
      <c r="K291" s="66"/>
      <c r="L291" s="66" t="s">
        <v>1130</v>
      </c>
      <c r="M291" s="74" t="s">
        <v>10</v>
      </c>
      <c r="N291" s="74" t="s">
        <v>115</v>
      </c>
      <c r="O291" s="67" t="s">
        <v>229</v>
      </c>
      <c r="P291" s="66"/>
      <c r="Q291" s="66"/>
      <c r="R291" s="66"/>
      <c r="S291" s="66"/>
      <c r="T291" s="66"/>
      <c r="U291" s="66"/>
      <c r="V291" s="66"/>
      <c r="W291" s="66"/>
      <c r="X291" s="68">
        <f t="shared" si="12"/>
        <v>2026</v>
      </c>
      <c r="Y291" s="25">
        <f t="shared" si="13"/>
        <v>5</v>
      </c>
      <c r="Z291" s="68">
        <f t="shared" si="14"/>
        <v>8</v>
      </c>
    </row>
    <row r="292" ht="409.5" hidden="1" spans="1:26">
      <c r="A292" s="66" t="s">
        <v>1133</v>
      </c>
      <c r="B292" s="71">
        <v>46147</v>
      </c>
      <c r="C292" s="71">
        <v>46150</v>
      </c>
      <c r="D292" s="67" t="s">
        <v>370</v>
      </c>
      <c r="E292" s="74" t="s">
        <v>1134</v>
      </c>
      <c r="F292" s="74" t="s">
        <v>1135</v>
      </c>
      <c r="G292" s="130"/>
      <c r="H292" s="74" t="s">
        <v>266</v>
      </c>
      <c r="I292" s="66">
        <v>9215</v>
      </c>
      <c r="J292" s="66"/>
      <c r="K292" s="66"/>
      <c r="L292" s="66" t="s">
        <v>1133</v>
      </c>
      <c r="M292" s="74" t="s">
        <v>10</v>
      </c>
      <c r="N292" s="74" t="s">
        <v>394</v>
      </c>
      <c r="O292" s="67" t="s">
        <v>159</v>
      </c>
      <c r="P292" s="66"/>
      <c r="Q292" s="66"/>
      <c r="R292" s="66"/>
      <c r="S292" s="66"/>
      <c r="T292" s="66"/>
      <c r="U292" s="66"/>
      <c r="V292" s="66"/>
      <c r="W292" s="66"/>
      <c r="X292" s="68">
        <f t="shared" si="12"/>
        <v>2026</v>
      </c>
      <c r="Y292" s="25">
        <f t="shared" si="13"/>
        <v>5</v>
      </c>
      <c r="Z292" s="68">
        <f t="shared" si="14"/>
        <v>8</v>
      </c>
    </row>
    <row r="293" ht="409.5" hidden="1" spans="1:26">
      <c r="A293" s="67" t="s">
        <v>1136</v>
      </c>
      <c r="B293" s="71">
        <v>46147</v>
      </c>
      <c r="C293" s="71">
        <v>46150</v>
      </c>
      <c r="D293" s="67" t="s">
        <v>218</v>
      </c>
      <c r="E293" s="74" t="s">
        <v>1137</v>
      </c>
      <c r="F293" s="74" t="s">
        <v>1138</v>
      </c>
      <c r="G293" s="130"/>
      <c r="H293" s="74" t="s">
        <v>221</v>
      </c>
      <c r="I293" s="66">
        <v>5439.25</v>
      </c>
      <c r="J293" s="67">
        <v>937.802</v>
      </c>
      <c r="K293" s="66"/>
      <c r="L293" s="67" t="s">
        <v>1136</v>
      </c>
      <c r="M293" s="74" t="s">
        <v>10</v>
      </c>
      <c r="N293" s="74" t="s">
        <v>115</v>
      </c>
      <c r="O293" s="67" t="s">
        <v>229</v>
      </c>
      <c r="P293" s="66"/>
      <c r="Q293" s="66"/>
      <c r="R293" s="66"/>
      <c r="S293" s="66"/>
      <c r="T293" s="66"/>
      <c r="U293" s="66"/>
      <c r="V293" s="66"/>
      <c r="W293" s="66"/>
      <c r="X293" s="68">
        <f t="shared" si="12"/>
        <v>2026</v>
      </c>
      <c r="Y293" s="25">
        <f t="shared" si="13"/>
        <v>5</v>
      </c>
      <c r="Z293" s="68">
        <f t="shared" si="14"/>
        <v>8</v>
      </c>
    </row>
    <row r="294" ht="409.5" hidden="1" spans="1:26">
      <c r="A294" s="67" t="s">
        <v>1139</v>
      </c>
      <c r="B294" s="71">
        <v>46131</v>
      </c>
      <c r="C294" s="71">
        <v>46150</v>
      </c>
      <c r="D294" s="67" t="s">
        <v>5</v>
      </c>
      <c r="E294" s="74" t="s">
        <v>1140</v>
      </c>
      <c r="F294" s="74" t="s">
        <v>1141</v>
      </c>
      <c r="G294" s="130"/>
      <c r="H294" s="74" t="s">
        <v>67</v>
      </c>
      <c r="I294" s="66">
        <v>21148.04</v>
      </c>
      <c r="J294" s="66"/>
      <c r="K294" s="45" t="s">
        <v>1142</v>
      </c>
      <c r="L294" s="44" t="s">
        <v>1139</v>
      </c>
      <c r="M294" s="74" t="s">
        <v>11</v>
      </c>
      <c r="N294" s="74" t="s">
        <v>115</v>
      </c>
      <c r="O294" s="67" t="s">
        <v>189</v>
      </c>
      <c r="P294" s="66"/>
      <c r="Q294" s="66"/>
      <c r="R294" s="66"/>
      <c r="S294" s="66"/>
      <c r="T294" s="66"/>
      <c r="U294" s="66"/>
      <c r="V294" s="66"/>
      <c r="W294" s="66"/>
      <c r="X294" s="68">
        <f t="shared" si="12"/>
        <v>2026</v>
      </c>
      <c r="Y294" s="25">
        <f t="shared" si="13"/>
        <v>5</v>
      </c>
      <c r="Z294" s="68">
        <f t="shared" si="14"/>
        <v>8</v>
      </c>
    </row>
    <row r="295" ht="409.5" hidden="1" spans="1:26">
      <c r="A295" s="67" t="s">
        <v>1143</v>
      </c>
      <c r="B295" s="71">
        <v>46128</v>
      </c>
      <c r="C295" s="71">
        <v>46150</v>
      </c>
      <c r="D295" s="67" t="s">
        <v>5</v>
      </c>
      <c r="E295" s="74" t="s">
        <v>1144</v>
      </c>
      <c r="F295" s="74" t="s">
        <v>1145</v>
      </c>
      <c r="G295" s="130"/>
      <c r="H295" s="74" t="s">
        <v>67</v>
      </c>
      <c r="I295" s="45">
        <v>14491.04</v>
      </c>
      <c r="J295" s="66"/>
      <c r="K295" s="134" t="s">
        <v>1146</v>
      </c>
      <c r="L295" s="44" t="s">
        <v>1143</v>
      </c>
      <c r="M295" s="74" t="s">
        <v>11</v>
      </c>
      <c r="N295" s="74" t="s">
        <v>115</v>
      </c>
      <c r="O295" s="67" t="s">
        <v>189</v>
      </c>
      <c r="P295" s="66"/>
      <c r="Q295" s="66"/>
      <c r="R295" s="66"/>
      <c r="S295" s="66"/>
      <c r="T295" s="66"/>
      <c r="U295" s="66"/>
      <c r="V295" s="66"/>
      <c r="W295" s="66"/>
      <c r="X295" s="68">
        <f t="shared" si="12"/>
        <v>2026</v>
      </c>
      <c r="Y295" s="25">
        <f t="shared" si="13"/>
        <v>5</v>
      </c>
      <c r="Z295" s="68">
        <f t="shared" si="14"/>
        <v>8</v>
      </c>
    </row>
    <row r="296" ht="409.5" hidden="1" spans="1:26">
      <c r="A296" s="135" t="s">
        <v>1088</v>
      </c>
      <c r="B296" s="77" t="s">
        <v>1147</v>
      </c>
      <c r="C296" s="71">
        <v>46150</v>
      </c>
      <c r="D296" s="67" t="s">
        <v>1061</v>
      </c>
      <c r="E296" s="74" t="s">
        <v>1148</v>
      </c>
      <c r="F296" s="74" t="s">
        <v>1149</v>
      </c>
      <c r="G296" s="130"/>
      <c r="H296" s="55" t="s">
        <v>1061</v>
      </c>
      <c r="I296" s="66">
        <v>27092.8</v>
      </c>
      <c r="J296" s="66">
        <v>27.36</v>
      </c>
      <c r="K296" s="66"/>
      <c r="L296" s="135" t="s">
        <v>1088</v>
      </c>
      <c r="M296" s="74" t="s">
        <v>10</v>
      </c>
      <c r="N296" s="74" t="s">
        <v>394</v>
      </c>
      <c r="O296" s="67" t="s">
        <v>159</v>
      </c>
      <c r="P296" s="66"/>
      <c r="Q296" s="66"/>
      <c r="R296" s="66"/>
      <c r="S296" s="66"/>
      <c r="T296" s="66"/>
      <c r="U296" s="66"/>
      <c r="V296" s="66"/>
      <c r="W296" s="66"/>
      <c r="X296" s="68">
        <f t="shared" si="12"/>
        <v>2026</v>
      </c>
      <c r="Y296" s="25">
        <f t="shared" si="13"/>
        <v>5</v>
      </c>
      <c r="Z296" s="68">
        <f t="shared" si="14"/>
        <v>8</v>
      </c>
    </row>
    <row r="297" ht="409.5" hidden="1" spans="1:26">
      <c r="A297" s="66" t="s">
        <v>1150</v>
      </c>
      <c r="B297" s="71">
        <v>46141</v>
      </c>
      <c r="C297" s="71">
        <v>46150</v>
      </c>
      <c r="D297" s="67" t="s">
        <v>422</v>
      </c>
      <c r="E297" t="s">
        <v>1151</v>
      </c>
      <c r="F297" s="74" t="s">
        <v>1152</v>
      </c>
      <c r="G297" s="130"/>
      <c r="H297" s="74" t="s">
        <v>422</v>
      </c>
      <c r="I297" s="66">
        <v>1008</v>
      </c>
      <c r="J297" s="66"/>
      <c r="K297" s="66"/>
      <c r="L297" s="66" t="s">
        <v>1150</v>
      </c>
      <c r="M297" s="74" t="s">
        <v>10</v>
      </c>
      <c r="N297" s="74" t="s">
        <v>394</v>
      </c>
      <c r="O297" s="67" t="s">
        <v>159</v>
      </c>
      <c r="P297" s="66"/>
      <c r="Q297" s="66"/>
      <c r="R297" s="66"/>
      <c r="S297" s="66"/>
      <c r="T297" s="66"/>
      <c r="U297" s="66"/>
      <c r="V297" s="66"/>
      <c r="W297" s="66"/>
      <c r="X297" s="68">
        <f t="shared" si="12"/>
        <v>2026</v>
      </c>
      <c r="Y297" s="25">
        <f t="shared" si="13"/>
        <v>5</v>
      </c>
      <c r="Z297" s="68">
        <f t="shared" si="14"/>
        <v>8</v>
      </c>
    </row>
    <row r="298" ht="409.5" hidden="1" spans="1:26">
      <c r="A298" s="105" t="s">
        <v>1153</v>
      </c>
      <c r="B298" s="71">
        <v>46063</v>
      </c>
      <c r="C298" s="71">
        <v>46151</v>
      </c>
      <c r="D298" s="67" t="s">
        <v>5</v>
      </c>
      <c r="E298" s="136" t="s">
        <v>1154</v>
      </c>
      <c r="F298" s="74" t="s">
        <v>1155</v>
      </c>
      <c r="G298" s="130"/>
      <c r="H298" s="74" t="s">
        <v>67</v>
      </c>
      <c r="I298" s="105">
        <v>3120.8</v>
      </c>
      <c r="J298" s="66"/>
      <c r="K298" s="66"/>
      <c r="L298" s="67" t="s">
        <v>1153</v>
      </c>
      <c r="M298" s="74" t="s">
        <v>10</v>
      </c>
      <c r="N298" s="74" t="s">
        <v>115</v>
      </c>
      <c r="O298" s="67" t="s">
        <v>149</v>
      </c>
      <c r="P298" s="66"/>
      <c r="Q298" s="66"/>
      <c r="R298" s="66"/>
      <c r="S298" s="66"/>
      <c r="T298" s="66"/>
      <c r="U298" s="66"/>
      <c r="V298" s="66"/>
      <c r="W298" s="66"/>
      <c r="X298" s="68">
        <f t="shared" si="12"/>
        <v>2026</v>
      </c>
      <c r="Y298" s="25">
        <f t="shared" si="13"/>
        <v>5</v>
      </c>
      <c r="Z298" s="68">
        <f t="shared" si="14"/>
        <v>9</v>
      </c>
    </row>
    <row r="299" ht="55.5" spans="1:26">
      <c r="A299" s="70" t="s">
        <v>1156</v>
      </c>
      <c r="B299" s="71"/>
      <c r="C299" s="71"/>
      <c r="D299" s="67" t="s">
        <v>422</v>
      </c>
      <c r="E299" s="70" t="s">
        <v>1157</v>
      </c>
      <c r="F299" s="74" t="s">
        <v>1158</v>
      </c>
      <c r="G299" s="130"/>
      <c r="H299" s="74" t="s">
        <v>422</v>
      </c>
      <c r="I299" s="70">
        <v>29230.26</v>
      </c>
      <c r="J299" s="66"/>
      <c r="K299" s="67" t="s">
        <v>1159</v>
      </c>
      <c r="L299" s="70" t="s">
        <v>1156</v>
      </c>
      <c r="M299" s="74" t="s">
        <v>11</v>
      </c>
      <c r="N299" s="74" t="s">
        <v>115</v>
      </c>
      <c r="O299" s="67" t="s">
        <v>1160</v>
      </c>
      <c r="P299" s="66"/>
      <c r="Q299" s="66"/>
      <c r="R299" s="66"/>
      <c r="S299" s="66"/>
      <c r="T299" s="66"/>
      <c r="U299" s="66"/>
      <c r="V299" s="66"/>
      <c r="W299" s="66"/>
      <c r="X299" s="68">
        <f t="shared" si="12"/>
        <v>1900</v>
      </c>
      <c r="Y299" s="25">
        <f t="shared" si="13"/>
        <v>1</v>
      </c>
      <c r="Z299" s="68">
        <f t="shared" si="14"/>
        <v>0</v>
      </c>
    </row>
    <row r="300" ht="27.75" spans="1:26">
      <c r="A300" s="70" t="s">
        <v>1161</v>
      </c>
      <c r="B300" s="71"/>
      <c r="C300" s="71"/>
      <c r="D300" s="67" t="s">
        <v>422</v>
      </c>
      <c r="E300" s="137" t="s">
        <v>1162</v>
      </c>
      <c r="F300" s="74" t="s">
        <v>1163</v>
      </c>
      <c r="G300" s="130"/>
      <c r="H300" s="74" t="s">
        <v>422</v>
      </c>
      <c r="I300" s="70">
        <v>146.92</v>
      </c>
      <c r="J300" s="66"/>
      <c r="K300" s="67" t="s">
        <v>1164</v>
      </c>
      <c r="L300" s="70" t="s">
        <v>1161</v>
      </c>
      <c r="M300" s="74" t="s">
        <v>11</v>
      </c>
      <c r="N300" s="74" t="s">
        <v>115</v>
      </c>
      <c r="O300" s="67" t="s">
        <v>1160</v>
      </c>
      <c r="P300" s="66"/>
      <c r="Q300" s="66"/>
      <c r="R300" s="66"/>
      <c r="S300" s="66"/>
      <c r="T300" s="66"/>
      <c r="U300" s="66"/>
      <c r="V300" s="66"/>
      <c r="W300" s="66"/>
      <c r="X300" s="68">
        <f t="shared" si="12"/>
        <v>1900</v>
      </c>
      <c r="Y300" s="25">
        <f t="shared" si="13"/>
        <v>1</v>
      </c>
      <c r="Z300" s="68">
        <f t="shared" si="14"/>
        <v>0</v>
      </c>
    </row>
    <row r="301" ht="27.75" spans="1:26">
      <c r="A301" s="70" t="s">
        <v>1165</v>
      </c>
      <c r="B301" s="71"/>
      <c r="C301" s="71"/>
      <c r="D301" s="67" t="s">
        <v>422</v>
      </c>
      <c r="E301" s="70" t="s">
        <v>1157</v>
      </c>
      <c r="F301" s="74" t="s">
        <v>1166</v>
      </c>
      <c r="G301" s="130"/>
      <c r="H301" s="74" t="s">
        <v>422</v>
      </c>
      <c r="I301" s="70">
        <v>15919.05</v>
      </c>
      <c r="J301" s="66"/>
      <c r="K301" s="67" t="s">
        <v>1167</v>
      </c>
      <c r="L301" s="70" t="s">
        <v>1165</v>
      </c>
      <c r="M301" s="74" t="s">
        <v>11</v>
      </c>
      <c r="N301" s="74" t="s">
        <v>115</v>
      </c>
      <c r="O301" s="67" t="s">
        <v>1160</v>
      </c>
      <c r="P301" s="66"/>
      <c r="Q301" s="66"/>
      <c r="R301" s="66"/>
      <c r="S301" s="66"/>
      <c r="T301" s="66"/>
      <c r="U301" s="66"/>
      <c r="V301" s="66"/>
      <c r="W301" s="66"/>
      <c r="X301" s="68">
        <f t="shared" si="12"/>
        <v>1900</v>
      </c>
      <c r="Y301" s="25">
        <f t="shared" si="13"/>
        <v>1</v>
      </c>
      <c r="Z301" s="68">
        <f t="shared" si="14"/>
        <v>0</v>
      </c>
    </row>
    <row r="302" ht="277.15" hidden="1" spans="1:26">
      <c r="A302" s="70" t="s">
        <v>1168</v>
      </c>
      <c r="B302" s="71">
        <v>46133</v>
      </c>
      <c r="C302" s="71">
        <v>46153</v>
      </c>
      <c r="D302" s="67" t="s">
        <v>5</v>
      </c>
      <c r="E302" s="70" t="s">
        <v>1169</v>
      </c>
      <c r="F302" s="74" t="s">
        <v>1170</v>
      </c>
      <c r="G302" s="130"/>
      <c r="H302" s="74" t="s">
        <v>57</v>
      </c>
      <c r="I302" s="70">
        <v>2176.8</v>
      </c>
      <c r="J302" s="66">
        <v>27.21</v>
      </c>
      <c r="K302" s="91" t="s">
        <v>1171</v>
      </c>
      <c r="L302" s="70" t="s">
        <v>1172</v>
      </c>
      <c r="M302" s="74" t="s">
        <v>11</v>
      </c>
      <c r="N302" s="74" t="s">
        <v>115</v>
      </c>
      <c r="O302" s="67" t="s">
        <v>1160</v>
      </c>
      <c r="P302" s="66"/>
      <c r="Q302" s="66"/>
      <c r="R302" s="66"/>
      <c r="S302" s="66"/>
      <c r="T302" s="66"/>
      <c r="U302" s="66"/>
      <c r="V302" s="66"/>
      <c r="W302" s="66"/>
      <c r="X302" s="68">
        <f t="shared" si="12"/>
        <v>2026</v>
      </c>
      <c r="Y302" s="25">
        <f t="shared" si="13"/>
        <v>5</v>
      </c>
      <c r="Z302" s="68">
        <f t="shared" si="14"/>
        <v>11</v>
      </c>
    </row>
    <row r="303" ht="409.5" hidden="1" spans="1:26">
      <c r="A303" s="67" t="s">
        <v>1173</v>
      </c>
      <c r="B303" s="77" t="s">
        <v>1174</v>
      </c>
      <c r="C303" s="71">
        <v>46155</v>
      </c>
      <c r="D303" s="67" t="s">
        <v>1175</v>
      </c>
      <c r="E303" s="70" t="s">
        <v>1176</v>
      </c>
      <c r="F303" s="74" t="s">
        <v>1177</v>
      </c>
      <c r="G303" s="130"/>
      <c r="H303" s="74" t="s">
        <v>1175</v>
      </c>
      <c r="I303" s="59">
        <v>6495</v>
      </c>
      <c r="J303" s="66"/>
      <c r="K303" s="74" t="s">
        <v>1178</v>
      </c>
      <c r="L303" s="67" t="s">
        <v>1173</v>
      </c>
      <c r="M303" s="74" t="s">
        <v>10</v>
      </c>
      <c r="N303" s="74" t="s">
        <v>394</v>
      </c>
      <c r="O303" s="67" t="s">
        <v>159</v>
      </c>
      <c r="P303" s="66"/>
      <c r="Q303" s="66"/>
      <c r="R303" s="66"/>
      <c r="S303" s="66"/>
      <c r="T303" s="66"/>
      <c r="U303" s="66"/>
      <c r="V303" s="66"/>
      <c r="W303" s="66"/>
      <c r="X303" s="68">
        <f t="shared" si="12"/>
        <v>2026</v>
      </c>
      <c r="Y303" s="25">
        <f t="shared" si="13"/>
        <v>5</v>
      </c>
      <c r="Z303" s="68">
        <f t="shared" si="14"/>
        <v>13</v>
      </c>
    </row>
    <row r="304" ht="332.65" hidden="1" spans="1:26">
      <c r="A304" s="30" t="s">
        <v>1179</v>
      </c>
      <c r="B304" s="31">
        <v>46135</v>
      </c>
      <c r="C304" s="31">
        <v>46156</v>
      </c>
      <c r="D304" s="35" t="s">
        <v>5</v>
      </c>
      <c r="E304" s="32" t="s">
        <v>290</v>
      </c>
      <c r="F304" s="32" t="s">
        <v>1180</v>
      </c>
      <c r="G304" s="130"/>
      <c r="H304" s="32" t="s">
        <v>77</v>
      </c>
      <c r="I304" s="138">
        <v>4589.52</v>
      </c>
      <c r="J304" s="30">
        <v>9.3711</v>
      </c>
      <c r="K304" s="67" t="s">
        <v>1181</v>
      </c>
      <c r="L304" s="139" t="s">
        <v>1179</v>
      </c>
      <c r="M304" s="32" t="s">
        <v>13</v>
      </c>
      <c r="N304" s="32" t="s">
        <v>115</v>
      </c>
      <c r="O304" s="35" t="s">
        <v>260</v>
      </c>
      <c r="P304" s="66"/>
      <c r="Q304" s="66"/>
      <c r="R304" s="66"/>
      <c r="S304" s="66"/>
      <c r="T304" s="66"/>
      <c r="U304" s="66"/>
      <c r="V304" s="66"/>
      <c r="W304" s="66"/>
      <c r="X304" s="68">
        <f t="shared" si="12"/>
        <v>2026</v>
      </c>
      <c r="Y304" s="25">
        <f t="shared" si="13"/>
        <v>5</v>
      </c>
      <c r="Z304" s="68">
        <f t="shared" si="14"/>
        <v>14</v>
      </c>
    </row>
    <row r="305" ht="409.5" hidden="1" spans="1:26">
      <c r="A305" s="35" t="s">
        <v>1182</v>
      </c>
      <c r="B305" s="31">
        <v>46149</v>
      </c>
      <c r="C305" s="31">
        <v>46156</v>
      </c>
      <c r="D305" s="35" t="s">
        <v>5</v>
      </c>
      <c r="E305" s="32" t="s">
        <v>1183</v>
      </c>
      <c r="F305" s="32" t="s">
        <v>1184</v>
      </c>
      <c r="G305" s="130"/>
      <c r="H305" s="32" t="s">
        <v>77</v>
      </c>
      <c r="I305" s="138">
        <v>36097.5</v>
      </c>
      <c r="J305" s="30">
        <v>12.13</v>
      </c>
      <c r="K305" s="67" t="s">
        <v>1185</v>
      </c>
      <c r="L305" s="140" t="s">
        <v>1182</v>
      </c>
      <c r="M305" s="32" t="s">
        <v>13</v>
      </c>
      <c r="N305" s="32" t="s">
        <v>115</v>
      </c>
      <c r="O305" s="35" t="s">
        <v>260</v>
      </c>
      <c r="P305" s="66"/>
      <c r="Q305" s="66"/>
      <c r="R305" s="66"/>
      <c r="S305" s="66"/>
      <c r="T305" s="66"/>
      <c r="U305" s="66"/>
      <c r="V305" s="66"/>
      <c r="W305" s="66"/>
      <c r="X305" s="68">
        <f t="shared" si="12"/>
        <v>2026</v>
      </c>
      <c r="Y305" s="25">
        <f t="shared" si="13"/>
        <v>5</v>
      </c>
      <c r="Z305" s="68">
        <f t="shared" si="14"/>
        <v>14</v>
      </c>
    </row>
    <row r="306" ht="318.75" hidden="1" spans="1:26">
      <c r="A306" s="30" t="s">
        <v>1186</v>
      </c>
      <c r="B306" s="31">
        <v>46154</v>
      </c>
      <c r="C306" s="31">
        <v>46156</v>
      </c>
      <c r="D306" s="35" t="s">
        <v>5</v>
      </c>
      <c r="E306" s="32" t="s">
        <v>1187</v>
      </c>
      <c r="F306" s="32" t="s">
        <v>1188</v>
      </c>
      <c r="G306" s="130"/>
      <c r="H306" s="32" t="s">
        <v>68</v>
      </c>
      <c r="I306" s="138">
        <v>14508.88</v>
      </c>
      <c r="J306" s="30">
        <v>15.02</v>
      </c>
      <c r="K306" s="67" t="s">
        <v>1185</v>
      </c>
      <c r="L306" s="140" t="s">
        <v>1186</v>
      </c>
      <c r="M306" s="32" t="s">
        <v>13</v>
      </c>
      <c r="N306" s="32" t="s">
        <v>115</v>
      </c>
      <c r="O306" s="35" t="s">
        <v>260</v>
      </c>
      <c r="P306" s="66"/>
      <c r="Q306" s="66"/>
      <c r="R306" s="66"/>
      <c r="S306" s="66"/>
      <c r="T306" s="66"/>
      <c r="U306" s="66"/>
      <c r="V306" s="66"/>
      <c r="W306" s="66"/>
      <c r="X306" s="68">
        <f t="shared" si="12"/>
        <v>2026</v>
      </c>
      <c r="Y306" s="25">
        <f t="shared" si="13"/>
        <v>5</v>
      </c>
      <c r="Z306" s="68">
        <f t="shared" si="14"/>
        <v>14</v>
      </c>
    </row>
    <row r="307" ht="409.5" hidden="1" spans="1:26">
      <c r="A307" s="66" t="s">
        <v>1189</v>
      </c>
      <c r="B307" s="71">
        <v>46152</v>
      </c>
      <c r="C307" s="31">
        <v>46156</v>
      </c>
      <c r="D307" s="67" t="s">
        <v>1175</v>
      </c>
      <c r="E307" s="74" t="s">
        <v>1190</v>
      </c>
      <c r="F307" s="74" t="s">
        <v>1191</v>
      </c>
      <c r="G307" s="130"/>
      <c r="H307" s="74" t="s">
        <v>1175</v>
      </c>
      <c r="I307" s="66">
        <v>2010</v>
      </c>
      <c r="J307" s="66"/>
      <c r="K307" s="74" t="s">
        <v>1192</v>
      </c>
      <c r="L307" s="66" t="s">
        <v>1189</v>
      </c>
      <c r="M307" s="74" t="s">
        <v>10</v>
      </c>
      <c r="N307" s="74" t="s">
        <v>394</v>
      </c>
      <c r="O307" s="67" t="s">
        <v>159</v>
      </c>
      <c r="P307" s="66"/>
      <c r="Q307" s="66"/>
      <c r="R307" s="66"/>
      <c r="S307" s="66"/>
      <c r="T307" s="66"/>
      <c r="U307" s="66"/>
      <c r="V307" s="66"/>
      <c r="W307" s="66"/>
      <c r="X307" s="68">
        <f t="shared" si="12"/>
        <v>2026</v>
      </c>
      <c r="Y307" s="25">
        <f t="shared" si="13"/>
        <v>5</v>
      </c>
      <c r="Z307" s="68">
        <f t="shared" si="14"/>
        <v>14</v>
      </c>
    </row>
    <row r="308" ht="409.5" hidden="1" spans="1:26">
      <c r="A308" s="66" t="s">
        <v>1193</v>
      </c>
      <c r="B308" s="71">
        <v>46133</v>
      </c>
      <c r="C308" s="31">
        <v>46157</v>
      </c>
      <c r="D308" s="35" t="s">
        <v>5</v>
      </c>
      <c r="E308" s="74" t="s">
        <v>1194</v>
      </c>
      <c r="F308" s="74" t="s">
        <v>1195</v>
      </c>
      <c r="G308" s="130"/>
      <c r="H308" s="74" t="s">
        <v>60</v>
      </c>
      <c r="I308" s="66">
        <v>45000</v>
      </c>
      <c r="J308" s="66">
        <v>446.5</v>
      </c>
      <c r="K308" s="67" t="s">
        <v>1196</v>
      </c>
      <c r="L308" s="66" t="s">
        <v>1193</v>
      </c>
      <c r="M308" s="74" t="s">
        <v>10</v>
      </c>
      <c r="N308" s="74" t="s">
        <v>115</v>
      </c>
      <c r="O308" s="67" t="s">
        <v>159</v>
      </c>
      <c r="P308" s="66"/>
      <c r="Q308" s="66"/>
      <c r="R308" s="66"/>
      <c r="S308" s="66"/>
      <c r="T308" s="66"/>
      <c r="U308" s="66"/>
      <c r="V308" s="66"/>
      <c r="W308" s="66"/>
      <c r="X308" s="68">
        <f t="shared" si="12"/>
        <v>2026</v>
      </c>
      <c r="Y308" s="25">
        <f t="shared" si="13"/>
        <v>5</v>
      </c>
      <c r="Z308" s="68">
        <f t="shared" si="14"/>
        <v>15</v>
      </c>
    </row>
    <row r="309" ht="409.5" hidden="1" spans="1:26">
      <c r="A309" s="67" t="s">
        <v>1197</v>
      </c>
      <c r="B309" s="71">
        <v>46152</v>
      </c>
      <c r="C309" s="71">
        <v>46157</v>
      </c>
      <c r="D309" s="67" t="s">
        <v>5</v>
      </c>
      <c r="E309" s="74" t="s">
        <v>1198</v>
      </c>
      <c r="F309" s="74" t="s">
        <v>1199</v>
      </c>
      <c r="G309" s="130"/>
      <c r="H309" s="74" t="s">
        <v>61</v>
      </c>
      <c r="I309" s="66">
        <v>346.1</v>
      </c>
      <c r="J309" s="66">
        <v>61.32</v>
      </c>
      <c r="K309" s="67" t="s">
        <v>1200</v>
      </c>
      <c r="L309" s="67" t="s">
        <v>1201</v>
      </c>
      <c r="M309" s="74" t="s">
        <v>11</v>
      </c>
      <c r="N309" s="74" t="s">
        <v>115</v>
      </c>
      <c r="O309" s="67" t="s">
        <v>1160</v>
      </c>
      <c r="P309" s="66"/>
      <c r="Q309" s="66"/>
      <c r="R309" s="66"/>
      <c r="S309" s="66"/>
      <c r="T309" s="66"/>
      <c r="U309" s="66"/>
      <c r="V309" s="66"/>
      <c r="W309" s="66"/>
      <c r="X309" s="68">
        <f t="shared" si="12"/>
        <v>2026</v>
      </c>
      <c r="Y309" s="25">
        <f t="shared" si="13"/>
        <v>5</v>
      </c>
      <c r="Z309" s="68">
        <f t="shared" si="14"/>
        <v>15</v>
      </c>
    </row>
    <row r="310" ht="409.5" hidden="1" spans="1:26">
      <c r="A310" s="67" t="s">
        <v>1202</v>
      </c>
      <c r="B310" s="71">
        <v>46133</v>
      </c>
      <c r="C310" s="71">
        <v>46157</v>
      </c>
      <c r="D310" s="67" t="s">
        <v>5</v>
      </c>
      <c r="E310" s="74" t="s">
        <v>1203</v>
      </c>
      <c r="F310" s="74" t="s">
        <v>1204</v>
      </c>
      <c r="G310" s="130"/>
      <c r="H310" s="74" t="s">
        <v>74</v>
      </c>
      <c r="I310" s="66">
        <v>9652.4</v>
      </c>
      <c r="J310" s="66">
        <v>482.62</v>
      </c>
      <c r="K310" s="67" t="s">
        <v>1114</v>
      </c>
      <c r="L310" s="67" t="s">
        <v>1202</v>
      </c>
      <c r="M310" s="74" t="s">
        <v>13</v>
      </c>
      <c r="N310" s="74" t="s">
        <v>115</v>
      </c>
      <c r="O310" s="67" t="s">
        <v>900</v>
      </c>
      <c r="P310" s="66"/>
      <c r="Q310" s="66"/>
      <c r="R310" s="66"/>
      <c r="S310" s="66"/>
      <c r="T310" s="66"/>
      <c r="U310" s="66"/>
      <c r="V310" s="66"/>
      <c r="W310" s="66"/>
      <c r="X310" s="68">
        <f t="shared" si="12"/>
        <v>2026</v>
      </c>
      <c r="Y310" s="25">
        <f t="shared" si="13"/>
        <v>5</v>
      </c>
      <c r="Z310" s="68">
        <f t="shared" si="14"/>
        <v>15</v>
      </c>
    </row>
    <row r="311" ht="409.5" hidden="1" spans="1:26">
      <c r="A311" s="44" t="s">
        <v>1205</v>
      </c>
      <c r="B311" s="71">
        <v>46120</v>
      </c>
      <c r="C311" s="71">
        <v>46157</v>
      </c>
      <c r="D311" s="67" t="s">
        <v>5</v>
      </c>
      <c r="E311" s="44" t="s">
        <v>1206</v>
      </c>
      <c r="F311" s="74" t="s">
        <v>1207</v>
      </c>
      <c r="G311" s="130"/>
      <c r="H311" s="74" t="s">
        <v>74</v>
      </c>
      <c r="I311" s="45">
        <v>1829.4</v>
      </c>
      <c r="J311" s="45">
        <v>60.98</v>
      </c>
      <c r="K311" s="45" t="s">
        <v>1208</v>
      </c>
      <c r="L311" s="44" t="s">
        <v>1205</v>
      </c>
      <c r="M311" s="74" t="s">
        <v>11</v>
      </c>
      <c r="N311" s="74" t="s">
        <v>115</v>
      </c>
      <c r="O311" s="67" t="s">
        <v>189</v>
      </c>
      <c r="P311" s="66"/>
      <c r="Q311" s="66"/>
      <c r="R311" s="66"/>
      <c r="S311" s="66"/>
      <c r="T311" s="66"/>
      <c r="U311" s="66"/>
      <c r="V311" s="66"/>
      <c r="W311" s="66"/>
      <c r="X311" s="68">
        <f t="shared" si="12"/>
        <v>2026</v>
      </c>
      <c r="Y311" s="25">
        <f t="shared" si="13"/>
        <v>5</v>
      </c>
      <c r="Z311" s="68">
        <f t="shared" si="14"/>
        <v>15</v>
      </c>
    </row>
    <row r="312" ht="346.5" hidden="1" spans="1:26">
      <c r="A312" s="141" t="s">
        <v>1209</v>
      </c>
      <c r="B312" s="71">
        <v>46123</v>
      </c>
      <c r="C312" s="71">
        <v>46157</v>
      </c>
      <c r="D312" s="67" t="s">
        <v>5</v>
      </c>
      <c r="E312" s="132" t="s">
        <v>1072</v>
      </c>
      <c r="F312" s="74" t="s">
        <v>1210</v>
      </c>
      <c r="G312" s="130"/>
      <c r="H312" s="74" t="s">
        <v>69</v>
      </c>
      <c r="I312" s="66">
        <v>13649.7</v>
      </c>
      <c r="J312" s="66">
        <v>1022.59</v>
      </c>
      <c r="K312" s="67" t="s">
        <v>1211</v>
      </c>
      <c r="L312" s="67" t="s">
        <v>1209</v>
      </c>
      <c r="M312" s="74" t="s">
        <v>13</v>
      </c>
      <c r="N312" s="74" t="s">
        <v>115</v>
      </c>
      <c r="O312" s="67" t="s">
        <v>363</v>
      </c>
      <c r="P312" s="66"/>
      <c r="Q312" s="66"/>
      <c r="R312" s="66"/>
      <c r="S312" s="66"/>
      <c r="T312" s="66"/>
      <c r="U312" s="66"/>
      <c r="V312" s="66"/>
      <c r="W312" s="66"/>
      <c r="X312" s="68">
        <f t="shared" si="12"/>
        <v>2026</v>
      </c>
      <c r="Y312" s="25">
        <f t="shared" si="13"/>
        <v>5</v>
      </c>
      <c r="Z312" s="68">
        <f t="shared" si="14"/>
        <v>15</v>
      </c>
    </row>
    <row r="313" ht="374.25" hidden="1" spans="1:26">
      <c r="A313" s="141" t="s">
        <v>1212</v>
      </c>
      <c r="B313" s="71">
        <v>46123</v>
      </c>
      <c r="C313" s="71">
        <v>46157</v>
      </c>
      <c r="D313" s="67" t="s">
        <v>5</v>
      </c>
      <c r="E313" s="74" t="s">
        <v>790</v>
      </c>
      <c r="F313" s="74" t="s">
        <v>1213</v>
      </c>
      <c r="G313" s="130"/>
      <c r="H313" s="74" t="s">
        <v>69</v>
      </c>
      <c r="I313" s="66">
        <v>37401.3</v>
      </c>
      <c r="J313" s="66">
        <v>2873.33</v>
      </c>
      <c r="K313" s="67" t="s">
        <v>1074</v>
      </c>
      <c r="L313" s="67" t="s">
        <v>1212</v>
      </c>
      <c r="M313" s="74" t="s">
        <v>13</v>
      </c>
      <c r="N313" s="74" t="s">
        <v>115</v>
      </c>
      <c r="O313" s="67" t="s">
        <v>363</v>
      </c>
      <c r="P313" s="66"/>
      <c r="Q313" s="66"/>
      <c r="R313" s="66"/>
      <c r="S313" s="66"/>
      <c r="T313" s="66"/>
      <c r="U313" s="66"/>
      <c r="V313" s="66"/>
      <c r="W313" s="66"/>
      <c r="X313" s="68">
        <f t="shared" si="12"/>
        <v>2026</v>
      </c>
      <c r="Y313" s="25">
        <f t="shared" si="13"/>
        <v>5</v>
      </c>
      <c r="Z313" s="68">
        <f t="shared" si="14"/>
        <v>15</v>
      </c>
    </row>
    <row r="314" ht="13.85" spans="1:26">
      <c r="A314" s="25"/>
      <c r="F314" s="25"/>
      <c r="G314" s="25"/>
      <c r="H314" s="25"/>
      <c r="I314" s="25"/>
      <c r="J314" s="25"/>
      <c r="K314" s="25"/>
      <c r="L314" s="25"/>
      <c r="M314" s="25"/>
      <c r="N314" s="25"/>
      <c r="O314" s="25"/>
      <c r="P314" s="25"/>
      <c r="Q314" s="25"/>
      <c r="R314" s="25"/>
      <c r="S314" s="25"/>
      <c r="T314" s="25"/>
      <c r="U314" s="25"/>
      <c r="V314" s="25"/>
      <c r="W314" s="25"/>
      <c r="X314" s="68">
        <f t="shared" si="12"/>
        <v>1900</v>
      </c>
      <c r="Y314" s="25">
        <f t="shared" si="13"/>
        <v>1</v>
      </c>
      <c r="Z314" s="68">
        <f t="shared" si="14"/>
        <v>0</v>
      </c>
    </row>
    <row r="315" ht="13.85" spans="1:26">
      <c r="A315" s="25"/>
      <c r="F315" s="25"/>
      <c r="G315" s="25"/>
      <c r="H315" s="25"/>
      <c r="I315" s="25"/>
      <c r="J315" s="25"/>
      <c r="K315" s="25"/>
      <c r="L315" s="25"/>
      <c r="M315" s="25"/>
      <c r="N315" s="25"/>
      <c r="O315" s="25"/>
      <c r="P315" s="25"/>
      <c r="Q315" s="25"/>
      <c r="R315" s="25"/>
      <c r="S315" s="25"/>
      <c r="T315" s="25"/>
      <c r="U315" s="25"/>
      <c r="V315" s="25"/>
      <c r="W315" s="25"/>
      <c r="X315" s="68">
        <f t="shared" si="12"/>
        <v>1900</v>
      </c>
      <c r="Y315" s="25">
        <f t="shared" si="13"/>
        <v>1</v>
      </c>
      <c r="Z315" s="68">
        <f t="shared" si="14"/>
        <v>0</v>
      </c>
    </row>
    <row r="316" ht="13.85" spans="1:26">
      <c r="A316" s="25"/>
      <c r="F316" s="25"/>
      <c r="G316" s="25"/>
      <c r="H316" s="25"/>
      <c r="I316" s="25"/>
      <c r="J316" s="25"/>
      <c r="K316" s="25"/>
      <c r="L316" s="25"/>
      <c r="M316" s="25"/>
      <c r="N316" s="25"/>
      <c r="O316" s="25"/>
      <c r="P316" s="25"/>
      <c r="Q316" s="25"/>
      <c r="R316" s="25"/>
      <c r="S316" s="25"/>
      <c r="T316" s="25"/>
      <c r="U316" s="25"/>
      <c r="V316" s="25"/>
      <c r="W316" s="25"/>
      <c r="X316" s="68">
        <f t="shared" si="12"/>
        <v>1900</v>
      </c>
      <c r="Y316" s="25">
        <f t="shared" si="13"/>
        <v>1</v>
      </c>
      <c r="Z316" s="68">
        <f t="shared" si="14"/>
        <v>0</v>
      </c>
    </row>
    <row r="317" ht="13.85" spans="1:26">
      <c r="A317" s="25"/>
      <c r="F317" s="25"/>
      <c r="G317" s="25"/>
      <c r="H317" s="25"/>
      <c r="I317" s="25"/>
      <c r="J317" s="25"/>
      <c r="K317" s="25"/>
      <c r="L317" s="25"/>
      <c r="M317" s="25"/>
      <c r="N317" s="25"/>
      <c r="O317" s="25"/>
      <c r="P317" s="25"/>
      <c r="Q317" s="25"/>
      <c r="R317" s="25"/>
      <c r="S317" s="25"/>
      <c r="T317" s="25"/>
      <c r="U317" s="25"/>
      <c r="V317" s="25"/>
      <c r="W317" s="25"/>
      <c r="X317" s="68">
        <f t="shared" si="12"/>
        <v>1900</v>
      </c>
      <c r="Y317" s="25">
        <f t="shared" si="13"/>
        <v>1</v>
      </c>
      <c r="Z317" s="68">
        <f t="shared" si="14"/>
        <v>0</v>
      </c>
    </row>
    <row r="318" ht="13.85" spans="1:26">
      <c r="A318" s="25"/>
      <c r="F318" s="25"/>
      <c r="G318" s="25"/>
      <c r="H318" s="25"/>
      <c r="I318" s="25"/>
      <c r="J318" s="25"/>
      <c r="K318" s="25"/>
      <c r="L318" s="25"/>
      <c r="M318" s="25"/>
      <c r="N318" s="25"/>
      <c r="O318" s="25"/>
      <c r="P318" s="25"/>
      <c r="Q318" s="25"/>
      <c r="R318" s="25"/>
      <c r="S318" s="25"/>
      <c r="T318" s="25"/>
      <c r="U318" s="25"/>
      <c r="V318" s="25"/>
      <c r="W318" s="25"/>
      <c r="X318" s="68">
        <f t="shared" si="12"/>
        <v>1900</v>
      </c>
      <c r="Y318" s="25">
        <f t="shared" si="13"/>
        <v>1</v>
      </c>
      <c r="Z318" s="68">
        <f t="shared" si="14"/>
        <v>0</v>
      </c>
    </row>
    <row r="319" ht="13.85" spans="1:26">
      <c r="A319" s="25"/>
      <c r="F319" s="25"/>
      <c r="G319" s="25"/>
      <c r="H319" s="25"/>
      <c r="I319" s="25"/>
      <c r="J319" s="25"/>
      <c r="K319" s="25"/>
      <c r="L319" s="25"/>
      <c r="M319" s="25"/>
      <c r="N319" s="25"/>
      <c r="O319" s="25"/>
      <c r="P319" s="25"/>
      <c r="Q319" s="25"/>
      <c r="R319" s="25"/>
      <c r="S319" s="25"/>
      <c r="T319" s="25"/>
      <c r="U319" s="25"/>
      <c r="V319" s="25"/>
      <c r="W319" s="25"/>
      <c r="X319" s="68">
        <f t="shared" si="12"/>
        <v>1900</v>
      </c>
      <c r="Y319" s="25">
        <f t="shared" si="13"/>
        <v>1</v>
      </c>
      <c r="Z319" s="68">
        <f t="shared" si="14"/>
        <v>0</v>
      </c>
    </row>
    <row r="320" ht="13.85" spans="1:26">
      <c r="A320" s="25"/>
      <c r="F320" s="25"/>
      <c r="G320" s="25"/>
      <c r="H320" s="25"/>
      <c r="I320" s="25"/>
      <c r="J320" s="25"/>
      <c r="K320" s="25"/>
      <c r="L320" s="25"/>
      <c r="M320" s="25"/>
      <c r="N320" s="25"/>
      <c r="O320" s="25"/>
      <c r="P320" s="25"/>
      <c r="Q320" s="25"/>
      <c r="R320" s="25"/>
      <c r="S320" s="25"/>
      <c r="T320" s="25"/>
      <c r="U320" s="25"/>
      <c r="V320" s="25"/>
      <c r="W320" s="25"/>
      <c r="X320" s="68">
        <f t="shared" si="12"/>
        <v>1900</v>
      </c>
      <c r="Y320" s="25">
        <f t="shared" si="13"/>
        <v>1</v>
      </c>
      <c r="Z320" s="68">
        <f t="shared" si="14"/>
        <v>0</v>
      </c>
    </row>
    <row r="321" ht="13.85" spans="1:26">
      <c r="A321" s="25"/>
      <c r="F321" s="25"/>
      <c r="G321" s="25"/>
      <c r="H321" s="25"/>
      <c r="I321" s="25"/>
      <c r="J321" s="25"/>
      <c r="K321" s="25"/>
      <c r="L321" s="25"/>
      <c r="M321" s="25"/>
      <c r="N321" s="25"/>
      <c r="O321" s="25"/>
      <c r="P321" s="25"/>
      <c r="Q321" s="25"/>
      <c r="R321" s="25"/>
      <c r="S321" s="25"/>
      <c r="T321" s="25"/>
      <c r="U321" s="25"/>
      <c r="V321" s="25"/>
      <c r="W321" s="25"/>
      <c r="X321" s="68">
        <f t="shared" si="12"/>
        <v>1900</v>
      </c>
      <c r="Y321" s="25">
        <f t="shared" si="13"/>
        <v>1</v>
      </c>
      <c r="Z321" s="68">
        <f t="shared" si="14"/>
        <v>0</v>
      </c>
    </row>
    <row r="322" ht="13.85" spans="1:26">
      <c r="A322" s="25"/>
      <c r="F322" s="25"/>
      <c r="G322" s="25"/>
      <c r="H322" s="25"/>
      <c r="I322" s="25"/>
      <c r="J322" s="25"/>
      <c r="K322" s="25"/>
      <c r="L322" s="25"/>
      <c r="M322" s="25"/>
      <c r="N322" s="25"/>
      <c r="O322" s="25"/>
      <c r="P322" s="25"/>
      <c r="Q322" s="25"/>
      <c r="R322" s="25"/>
      <c r="S322" s="25"/>
      <c r="T322" s="25"/>
      <c r="U322" s="25"/>
      <c r="V322" s="25"/>
      <c r="W322" s="25"/>
      <c r="X322" s="68">
        <f t="shared" ref="X322:X385" si="15">YEAR(C322)</f>
        <v>1900</v>
      </c>
      <c r="Y322" s="25">
        <f t="shared" ref="Y322:Y385" si="16">MONTH(C322)</f>
        <v>1</v>
      </c>
      <c r="Z322" s="68">
        <f t="shared" ref="Z322:Z385" si="17">DAY(C322)</f>
        <v>0</v>
      </c>
    </row>
    <row r="323" ht="13.85" spans="1:26">
      <c r="A323" s="25"/>
      <c r="F323" s="25"/>
      <c r="G323" s="25"/>
      <c r="H323" s="25"/>
      <c r="I323" s="25"/>
      <c r="J323" s="25"/>
      <c r="K323" s="25"/>
      <c r="L323" s="25"/>
      <c r="M323" s="25"/>
      <c r="N323" s="25"/>
      <c r="O323" s="25"/>
      <c r="P323" s="25"/>
      <c r="Q323" s="25"/>
      <c r="R323" s="25"/>
      <c r="S323" s="25"/>
      <c r="T323" s="25"/>
      <c r="U323" s="25"/>
      <c r="V323" s="25"/>
      <c r="W323" s="25"/>
      <c r="X323" s="68">
        <f t="shared" si="15"/>
        <v>1900</v>
      </c>
      <c r="Y323" s="25">
        <f t="shared" si="16"/>
        <v>1</v>
      </c>
      <c r="Z323" s="68">
        <f t="shared" si="17"/>
        <v>0</v>
      </c>
    </row>
    <row r="324" ht="13.85" spans="1:26">
      <c r="A324" s="25"/>
      <c r="F324" s="25"/>
      <c r="G324" s="25"/>
      <c r="H324" s="25"/>
      <c r="I324" s="25"/>
      <c r="J324" s="25"/>
      <c r="K324" s="25"/>
      <c r="L324" s="25"/>
      <c r="M324" s="25"/>
      <c r="N324" s="25"/>
      <c r="O324" s="25"/>
      <c r="P324" s="25"/>
      <c r="Q324" s="25"/>
      <c r="R324" s="25"/>
      <c r="S324" s="25"/>
      <c r="T324" s="25"/>
      <c r="U324" s="25"/>
      <c r="V324" s="25"/>
      <c r="W324" s="25"/>
      <c r="X324" s="68">
        <f t="shared" si="15"/>
        <v>1900</v>
      </c>
      <c r="Y324" s="25">
        <f t="shared" si="16"/>
        <v>1</v>
      </c>
      <c r="Z324" s="68">
        <f t="shared" si="17"/>
        <v>0</v>
      </c>
    </row>
    <row r="325" ht="13.85" spans="1:26">
      <c r="A325" s="25"/>
      <c r="F325" s="25"/>
      <c r="G325" s="25"/>
      <c r="H325" s="25"/>
      <c r="I325" s="25"/>
      <c r="J325" s="25"/>
      <c r="K325" s="25"/>
      <c r="L325" s="25"/>
      <c r="M325" s="25"/>
      <c r="N325" s="25"/>
      <c r="O325" s="25"/>
      <c r="P325" s="25"/>
      <c r="Q325" s="25"/>
      <c r="R325" s="25"/>
      <c r="S325" s="25"/>
      <c r="T325" s="25"/>
      <c r="U325" s="25"/>
      <c r="V325" s="25"/>
      <c r="W325" s="25"/>
      <c r="X325" s="68">
        <f t="shared" si="15"/>
        <v>1900</v>
      </c>
      <c r="Y325" s="25">
        <f t="shared" si="16"/>
        <v>1</v>
      </c>
      <c r="Z325" s="68">
        <f t="shared" si="17"/>
        <v>0</v>
      </c>
    </row>
    <row r="326" ht="13.85" spans="1:26">
      <c r="A326" s="25"/>
      <c r="F326" s="25"/>
      <c r="G326" s="25"/>
      <c r="H326" s="25"/>
      <c r="I326" s="25"/>
      <c r="J326" s="25"/>
      <c r="K326" s="25"/>
      <c r="L326" s="25"/>
      <c r="M326" s="25"/>
      <c r="N326" s="25"/>
      <c r="O326" s="25"/>
      <c r="P326" s="25"/>
      <c r="Q326" s="25"/>
      <c r="R326" s="25"/>
      <c r="S326" s="25"/>
      <c r="T326" s="25"/>
      <c r="U326" s="25"/>
      <c r="V326" s="25"/>
      <c r="W326" s="25"/>
      <c r="X326" s="68">
        <f t="shared" si="15"/>
        <v>1900</v>
      </c>
      <c r="Y326" s="25">
        <f t="shared" si="16"/>
        <v>1</v>
      </c>
      <c r="Z326" s="68">
        <f t="shared" si="17"/>
        <v>0</v>
      </c>
    </row>
    <row r="327" ht="13.85" spans="1:26">
      <c r="A327" s="25"/>
      <c r="F327" s="25"/>
      <c r="G327" s="25"/>
      <c r="H327" s="25"/>
      <c r="I327" s="25"/>
      <c r="J327" s="25"/>
      <c r="K327" s="25"/>
      <c r="L327" s="25"/>
      <c r="M327" s="25"/>
      <c r="N327" s="25"/>
      <c r="O327" s="25"/>
      <c r="P327" s="25"/>
      <c r="Q327" s="25"/>
      <c r="R327" s="25"/>
      <c r="S327" s="25"/>
      <c r="T327" s="25"/>
      <c r="U327" s="25"/>
      <c r="V327" s="25"/>
      <c r="W327" s="25"/>
      <c r="X327" s="68">
        <f t="shared" si="15"/>
        <v>1900</v>
      </c>
      <c r="Y327" s="25">
        <f t="shared" si="16"/>
        <v>1</v>
      </c>
      <c r="Z327" s="68">
        <f t="shared" si="17"/>
        <v>0</v>
      </c>
    </row>
    <row r="328" ht="13.85" spans="1:26">
      <c r="A328" s="25"/>
      <c r="F328" s="25"/>
      <c r="G328" s="25"/>
      <c r="H328" s="25"/>
      <c r="I328" s="25"/>
      <c r="J328" s="25"/>
      <c r="K328" s="25"/>
      <c r="L328" s="25"/>
      <c r="M328" s="25"/>
      <c r="N328" s="25"/>
      <c r="O328" s="25"/>
      <c r="P328" s="25"/>
      <c r="Q328" s="25"/>
      <c r="R328" s="25"/>
      <c r="S328" s="25"/>
      <c r="T328" s="25"/>
      <c r="U328" s="25"/>
      <c r="V328" s="25"/>
      <c r="W328" s="25"/>
      <c r="X328" s="68">
        <f t="shared" si="15"/>
        <v>1900</v>
      </c>
      <c r="Y328" s="25">
        <f t="shared" si="16"/>
        <v>1</v>
      </c>
      <c r="Z328" s="68">
        <f t="shared" si="17"/>
        <v>0</v>
      </c>
    </row>
    <row r="329" ht="13.85" spans="1:26">
      <c r="A329" s="25"/>
      <c r="F329" s="25"/>
      <c r="G329" s="25"/>
      <c r="H329" s="25"/>
      <c r="I329" s="25"/>
      <c r="J329" s="25"/>
      <c r="K329" s="25"/>
      <c r="L329" s="25"/>
      <c r="M329" s="25"/>
      <c r="N329" s="25"/>
      <c r="O329" s="25"/>
      <c r="P329" s="25"/>
      <c r="Q329" s="25"/>
      <c r="R329" s="25"/>
      <c r="S329" s="25"/>
      <c r="T329" s="25"/>
      <c r="U329" s="25"/>
      <c r="V329" s="25"/>
      <c r="W329" s="25"/>
      <c r="X329" s="68">
        <f t="shared" si="15"/>
        <v>1900</v>
      </c>
      <c r="Y329" s="25">
        <f t="shared" si="16"/>
        <v>1</v>
      </c>
      <c r="Z329" s="68">
        <f t="shared" si="17"/>
        <v>0</v>
      </c>
    </row>
    <row r="330" ht="13.85" spans="1:26">
      <c r="A330" s="25"/>
      <c r="F330" s="25"/>
      <c r="G330" s="25"/>
      <c r="H330" s="25"/>
      <c r="I330" s="25"/>
      <c r="J330" s="25"/>
      <c r="K330" s="25"/>
      <c r="L330" s="25"/>
      <c r="M330" s="25"/>
      <c r="N330" s="25"/>
      <c r="O330" s="25"/>
      <c r="P330" s="25"/>
      <c r="Q330" s="25"/>
      <c r="R330" s="25"/>
      <c r="S330" s="25"/>
      <c r="T330" s="25"/>
      <c r="U330" s="25"/>
      <c r="V330" s="25"/>
      <c r="W330" s="25"/>
      <c r="X330" s="68">
        <f t="shared" si="15"/>
        <v>1900</v>
      </c>
      <c r="Y330" s="25">
        <f t="shared" si="16"/>
        <v>1</v>
      </c>
      <c r="Z330" s="68">
        <f t="shared" si="17"/>
        <v>0</v>
      </c>
    </row>
    <row r="331" ht="13.85" spans="1:26">
      <c r="A331" s="25"/>
      <c r="F331" s="25"/>
      <c r="G331" s="25"/>
      <c r="H331" s="25"/>
      <c r="I331" s="25"/>
      <c r="J331" s="25"/>
      <c r="K331" s="25"/>
      <c r="L331" s="25"/>
      <c r="M331" s="25"/>
      <c r="N331" s="25"/>
      <c r="O331" s="25"/>
      <c r="P331" s="25"/>
      <c r="Q331" s="25"/>
      <c r="R331" s="25"/>
      <c r="S331" s="25"/>
      <c r="T331" s="25"/>
      <c r="U331" s="25"/>
      <c r="V331" s="25"/>
      <c r="W331" s="25"/>
      <c r="X331" s="68">
        <f t="shared" si="15"/>
        <v>1900</v>
      </c>
      <c r="Y331" s="25">
        <f t="shared" si="16"/>
        <v>1</v>
      </c>
      <c r="Z331" s="68">
        <f t="shared" si="17"/>
        <v>0</v>
      </c>
    </row>
    <row r="332" ht="13.85" spans="1:26">
      <c r="A332" s="25"/>
      <c r="F332" s="25"/>
      <c r="G332" s="25"/>
      <c r="H332" s="25"/>
      <c r="I332" s="25"/>
      <c r="J332" s="25"/>
      <c r="K332" s="25"/>
      <c r="L332" s="25"/>
      <c r="M332" s="25"/>
      <c r="N332" s="25"/>
      <c r="O332" s="25"/>
      <c r="P332" s="25"/>
      <c r="Q332" s="25"/>
      <c r="R332" s="25"/>
      <c r="S332" s="25"/>
      <c r="T332" s="25"/>
      <c r="U332" s="25"/>
      <c r="V332" s="25"/>
      <c r="W332" s="25"/>
      <c r="X332" s="68">
        <f t="shared" si="15"/>
        <v>1900</v>
      </c>
      <c r="Y332" s="25">
        <f t="shared" si="16"/>
        <v>1</v>
      </c>
      <c r="Z332" s="68">
        <f t="shared" si="17"/>
        <v>0</v>
      </c>
    </row>
    <row r="333" ht="13.85" spans="1:26">
      <c r="A333" s="25"/>
      <c r="F333" s="25"/>
      <c r="G333" s="25"/>
      <c r="H333" s="25"/>
      <c r="I333" s="25"/>
      <c r="J333" s="25"/>
      <c r="K333" s="25"/>
      <c r="L333" s="25"/>
      <c r="M333" s="25"/>
      <c r="N333" s="25"/>
      <c r="O333" s="25"/>
      <c r="P333" s="25"/>
      <c r="Q333" s="25"/>
      <c r="R333" s="25"/>
      <c r="S333" s="25"/>
      <c r="T333" s="25"/>
      <c r="U333" s="25"/>
      <c r="V333" s="25"/>
      <c r="W333" s="25"/>
      <c r="X333" s="68">
        <f t="shared" si="15"/>
        <v>1900</v>
      </c>
      <c r="Y333" s="25">
        <f t="shared" si="16"/>
        <v>1</v>
      </c>
      <c r="Z333" s="68">
        <f t="shared" si="17"/>
        <v>0</v>
      </c>
    </row>
    <row r="334" ht="13.85" spans="1:26">
      <c r="A334" s="25"/>
      <c r="F334" s="25"/>
      <c r="G334" s="25"/>
      <c r="H334" s="25"/>
      <c r="I334" s="25"/>
      <c r="J334" s="25"/>
      <c r="K334" s="25"/>
      <c r="L334" s="25"/>
      <c r="M334" s="25"/>
      <c r="N334" s="25"/>
      <c r="O334" s="25"/>
      <c r="P334" s="25"/>
      <c r="Q334" s="25"/>
      <c r="R334" s="25"/>
      <c r="S334" s="25"/>
      <c r="T334" s="25"/>
      <c r="U334" s="25"/>
      <c r="V334" s="25"/>
      <c r="W334" s="25"/>
      <c r="X334" s="68">
        <f t="shared" si="15"/>
        <v>1900</v>
      </c>
      <c r="Y334" s="25">
        <f t="shared" si="16"/>
        <v>1</v>
      </c>
      <c r="Z334" s="68">
        <f t="shared" si="17"/>
        <v>0</v>
      </c>
    </row>
    <row r="335" ht="13.85" spans="1:26">
      <c r="A335" s="25"/>
      <c r="F335" s="25"/>
      <c r="G335" s="25"/>
      <c r="H335" s="25"/>
      <c r="I335" s="25"/>
      <c r="J335" s="25"/>
      <c r="K335" s="25"/>
      <c r="L335" s="25"/>
      <c r="M335" s="25"/>
      <c r="N335" s="25"/>
      <c r="O335" s="25"/>
      <c r="P335" s="25"/>
      <c r="Q335" s="25"/>
      <c r="R335" s="25"/>
      <c r="S335" s="25"/>
      <c r="T335" s="25"/>
      <c r="U335" s="25"/>
      <c r="V335" s="25"/>
      <c r="W335" s="25"/>
      <c r="X335" s="68">
        <f t="shared" si="15"/>
        <v>1900</v>
      </c>
      <c r="Y335" s="25">
        <f t="shared" si="16"/>
        <v>1</v>
      </c>
      <c r="Z335" s="68">
        <f t="shared" si="17"/>
        <v>0</v>
      </c>
    </row>
    <row r="336" ht="13.85" spans="1:26">
      <c r="A336" s="25"/>
      <c r="F336" s="25"/>
      <c r="G336" s="25"/>
      <c r="H336" s="25"/>
      <c r="I336" s="25"/>
      <c r="J336" s="25"/>
      <c r="K336" s="25"/>
      <c r="L336" s="25"/>
      <c r="M336" s="25"/>
      <c r="N336" s="25"/>
      <c r="O336" s="25"/>
      <c r="P336" s="25"/>
      <c r="Q336" s="25"/>
      <c r="R336" s="25"/>
      <c r="S336" s="25"/>
      <c r="T336" s="25"/>
      <c r="U336" s="25"/>
      <c r="V336" s="25"/>
      <c r="W336" s="25"/>
      <c r="X336" s="68">
        <f t="shared" si="15"/>
        <v>1900</v>
      </c>
      <c r="Y336" s="25">
        <f t="shared" si="16"/>
        <v>1</v>
      </c>
      <c r="Z336" s="68">
        <f t="shared" si="17"/>
        <v>0</v>
      </c>
    </row>
    <row r="337" ht="13.85" spans="1:26">
      <c r="A337" s="25"/>
      <c r="F337" s="25"/>
      <c r="G337" s="25"/>
      <c r="H337" s="25"/>
      <c r="I337" s="25"/>
      <c r="J337" s="25"/>
      <c r="K337" s="25"/>
      <c r="L337" s="25"/>
      <c r="M337" s="25"/>
      <c r="N337" s="25"/>
      <c r="O337" s="25"/>
      <c r="P337" s="25"/>
      <c r="Q337" s="25"/>
      <c r="R337" s="25"/>
      <c r="S337" s="25"/>
      <c r="T337" s="25"/>
      <c r="U337" s="25"/>
      <c r="V337" s="25"/>
      <c r="W337" s="25"/>
      <c r="X337" s="68">
        <f t="shared" si="15"/>
        <v>1900</v>
      </c>
      <c r="Y337" s="25">
        <f t="shared" si="16"/>
        <v>1</v>
      </c>
      <c r="Z337" s="68">
        <f t="shared" si="17"/>
        <v>0</v>
      </c>
    </row>
    <row r="338" ht="13.85" spans="1:26">
      <c r="A338" s="25"/>
      <c r="F338" s="25"/>
      <c r="G338" s="25"/>
      <c r="H338" s="25"/>
      <c r="I338" s="25"/>
      <c r="J338" s="25"/>
      <c r="K338" s="25"/>
      <c r="L338" s="25"/>
      <c r="M338" s="25"/>
      <c r="N338" s="25"/>
      <c r="O338" s="25"/>
      <c r="P338" s="25"/>
      <c r="Q338" s="25"/>
      <c r="R338" s="25"/>
      <c r="S338" s="25"/>
      <c r="T338" s="25"/>
      <c r="U338" s="25"/>
      <c r="V338" s="25"/>
      <c r="W338" s="25"/>
      <c r="X338" s="68">
        <f t="shared" si="15"/>
        <v>1900</v>
      </c>
      <c r="Y338" s="25">
        <f t="shared" si="16"/>
        <v>1</v>
      </c>
      <c r="Z338" s="68">
        <f t="shared" si="17"/>
        <v>0</v>
      </c>
    </row>
    <row r="339" ht="13.85" spans="1:26">
      <c r="A339" s="25"/>
      <c r="F339" s="25"/>
      <c r="G339" s="25"/>
      <c r="H339" s="25"/>
      <c r="I339" s="25"/>
      <c r="J339" s="25"/>
      <c r="K339" s="25"/>
      <c r="L339" s="25"/>
      <c r="M339" s="25"/>
      <c r="N339" s="25"/>
      <c r="O339" s="25"/>
      <c r="P339" s="25"/>
      <c r="Q339" s="25"/>
      <c r="R339" s="25"/>
      <c r="S339" s="25"/>
      <c r="T339" s="25"/>
      <c r="U339" s="25"/>
      <c r="V339" s="25"/>
      <c r="W339" s="25"/>
      <c r="X339" s="68">
        <f t="shared" si="15"/>
        <v>1900</v>
      </c>
      <c r="Y339" s="25">
        <f t="shared" si="16"/>
        <v>1</v>
      </c>
      <c r="Z339" s="68">
        <f t="shared" si="17"/>
        <v>0</v>
      </c>
    </row>
    <row r="340" ht="13.85" spans="1:26">
      <c r="A340" s="25"/>
      <c r="F340" s="25"/>
      <c r="G340" s="25"/>
      <c r="H340" s="25"/>
      <c r="I340" s="25"/>
      <c r="J340" s="25"/>
      <c r="K340" s="25"/>
      <c r="L340" s="25"/>
      <c r="M340" s="25"/>
      <c r="N340" s="25"/>
      <c r="O340" s="25"/>
      <c r="P340" s="25"/>
      <c r="Q340" s="25"/>
      <c r="R340" s="25"/>
      <c r="S340" s="25"/>
      <c r="T340" s="25"/>
      <c r="U340" s="25"/>
      <c r="V340" s="25"/>
      <c r="W340" s="25"/>
      <c r="X340" s="68">
        <f t="shared" si="15"/>
        <v>1900</v>
      </c>
      <c r="Y340" s="25">
        <f t="shared" si="16"/>
        <v>1</v>
      </c>
      <c r="Z340" s="68">
        <f t="shared" si="17"/>
        <v>0</v>
      </c>
    </row>
    <row r="341" ht="13.85" spans="1:26">
      <c r="A341" s="25"/>
      <c r="F341" s="25"/>
      <c r="G341" s="25"/>
      <c r="H341" s="25"/>
      <c r="I341" s="25"/>
      <c r="J341" s="25"/>
      <c r="K341" s="25"/>
      <c r="L341" s="25"/>
      <c r="M341" s="25"/>
      <c r="N341" s="25"/>
      <c r="O341" s="25"/>
      <c r="P341" s="25"/>
      <c r="Q341" s="25"/>
      <c r="R341" s="25"/>
      <c r="S341" s="25"/>
      <c r="T341" s="25"/>
      <c r="U341" s="25"/>
      <c r="V341" s="25"/>
      <c r="W341" s="25"/>
      <c r="X341" s="68">
        <f t="shared" si="15"/>
        <v>1900</v>
      </c>
      <c r="Y341" s="25">
        <f t="shared" si="16"/>
        <v>1</v>
      </c>
      <c r="Z341" s="68">
        <f t="shared" si="17"/>
        <v>0</v>
      </c>
    </row>
    <row r="342" ht="13.85" spans="1:26">
      <c r="A342" s="25"/>
      <c r="F342" s="25"/>
      <c r="G342" s="25"/>
      <c r="H342" s="25"/>
      <c r="I342" s="25"/>
      <c r="J342" s="25"/>
      <c r="K342" s="25"/>
      <c r="L342" s="25"/>
      <c r="M342" s="25"/>
      <c r="N342" s="25"/>
      <c r="O342" s="25"/>
      <c r="P342" s="25"/>
      <c r="Q342" s="25"/>
      <c r="R342" s="25"/>
      <c r="S342" s="25"/>
      <c r="T342" s="25"/>
      <c r="U342" s="25"/>
      <c r="V342" s="25"/>
      <c r="W342" s="25"/>
      <c r="X342" s="68">
        <f t="shared" si="15"/>
        <v>1900</v>
      </c>
      <c r="Y342" s="25">
        <f t="shared" si="16"/>
        <v>1</v>
      </c>
      <c r="Z342" s="68">
        <f t="shared" si="17"/>
        <v>0</v>
      </c>
    </row>
    <row r="343" ht="13.85" spans="1:26">
      <c r="A343" s="25"/>
      <c r="F343" s="25"/>
      <c r="G343" s="25"/>
      <c r="H343" s="25"/>
      <c r="I343" s="25"/>
      <c r="J343" s="25"/>
      <c r="K343" s="25"/>
      <c r="L343" s="25"/>
      <c r="M343" s="25"/>
      <c r="N343" s="25"/>
      <c r="O343" s="25"/>
      <c r="P343" s="25"/>
      <c r="Q343" s="25"/>
      <c r="R343" s="25"/>
      <c r="S343" s="25"/>
      <c r="T343" s="25"/>
      <c r="U343" s="25"/>
      <c r="V343" s="25"/>
      <c r="W343" s="25"/>
      <c r="X343" s="68">
        <f t="shared" si="15"/>
        <v>1900</v>
      </c>
      <c r="Y343" s="25">
        <f t="shared" si="16"/>
        <v>1</v>
      </c>
      <c r="Z343" s="68">
        <f t="shared" si="17"/>
        <v>0</v>
      </c>
    </row>
    <row r="344" ht="13.85" spans="1:26">
      <c r="A344" s="25"/>
      <c r="F344" s="25"/>
      <c r="G344" s="25"/>
      <c r="H344" s="25"/>
      <c r="I344" s="25"/>
      <c r="J344" s="25"/>
      <c r="K344" s="25"/>
      <c r="L344" s="25"/>
      <c r="M344" s="25"/>
      <c r="N344" s="25"/>
      <c r="O344" s="25"/>
      <c r="P344" s="25"/>
      <c r="Q344" s="25"/>
      <c r="R344" s="25"/>
      <c r="S344" s="25"/>
      <c r="T344" s="25"/>
      <c r="U344" s="25"/>
      <c r="V344" s="25"/>
      <c r="W344" s="25"/>
      <c r="X344" s="68">
        <f t="shared" si="15"/>
        <v>1900</v>
      </c>
      <c r="Y344" s="25">
        <f t="shared" si="16"/>
        <v>1</v>
      </c>
      <c r="Z344" s="68">
        <f t="shared" si="17"/>
        <v>0</v>
      </c>
    </row>
    <row r="345" ht="13.85" spans="1:26">
      <c r="A345" s="25"/>
      <c r="F345" s="25"/>
      <c r="G345" s="25"/>
      <c r="H345" s="25"/>
      <c r="I345" s="25"/>
      <c r="J345" s="25"/>
      <c r="K345" s="25"/>
      <c r="L345" s="25"/>
      <c r="M345" s="25"/>
      <c r="N345" s="25"/>
      <c r="O345" s="25"/>
      <c r="P345" s="25"/>
      <c r="Q345" s="25"/>
      <c r="R345" s="25"/>
      <c r="S345" s="25"/>
      <c r="T345" s="25"/>
      <c r="U345" s="25"/>
      <c r="V345" s="25"/>
      <c r="W345" s="25"/>
      <c r="X345" s="68">
        <f t="shared" si="15"/>
        <v>1900</v>
      </c>
      <c r="Y345" s="25">
        <f t="shared" si="16"/>
        <v>1</v>
      </c>
      <c r="Z345" s="68">
        <f t="shared" si="17"/>
        <v>0</v>
      </c>
    </row>
    <row r="346" ht="13.85" spans="1:26">
      <c r="A346" s="25"/>
      <c r="F346" s="25"/>
      <c r="G346" s="25"/>
      <c r="H346" s="25"/>
      <c r="I346" s="25"/>
      <c r="J346" s="25"/>
      <c r="K346" s="25"/>
      <c r="L346" s="25"/>
      <c r="M346" s="25"/>
      <c r="N346" s="25"/>
      <c r="O346" s="25"/>
      <c r="P346" s="25"/>
      <c r="Q346" s="25"/>
      <c r="R346" s="25"/>
      <c r="S346" s="25"/>
      <c r="T346" s="25"/>
      <c r="U346" s="25"/>
      <c r="V346" s="25"/>
      <c r="W346" s="25"/>
      <c r="X346" s="68">
        <f t="shared" si="15"/>
        <v>1900</v>
      </c>
      <c r="Y346" s="25">
        <f t="shared" si="16"/>
        <v>1</v>
      </c>
      <c r="Z346" s="68">
        <f t="shared" si="17"/>
        <v>0</v>
      </c>
    </row>
    <row r="347" ht="13.85" spans="1:26">
      <c r="A347" s="25"/>
      <c r="F347" s="25"/>
      <c r="G347" s="25"/>
      <c r="H347" s="25"/>
      <c r="I347" s="25"/>
      <c r="J347" s="25"/>
      <c r="K347" s="25"/>
      <c r="L347" s="25"/>
      <c r="M347" s="25"/>
      <c r="N347" s="25"/>
      <c r="O347" s="25"/>
      <c r="P347" s="25"/>
      <c r="Q347" s="25"/>
      <c r="R347" s="25"/>
      <c r="S347" s="25"/>
      <c r="T347" s="25"/>
      <c r="U347" s="25"/>
      <c r="V347" s="25"/>
      <c r="W347" s="25"/>
      <c r="X347" s="68">
        <f t="shared" si="15"/>
        <v>1900</v>
      </c>
      <c r="Y347" s="25">
        <f t="shared" si="16"/>
        <v>1</v>
      </c>
      <c r="Z347" s="68">
        <f t="shared" si="17"/>
        <v>0</v>
      </c>
    </row>
    <row r="348" ht="13.85" spans="1:26">
      <c r="A348" s="25"/>
      <c r="F348" s="25"/>
      <c r="G348" s="25"/>
      <c r="H348" s="25"/>
      <c r="I348" s="25"/>
      <c r="J348" s="25"/>
      <c r="K348" s="25"/>
      <c r="L348" s="25"/>
      <c r="M348" s="25"/>
      <c r="N348" s="25"/>
      <c r="O348" s="25"/>
      <c r="P348" s="25"/>
      <c r="Q348" s="25"/>
      <c r="R348" s="25"/>
      <c r="S348" s="25"/>
      <c r="T348" s="25"/>
      <c r="U348" s="25"/>
      <c r="V348" s="25"/>
      <c r="W348" s="25"/>
      <c r="X348" s="68">
        <f t="shared" si="15"/>
        <v>1900</v>
      </c>
      <c r="Y348" s="25">
        <f t="shared" si="16"/>
        <v>1</v>
      </c>
      <c r="Z348" s="68">
        <f t="shared" si="17"/>
        <v>0</v>
      </c>
    </row>
    <row r="349" ht="13.85" spans="1:26">
      <c r="A349" s="25"/>
      <c r="F349" s="25"/>
      <c r="G349" s="25"/>
      <c r="H349" s="25"/>
      <c r="I349" s="25"/>
      <c r="J349" s="25"/>
      <c r="K349" s="25"/>
      <c r="L349" s="25"/>
      <c r="M349" s="25"/>
      <c r="N349" s="25"/>
      <c r="O349" s="25"/>
      <c r="P349" s="25"/>
      <c r="Q349" s="25"/>
      <c r="R349" s="25"/>
      <c r="S349" s="25"/>
      <c r="T349" s="25"/>
      <c r="U349" s="25"/>
      <c r="V349" s="25"/>
      <c r="W349" s="25"/>
      <c r="X349" s="68">
        <f t="shared" si="15"/>
        <v>1900</v>
      </c>
      <c r="Y349" s="25">
        <f t="shared" si="16"/>
        <v>1</v>
      </c>
      <c r="Z349" s="68">
        <f t="shared" si="17"/>
        <v>0</v>
      </c>
    </row>
    <row r="350" ht="13.85" spans="1:26">
      <c r="A350" s="25"/>
      <c r="F350" s="25"/>
      <c r="G350" s="25"/>
      <c r="H350" s="25"/>
      <c r="I350" s="25"/>
      <c r="J350" s="25"/>
      <c r="K350" s="25"/>
      <c r="L350" s="25"/>
      <c r="M350" s="25"/>
      <c r="N350" s="25"/>
      <c r="O350" s="25"/>
      <c r="P350" s="25"/>
      <c r="Q350" s="25"/>
      <c r="R350" s="25"/>
      <c r="S350" s="25"/>
      <c r="T350" s="25"/>
      <c r="U350" s="25"/>
      <c r="V350" s="25"/>
      <c r="W350" s="25"/>
      <c r="X350" s="68">
        <f t="shared" si="15"/>
        <v>1900</v>
      </c>
      <c r="Y350" s="25">
        <f t="shared" si="16"/>
        <v>1</v>
      </c>
      <c r="Z350" s="68">
        <f t="shared" si="17"/>
        <v>0</v>
      </c>
    </row>
    <row r="351" ht="13.85" spans="1:26">
      <c r="A351" s="25"/>
      <c r="F351" s="25"/>
      <c r="G351" s="25"/>
      <c r="H351" s="25"/>
      <c r="I351" s="25"/>
      <c r="J351" s="25"/>
      <c r="K351" s="25"/>
      <c r="L351" s="25"/>
      <c r="M351" s="25"/>
      <c r="N351" s="25"/>
      <c r="O351" s="25"/>
      <c r="P351" s="25"/>
      <c r="Q351" s="25"/>
      <c r="R351" s="25"/>
      <c r="S351" s="25"/>
      <c r="T351" s="25"/>
      <c r="U351" s="25"/>
      <c r="V351" s="25"/>
      <c r="W351" s="25"/>
      <c r="X351" s="68">
        <f t="shared" si="15"/>
        <v>1900</v>
      </c>
      <c r="Y351" s="25">
        <f t="shared" si="16"/>
        <v>1</v>
      </c>
      <c r="Z351" s="68">
        <f t="shared" si="17"/>
        <v>0</v>
      </c>
    </row>
    <row r="352" ht="13.85" spans="1:26">
      <c r="A352" s="25"/>
      <c r="F352" s="25"/>
      <c r="G352" s="25"/>
      <c r="H352" s="25"/>
      <c r="I352" s="25"/>
      <c r="J352" s="25"/>
      <c r="K352" s="25"/>
      <c r="L352" s="25"/>
      <c r="M352" s="25"/>
      <c r="N352" s="25"/>
      <c r="O352" s="25"/>
      <c r="P352" s="25"/>
      <c r="Q352" s="25"/>
      <c r="R352" s="25"/>
      <c r="S352" s="25"/>
      <c r="T352" s="25"/>
      <c r="U352" s="25"/>
      <c r="V352" s="25"/>
      <c r="W352" s="25"/>
      <c r="X352" s="68">
        <f t="shared" si="15"/>
        <v>1900</v>
      </c>
      <c r="Y352" s="25">
        <f t="shared" si="16"/>
        <v>1</v>
      </c>
      <c r="Z352" s="68">
        <f t="shared" si="17"/>
        <v>0</v>
      </c>
    </row>
    <row r="353" ht="13.85" spans="1:26">
      <c r="A353" s="25"/>
      <c r="F353" s="25"/>
      <c r="G353" s="25"/>
      <c r="H353" s="25"/>
      <c r="I353" s="25"/>
      <c r="J353" s="25"/>
      <c r="K353" s="25"/>
      <c r="L353" s="25"/>
      <c r="M353" s="25"/>
      <c r="N353" s="25"/>
      <c r="O353" s="25"/>
      <c r="P353" s="25"/>
      <c r="Q353" s="25"/>
      <c r="R353" s="25"/>
      <c r="S353" s="25"/>
      <c r="T353" s="25"/>
      <c r="U353" s="25"/>
      <c r="V353" s="25"/>
      <c r="W353" s="25"/>
      <c r="X353" s="68">
        <f t="shared" si="15"/>
        <v>1900</v>
      </c>
      <c r="Y353" s="25">
        <f t="shared" si="16"/>
        <v>1</v>
      </c>
      <c r="Z353" s="68">
        <f t="shared" si="17"/>
        <v>0</v>
      </c>
    </row>
    <row r="354" ht="13.85" spans="1:26">
      <c r="A354" s="25"/>
      <c r="F354" s="25"/>
      <c r="G354" s="25"/>
      <c r="H354" s="25"/>
      <c r="I354" s="25"/>
      <c r="J354" s="25"/>
      <c r="K354" s="25"/>
      <c r="L354" s="25"/>
      <c r="M354" s="25"/>
      <c r="N354" s="25"/>
      <c r="O354" s="25"/>
      <c r="P354" s="25"/>
      <c r="Q354" s="25"/>
      <c r="R354" s="25"/>
      <c r="S354" s="25"/>
      <c r="T354" s="25"/>
      <c r="U354" s="25"/>
      <c r="V354" s="25"/>
      <c r="W354" s="25"/>
      <c r="X354" s="68">
        <f t="shared" si="15"/>
        <v>1900</v>
      </c>
      <c r="Y354" s="25">
        <f t="shared" si="16"/>
        <v>1</v>
      </c>
      <c r="Z354" s="68">
        <f t="shared" si="17"/>
        <v>0</v>
      </c>
    </row>
    <row r="355" ht="13.85" spans="1:26">
      <c r="A355" s="25"/>
      <c r="F355" s="25"/>
      <c r="G355" s="25"/>
      <c r="H355" s="25"/>
      <c r="I355" s="25"/>
      <c r="J355" s="25"/>
      <c r="K355" s="25"/>
      <c r="L355" s="25"/>
      <c r="M355" s="25"/>
      <c r="N355" s="25"/>
      <c r="O355" s="25"/>
      <c r="P355" s="25"/>
      <c r="Q355" s="25"/>
      <c r="R355" s="25"/>
      <c r="S355" s="25"/>
      <c r="T355" s="25"/>
      <c r="U355" s="25"/>
      <c r="V355" s="25"/>
      <c r="W355" s="25"/>
      <c r="X355" s="68">
        <f t="shared" si="15"/>
        <v>1900</v>
      </c>
      <c r="Y355" s="25">
        <f t="shared" si="16"/>
        <v>1</v>
      </c>
      <c r="Z355" s="68">
        <f t="shared" si="17"/>
        <v>0</v>
      </c>
    </row>
    <row r="356" ht="13.85" spans="1:26">
      <c r="A356" s="25"/>
      <c r="F356" s="25"/>
      <c r="G356" s="25"/>
      <c r="H356" s="25"/>
      <c r="I356" s="25"/>
      <c r="J356" s="25"/>
      <c r="K356" s="25"/>
      <c r="L356" s="25"/>
      <c r="M356" s="25"/>
      <c r="N356" s="25"/>
      <c r="O356" s="25"/>
      <c r="P356" s="25"/>
      <c r="Q356" s="25"/>
      <c r="R356" s="25"/>
      <c r="S356" s="25"/>
      <c r="T356" s="25"/>
      <c r="U356" s="25"/>
      <c r="V356" s="25"/>
      <c r="W356" s="25"/>
      <c r="X356" s="68">
        <f t="shared" si="15"/>
        <v>1900</v>
      </c>
      <c r="Y356" s="25">
        <f t="shared" si="16"/>
        <v>1</v>
      </c>
      <c r="Z356" s="68">
        <f t="shared" si="17"/>
        <v>0</v>
      </c>
    </row>
    <row r="357" ht="13.85" spans="1:26">
      <c r="A357" s="25"/>
      <c r="F357" s="25"/>
      <c r="G357" s="25"/>
      <c r="H357" s="25"/>
      <c r="I357" s="25"/>
      <c r="J357" s="25"/>
      <c r="K357" s="25"/>
      <c r="L357" s="25"/>
      <c r="M357" s="25"/>
      <c r="N357" s="25"/>
      <c r="O357" s="25"/>
      <c r="P357" s="25"/>
      <c r="Q357" s="25"/>
      <c r="R357" s="25"/>
      <c r="S357" s="25"/>
      <c r="T357" s="25"/>
      <c r="U357" s="25"/>
      <c r="V357" s="25"/>
      <c r="W357" s="25"/>
      <c r="X357" s="68">
        <f t="shared" si="15"/>
        <v>1900</v>
      </c>
      <c r="Y357" s="25">
        <f t="shared" si="16"/>
        <v>1</v>
      </c>
      <c r="Z357" s="68">
        <f t="shared" si="17"/>
        <v>0</v>
      </c>
    </row>
    <row r="358" ht="13.85" spans="1:26">
      <c r="A358" s="25"/>
      <c r="F358" s="25"/>
      <c r="G358" s="25"/>
      <c r="H358" s="25"/>
      <c r="I358" s="25"/>
      <c r="J358" s="25"/>
      <c r="K358" s="25"/>
      <c r="L358" s="25"/>
      <c r="M358" s="25"/>
      <c r="N358" s="25"/>
      <c r="O358" s="25"/>
      <c r="P358" s="25"/>
      <c r="Q358" s="25"/>
      <c r="R358" s="25"/>
      <c r="S358" s="25"/>
      <c r="T358" s="25"/>
      <c r="U358" s="25"/>
      <c r="V358" s="25"/>
      <c r="W358" s="25"/>
      <c r="X358" s="68">
        <f t="shared" si="15"/>
        <v>1900</v>
      </c>
      <c r="Y358" s="25">
        <f t="shared" si="16"/>
        <v>1</v>
      </c>
      <c r="Z358" s="68">
        <f t="shared" si="17"/>
        <v>0</v>
      </c>
    </row>
    <row r="359" ht="13.85" spans="1:26">
      <c r="A359" s="25"/>
      <c r="F359" s="25"/>
      <c r="G359" s="25"/>
      <c r="H359" s="25"/>
      <c r="I359" s="25"/>
      <c r="J359" s="25"/>
      <c r="K359" s="25"/>
      <c r="L359" s="25"/>
      <c r="M359" s="25"/>
      <c r="N359" s="25"/>
      <c r="O359" s="25"/>
      <c r="P359" s="25"/>
      <c r="Q359" s="25"/>
      <c r="R359" s="25"/>
      <c r="S359" s="25"/>
      <c r="T359" s="25"/>
      <c r="U359" s="25"/>
      <c r="V359" s="25"/>
      <c r="W359" s="25"/>
      <c r="X359" s="68">
        <f t="shared" si="15"/>
        <v>1900</v>
      </c>
      <c r="Y359" s="25">
        <f t="shared" si="16"/>
        <v>1</v>
      </c>
      <c r="Z359" s="68">
        <f t="shared" si="17"/>
        <v>0</v>
      </c>
    </row>
    <row r="360" ht="13.85" spans="1:26">
      <c r="A360" s="25"/>
      <c r="F360" s="25"/>
      <c r="G360" s="25"/>
      <c r="H360" s="25"/>
      <c r="I360" s="25"/>
      <c r="J360" s="25"/>
      <c r="K360" s="25"/>
      <c r="L360" s="25"/>
      <c r="M360" s="25"/>
      <c r="N360" s="25"/>
      <c r="O360" s="25"/>
      <c r="P360" s="25"/>
      <c r="Q360" s="25"/>
      <c r="R360" s="25"/>
      <c r="S360" s="25"/>
      <c r="T360" s="25"/>
      <c r="U360" s="25"/>
      <c r="V360" s="25"/>
      <c r="W360" s="25"/>
      <c r="X360" s="68">
        <f t="shared" si="15"/>
        <v>1900</v>
      </c>
      <c r="Y360" s="25">
        <f t="shared" si="16"/>
        <v>1</v>
      </c>
      <c r="Z360" s="68">
        <f t="shared" si="17"/>
        <v>0</v>
      </c>
    </row>
    <row r="361" ht="13.85" spans="1:26">
      <c r="A361" s="25"/>
      <c r="F361" s="25"/>
      <c r="G361" s="25"/>
      <c r="H361" s="25"/>
      <c r="I361" s="25"/>
      <c r="J361" s="25"/>
      <c r="K361" s="25"/>
      <c r="L361" s="25"/>
      <c r="M361" s="25"/>
      <c r="N361" s="25"/>
      <c r="O361" s="25"/>
      <c r="P361" s="25"/>
      <c r="Q361" s="25"/>
      <c r="R361" s="25"/>
      <c r="S361" s="25"/>
      <c r="T361" s="25"/>
      <c r="U361" s="25"/>
      <c r="V361" s="25"/>
      <c r="W361" s="25"/>
      <c r="X361" s="68">
        <f t="shared" si="15"/>
        <v>1900</v>
      </c>
      <c r="Y361" s="25">
        <f t="shared" si="16"/>
        <v>1</v>
      </c>
      <c r="Z361" s="68">
        <f t="shared" si="17"/>
        <v>0</v>
      </c>
    </row>
    <row r="362" ht="13.85" spans="1:26">
      <c r="A362" s="25"/>
      <c r="F362" s="25"/>
      <c r="G362" s="25"/>
      <c r="H362" s="25"/>
      <c r="I362" s="25"/>
      <c r="J362" s="25"/>
      <c r="K362" s="25"/>
      <c r="L362" s="25"/>
      <c r="M362" s="25"/>
      <c r="N362" s="25"/>
      <c r="O362" s="25"/>
      <c r="P362" s="25"/>
      <c r="Q362" s="25"/>
      <c r="R362" s="25"/>
      <c r="S362" s="25"/>
      <c r="T362" s="25"/>
      <c r="U362" s="25"/>
      <c r="V362" s="25"/>
      <c r="W362" s="25"/>
      <c r="X362" s="68">
        <f t="shared" si="15"/>
        <v>1900</v>
      </c>
      <c r="Y362" s="25">
        <f t="shared" si="16"/>
        <v>1</v>
      </c>
      <c r="Z362" s="68">
        <f t="shared" si="17"/>
        <v>0</v>
      </c>
    </row>
    <row r="363" ht="13.85" spans="1:26">
      <c r="A363" s="25"/>
      <c r="F363" s="25"/>
      <c r="G363" s="25"/>
      <c r="H363" s="25"/>
      <c r="I363" s="25"/>
      <c r="J363" s="25"/>
      <c r="K363" s="25"/>
      <c r="L363" s="25"/>
      <c r="M363" s="25"/>
      <c r="N363" s="25"/>
      <c r="O363" s="25"/>
      <c r="P363" s="25"/>
      <c r="Q363" s="25"/>
      <c r="R363" s="25"/>
      <c r="S363" s="25"/>
      <c r="T363" s="25"/>
      <c r="U363" s="25"/>
      <c r="V363" s="25"/>
      <c r="W363" s="25"/>
      <c r="X363" s="68">
        <f t="shared" si="15"/>
        <v>1900</v>
      </c>
      <c r="Y363" s="25">
        <f t="shared" si="16"/>
        <v>1</v>
      </c>
      <c r="Z363" s="68">
        <f t="shared" si="17"/>
        <v>0</v>
      </c>
    </row>
    <row r="364" ht="13.85" spans="1:26">
      <c r="A364" s="25"/>
      <c r="F364" s="25"/>
      <c r="G364" s="25"/>
      <c r="H364" s="25"/>
      <c r="I364" s="25"/>
      <c r="J364" s="25"/>
      <c r="K364" s="25"/>
      <c r="L364" s="25"/>
      <c r="M364" s="25"/>
      <c r="N364" s="25"/>
      <c r="O364" s="25"/>
      <c r="P364" s="25"/>
      <c r="Q364" s="25"/>
      <c r="R364" s="25"/>
      <c r="S364" s="25"/>
      <c r="T364" s="25"/>
      <c r="U364" s="25"/>
      <c r="V364" s="25"/>
      <c r="W364" s="25"/>
      <c r="X364" s="68">
        <f t="shared" si="15"/>
        <v>1900</v>
      </c>
      <c r="Y364" s="25">
        <f t="shared" si="16"/>
        <v>1</v>
      </c>
      <c r="Z364" s="68">
        <f t="shared" si="17"/>
        <v>0</v>
      </c>
    </row>
    <row r="365" ht="13.85" spans="1:26">
      <c r="A365" s="25"/>
      <c r="F365" s="25"/>
      <c r="G365" s="25"/>
      <c r="H365" s="25"/>
      <c r="I365" s="25"/>
      <c r="J365" s="25"/>
      <c r="K365" s="25"/>
      <c r="L365" s="25"/>
      <c r="M365" s="25"/>
      <c r="N365" s="25"/>
      <c r="O365" s="25"/>
      <c r="P365" s="25"/>
      <c r="Q365" s="25"/>
      <c r="R365" s="25"/>
      <c r="S365" s="25"/>
      <c r="T365" s="25"/>
      <c r="U365" s="25"/>
      <c r="V365" s="25"/>
      <c r="W365" s="25"/>
      <c r="X365" s="68">
        <f t="shared" si="15"/>
        <v>1900</v>
      </c>
      <c r="Y365" s="25">
        <f t="shared" si="16"/>
        <v>1</v>
      </c>
      <c r="Z365" s="68">
        <f t="shared" si="17"/>
        <v>0</v>
      </c>
    </row>
    <row r="366" ht="13.85" spans="1:26">
      <c r="A366" s="25"/>
      <c r="F366" s="25"/>
      <c r="G366" s="25"/>
      <c r="H366" s="25"/>
      <c r="I366" s="25"/>
      <c r="J366" s="25"/>
      <c r="K366" s="25"/>
      <c r="L366" s="25"/>
      <c r="M366" s="25"/>
      <c r="N366" s="25"/>
      <c r="O366" s="25"/>
      <c r="P366" s="25"/>
      <c r="Q366" s="25"/>
      <c r="R366" s="25"/>
      <c r="S366" s="25"/>
      <c r="T366" s="25"/>
      <c r="U366" s="25"/>
      <c r="V366" s="25"/>
      <c r="W366" s="25"/>
      <c r="X366" s="68">
        <f t="shared" si="15"/>
        <v>1900</v>
      </c>
      <c r="Y366" s="25">
        <f t="shared" si="16"/>
        <v>1</v>
      </c>
      <c r="Z366" s="68">
        <f t="shared" si="17"/>
        <v>0</v>
      </c>
    </row>
    <row r="367" ht="13.85" spans="1:26">
      <c r="A367" s="25"/>
      <c r="F367" s="25"/>
      <c r="G367" s="25"/>
      <c r="H367" s="25"/>
      <c r="I367" s="25"/>
      <c r="J367" s="25"/>
      <c r="K367" s="25"/>
      <c r="L367" s="25"/>
      <c r="M367" s="25"/>
      <c r="N367" s="25"/>
      <c r="O367" s="25"/>
      <c r="P367" s="25"/>
      <c r="Q367" s="25"/>
      <c r="R367" s="25"/>
      <c r="S367" s="25"/>
      <c r="T367" s="25"/>
      <c r="U367" s="25"/>
      <c r="V367" s="25"/>
      <c r="W367" s="25"/>
      <c r="X367" s="68">
        <f t="shared" si="15"/>
        <v>1900</v>
      </c>
      <c r="Y367" s="25">
        <f t="shared" si="16"/>
        <v>1</v>
      </c>
      <c r="Z367" s="68">
        <f t="shared" si="17"/>
        <v>0</v>
      </c>
    </row>
    <row r="368" ht="13.85" spans="1:26">
      <c r="A368" s="25"/>
      <c r="F368" s="25"/>
      <c r="G368" s="25"/>
      <c r="H368" s="25"/>
      <c r="I368" s="25"/>
      <c r="J368" s="25"/>
      <c r="K368" s="25"/>
      <c r="L368" s="25"/>
      <c r="M368" s="25"/>
      <c r="N368" s="25"/>
      <c r="O368" s="25"/>
      <c r="P368" s="25"/>
      <c r="Q368" s="25"/>
      <c r="R368" s="25"/>
      <c r="S368" s="25"/>
      <c r="T368" s="25"/>
      <c r="U368" s="25"/>
      <c r="V368" s="25"/>
      <c r="W368" s="25"/>
      <c r="X368" s="68">
        <f t="shared" si="15"/>
        <v>1900</v>
      </c>
      <c r="Y368" s="25">
        <f t="shared" si="16"/>
        <v>1</v>
      </c>
      <c r="Z368" s="68">
        <f t="shared" si="17"/>
        <v>0</v>
      </c>
    </row>
    <row r="369" ht="13.85" spans="1:26">
      <c r="A369" s="25"/>
      <c r="F369" s="25"/>
      <c r="G369" s="25"/>
      <c r="H369" s="25"/>
      <c r="I369" s="25"/>
      <c r="J369" s="25"/>
      <c r="K369" s="25"/>
      <c r="L369" s="25"/>
      <c r="M369" s="25"/>
      <c r="N369" s="25"/>
      <c r="O369" s="25"/>
      <c r="P369" s="25"/>
      <c r="Q369" s="25"/>
      <c r="R369" s="25"/>
      <c r="S369" s="25"/>
      <c r="T369" s="25"/>
      <c r="U369" s="25"/>
      <c r="V369" s="25"/>
      <c r="W369" s="25"/>
      <c r="X369" s="68">
        <f t="shared" si="15"/>
        <v>1900</v>
      </c>
      <c r="Y369" s="25">
        <f t="shared" si="16"/>
        <v>1</v>
      </c>
      <c r="Z369" s="68">
        <f t="shared" si="17"/>
        <v>0</v>
      </c>
    </row>
    <row r="370" ht="13.85" spans="1:26">
      <c r="A370" s="25"/>
      <c r="F370" s="25"/>
      <c r="G370" s="25"/>
      <c r="H370" s="25"/>
      <c r="I370" s="25"/>
      <c r="J370" s="25"/>
      <c r="K370" s="25"/>
      <c r="L370" s="25"/>
      <c r="M370" s="25"/>
      <c r="N370" s="25"/>
      <c r="O370" s="25"/>
      <c r="P370" s="25"/>
      <c r="Q370" s="25"/>
      <c r="R370" s="25"/>
      <c r="S370" s="25"/>
      <c r="T370" s="25"/>
      <c r="U370" s="25"/>
      <c r="V370" s="25"/>
      <c r="W370" s="25"/>
      <c r="X370" s="68">
        <f t="shared" si="15"/>
        <v>1900</v>
      </c>
      <c r="Y370" s="25">
        <f t="shared" si="16"/>
        <v>1</v>
      </c>
      <c r="Z370" s="68">
        <f t="shared" si="17"/>
        <v>0</v>
      </c>
    </row>
    <row r="371" ht="13.85" spans="1:26">
      <c r="A371" s="25"/>
      <c r="F371" s="25"/>
      <c r="G371" s="25"/>
      <c r="H371" s="25"/>
      <c r="I371" s="25"/>
      <c r="J371" s="25"/>
      <c r="K371" s="25"/>
      <c r="L371" s="25"/>
      <c r="M371" s="25"/>
      <c r="N371" s="25"/>
      <c r="O371" s="25"/>
      <c r="P371" s="25"/>
      <c r="Q371" s="25"/>
      <c r="R371" s="25"/>
      <c r="S371" s="25"/>
      <c r="T371" s="25"/>
      <c r="U371" s="25"/>
      <c r="V371" s="25"/>
      <c r="W371" s="25"/>
      <c r="X371" s="68">
        <f t="shared" si="15"/>
        <v>1900</v>
      </c>
      <c r="Y371" s="25">
        <f t="shared" si="16"/>
        <v>1</v>
      </c>
      <c r="Z371" s="68">
        <f t="shared" si="17"/>
        <v>0</v>
      </c>
    </row>
    <row r="372" ht="13.85" spans="1:26">
      <c r="A372" s="25"/>
      <c r="F372" s="25"/>
      <c r="G372" s="25"/>
      <c r="H372" s="25"/>
      <c r="I372" s="25"/>
      <c r="J372" s="25"/>
      <c r="K372" s="25"/>
      <c r="L372" s="25"/>
      <c r="M372" s="25"/>
      <c r="N372" s="25"/>
      <c r="O372" s="25"/>
      <c r="P372" s="25"/>
      <c r="Q372" s="25"/>
      <c r="R372" s="25"/>
      <c r="S372" s="25"/>
      <c r="T372" s="25"/>
      <c r="U372" s="25"/>
      <c r="V372" s="25"/>
      <c r="W372" s="25"/>
      <c r="X372" s="68">
        <f t="shared" si="15"/>
        <v>1900</v>
      </c>
      <c r="Y372" s="25">
        <f t="shared" si="16"/>
        <v>1</v>
      </c>
      <c r="Z372" s="68">
        <f t="shared" si="17"/>
        <v>0</v>
      </c>
    </row>
    <row r="373" ht="13.85" spans="1:26">
      <c r="A373" s="25"/>
      <c r="F373" s="25"/>
      <c r="G373" s="25"/>
      <c r="H373" s="25"/>
      <c r="I373" s="25"/>
      <c r="J373" s="25"/>
      <c r="K373" s="25"/>
      <c r="L373" s="25"/>
      <c r="M373" s="25"/>
      <c r="N373" s="25"/>
      <c r="O373" s="25"/>
      <c r="P373" s="25"/>
      <c r="Q373" s="25"/>
      <c r="R373" s="25"/>
      <c r="S373" s="25"/>
      <c r="T373" s="25"/>
      <c r="U373" s="25"/>
      <c r="V373" s="25"/>
      <c r="W373" s="25"/>
      <c r="X373" s="68">
        <f t="shared" si="15"/>
        <v>1900</v>
      </c>
      <c r="Y373" s="25">
        <f t="shared" si="16"/>
        <v>1</v>
      </c>
      <c r="Z373" s="68">
        <f t="shared" si="17"/>
        <v>0</v>
      </c>
    </row>
    <row r="374" ht="13.85" spans="1:26">
      <c r="A374" s="25"/>
      <c r="F374" s="25"/>
      <c r="G374" s="25"/>
      <c r="H374" s="25"/>
      <c r="I374" s="25"/>
      <c r="J374" s="25"/>
      <c r="K374" s="25"/>
      <c r="L374" s="25"/>
      <c r="M374" s="25"/>
      <c r="N374" s="25"/>
      <c r="O374" s="25"/>
      <c r="P374" s="25"/>
      <c r="Q374" s="25"/>
      <c r="R374" s="25"/>
      <c r="S374" s="25"/>
      <c r="T374" s="25"/>
      <c r="U374" s="25"/>
      <c r="V374" s="25"/>
      <c r="W374" s="25"/>
      <c r="X374" s="68">
        <f t="shared" si="15"/>
        <v>1900</v>
      </c>
      <c r="Y374" s="25">
        <f t="shared" si="16"/>
        <v>1</v>
      </c>
      <c r="Z374" s="68">
        <f t="shared" si="17"/>
        <v>0</v>
      </c>
    </row>
    <row r="375" ht="13.85" spans="1:26">
      <c r="A375" s="25"/>
      <c r="F375" s="25"/>
      <c r="G375" s="25"/>
      <c r="H375" s="25"/>
      <c r="I375" s="25"/>
      <c r="J375" s="25"/>
      <c r="K375" s="25"/>
      <c r="L375" s="25"/>
      <c r="M375" s="25"/>
      <c r="N375" s="25"/>
      <c r="O375" s="25"/>
      <c r="P375" s="25"/>
      <c r="Q375" s="25"/>
      <c r="R375" s="25"/>
      <c r="S375" s="25"/>
      <c r="T375" s="25"/>
      <c r="U375" s="25"/>
      <c r="V375" s="25"/>
      <c r="W375" s="25"/>
      <c r="X375" s="68">
        <f t="shared" si="15"/>
        <v>1900</v>
      </c>
      <c r="Y375" s="25">
        <f t="shared" si="16"/>
        <v>1</v>
      </c>
      <c r="Z375" s="68">
        <f t="shared" si="17"/>
        <v>0</v>
      </c>
    </row>
    <row r="376" ht="13.85" spans="1:26">
      <c r="A376" s="25"/>
      <c r="F376" s="25"/>
      <c r="G376" s="25"/>
      <c r="H376" s="25"/>
      <c r="I376" s="25"/>
      <c r="J376" s="25"/>
      <c r="K376" s="25"/>
      <c r="L376" s="25"/>
      <c r="M376" s="25"/>
      <c r="N376" s="25"/>
      <c r="O376" s="25"/>
      <c r="P376" s="25"/>
      <c r="Q376" s="25"/>
      <c r="R376" s="25"/>
      <c r="S376" s="25"/>
      <c r="T376" s="25"/>
      <c r="U376" s="25"/>
      <c r="V376" s="25"/>
      <c r="W376" s="25"/>
      <c r="X376" s="68">
        <f t="shared" si="15"/>
        <v>1900</v>
      </c>
      <c r="Y376" s="25">
        <f t="shared" si="16"/>
        <v>1</v>
      </c>
      <c r="Z376" s="68">
        <f t="shared" si="17"/>
        <v>0</v>
      </c>
    </row>
    <row r="377" ht="13.85" spans="1:26">
      <c r="A377" s="25"/>
      <c r="F377" s="25"/>
      <c r="G377" s="25"/>
      <c r="H377" s="25"/>
      <c r="I377" s="25"/>
      <c r="J377" s="25"/>
      <c r="K377" s="25"/>
      <c r="L377" s="25"/>
      <c r="M377" s="25"/>
      <c r="N377" s="25"/>
      <c r="O377" s="25"/>
      <c r="P377" s="25"/>
      <c r="Q377" s="25"/>
      <c r="R377" s="25"/>
      <c r="S377" s="25"/>
      <c r="T377" s="25"/>
      <c r="U377" s="25"/>
      <c r="V377" s="25"/>
      <c r="W377" s="25"/>
      <c r="X377" s="68">
        <f t="shared" si="15"/>
        <v>1900</v>
      </c>
      <c r="Y377" s="25">
        <f t="shared" si="16"/>
        <v>1</v>
      </c>
      <c r="Z377" s="68">
        <f t="shared" si="17"/>
        <v>0</v>
      </c>
    </row>
    <row r="378" ht="13.85" spans="1:26">
      <c r="A378" s="25"/>
      <c r="F378" s="25"/>
      <c r="G378" s="25"/>
      <c r="H378" s="25"/>
      <c r="I378" s="25"/>
      <c r="J378" s="25"/>
      <c r="K378" s="25"/>
      <c r="L378" s="25"/>
      <c r="M378" s="25"/>
      <c r="N378" s="25"/>
      <c r="O378" s="25"/>
      <c r="P378" s="25"/>
      <c r="Q378" s="25"/>
      <c r="R378" s="25"/>
      <c r="S378" s="25"/>
      <c r="T378" s="25"/>
      <c r="U378" s="25"/>
      <c r="V378" s="25"/>
      <c r="W378" s="25"/>
      <c r="X378" s="68">
        <f t="shared" si="15"/>
        <v>1900</v>
      </c>
      <c r="Y378" s="25">
        <f t="shared" si="16"/>
        <v>1</v>
      </c>
      <c r="Z378" s="68">
        <f t="shared" si="17"/>
        <v>0</v>
      </c>
    </row>
    <row r="379" ht="13.85" spans="1:26">
      <c r="A379" s="25"/>
      <c r="F379" s="25"/>
      <c r="G379" s="25"/>
      <c r="H379" s="25"/>
      <c r="I379" s="25"/>
      <c r="J379" s="25"/>
      <c r="K379" s="25"/>
      <c r="L379" s="25"/>
      <c r="M379" s="25"/>
      <c r="N379" s="25"/>
      <c r="O379" s="25"/>
      <c r="P379" s="25"/>
      <c r="Q379" s="25"/>
      <c r="R379" s="25"/>
      <c r="S379" s="25"/>
      <c r="T379" s="25"/>
      <c r="U379" s="25"/>
      <c r="V379" s="25"/>
      <c r="W379" s="25"/>
      <c r="X379" s="68">
        <f t="shared" si="15"/>
        <v>1900</v>
      </c>
      <c r="Y379" s="25">
        <f t="shared" si="16"/>
        <v>1</v>
      </c>
      <c r="Z379" s="68">
        <f t="shared" si="17"/>
        <v>0</v>
      </c>
    </row>
    <row r="380" ht="13.85" spans="1:26">
      <c r="A380" s="25"/>
      <c r="F380" s="25"/>
      <c r="G380" s="25"/>
      <c r="H380" s="25"/>
      <c r="I380" s="25"/>
      <c r="J380" s="25"/>
      <c r="K380" s="25"/>
      <c r="L380" s="25"/>
      <c r="M380" s="25"/>
      <c r="N380" s="25"/>
      <c r="O380" s="25"/>
      <c r="P380" s="25"/>
      <c r="Q380" s="25"/>
      <c r="R380" s="25"/>
      <c r="S380" s="25"/>
      <c r="T380" s="25"/>
      <c r="U380" s="25"/>
      <c r="V380" s="25"/>
      <c r="W380" s="25"/>
      <c r="X380" s="68">
        <f t="shared" si="15"/>
        <v>1900</v>
      </c>
      <c r="Y380" s="25">
        <f t="shared" si="16"/>
        <v>1</v>
      </c>
      <c r="Z380" s="68">
        <f t="shared" si="17"/>
        <v>0</v>
      </c>
    </row>
    <row r="381" ht="13.85" spans="1:26">
      <c r="A381" s="25"/>
      <c r="F381" s="25"/>
      <c r="G381" s="25"/>
      <c r="H381" s="25"/>
      <c r="I381" s="25"/>
      <c r="J381" s="25"/>
      <c r="K381" s="25"/>
      <c r="L381" s="25"/>
      <c r="M381" s="25"/>
      <c r="N381" s="25"/>
      <c r="O381" s="25"/>
      <c r="P381" s="25"/>
      <c r="Q381" s="25"/>
      <c r="R381" s="25"/>
      <c r="S381" s="25"/>
      <c r="T381" s="25"/>
      <c r="U381" s="25"/>
      <c r="V381" s="25"/>
      <c r="W381" s="25"/>
      <c r="X381" s="68">
        <f t="shared" si="15"/>
        <v>1900</v>
      </c>
      <c r="Y381" s="25">
        <f t="shared" si="16"/>
        <v>1</v>
      </c>
      <c r="Z381" s="68">
        <f t="shared" si="17"/>
        <v>0</v>
      </c>
    </row>
    <row r="382" ht="13.85" spans="1:26">
      <c r="A382" s="25"/>
      <c r="F382" s="25"/>
      <c r="G382" s="25"/>
      <c r="H382" s="25"/>
      <c r="I382" s="25"/>
      <c r="J382" s="25"/>
      <c r="K382" s="25"/>
      <c r="L382" s="25"/>
      <c r="M382" s="25"/>
      <c r="N382" s="25"/>
      <c r="O382" s="25"/>
      <c r="P382" s="25"/>
      <c r="Q382" s="25"/>
      <c r="R382" s="25"/>
      <c r="S382" s="25"/>
      <c r="T382" s="25"/>
      <c r="U382" s="25"/>
      <c r="V382" s="25"/>
      <c r="W382" s="25"/>
      <c r="X382" s="68">
        <f t="shared" si="15"/>
        <v>1900</v>
      </c>
      <c r="Y382" s="25">
        <f t="shared" si="16"/>
        <v>1</v>
      </c>
      <c r="Z382" s="68">
        <f t="shared" si="17"/>
        <v>0</v>
      </c>
    </row>
    <row r="383" ht="13.85" spans="1:26">
      <c r="A383" s="25"/>
      <c r="F383" s="25"/>
      <c r="G383" s="25"/>
      <c r="H383" s="25"/>
      <c r="I383" s="25"/>
      <c r="J383" s="25"/>
      <c r="K383" s="25"/>
      <c r="L383" s="25"/>
      <c r="M383" s="25"/>
      <c r="N383" s="25"/>
      <c r="O383" s="25"/>
      <c r="P383" s="25"/>
      <c r="Q383" s="25"/>
      <c r="R383" s="25"/>
      <c r="S383" s="25"/>
      <c r="T383" s="25"/>
      <c r="U383" s="25"/>
      <c r="V383" s="25"/>
      <c r="W383" s="25"/>
      <c r="X383" s="68">
        <f t="shared" si="15"/>
        <v>1900</v>
      </c>
      <c r="Y383" s="25">
        <f t="shared" si="16"/>
        <v>1</v>
      </c>
      <c r="Z383" s="68">
        <f t="shared" si="17"/>
        <v>0</v>
      </c>
    </row>
    <row r="384" ht="13.85" spans="1:26">
      <c r="A384" s="25"/>
      <c r="F384" s="25"/>
      <c r="G384" s="25"/>
      <c r="H384" s="25"/>
      <c r="I384" s="25"/>
      <c r="J384" s="25"/>
      <c r="K384" s="25"/>
      <c r="L384" s="25"/>
      <c r="M384" s="25"/>
      <c r="N384" s="25"/>
      <c r="O384" s="25"/>
      <c r="P384" s="25"/>
      <c r="Q384" s="25"/>
      <c r="R384" s="25"/>
      <c r="S384" s="25"/>
      <c r="T384" s="25"/>
      <c r="U384" s="25"/>
      <c r="V384" s="25"/>
      <c r="W384" s="25"/>
      <c r="X384" s="68">
        <f t="shared" si="15"/>
        <v>1900</v>
      </c>
      <c r="Y384" s="25">
        <f t="shared" si="16"/>
        <v>1</v>
      </c>
      <c r="Z384" s="68">
        <f t="shared" si="17"/>
        <v>0</v>
      </c>
    </row>
    <row r="385" ht="13.85" spans="1:26">
      <c r="A385" s="25"/>
      <c r="F385" s="25"/>
      <c r="G385" s="25"/>
      <c r="H385" s="25"/>
      <c r="I385" s="25"/>
      <c r="J385" s="25"/>
      <c r="K385" s="25"/>
      <c r="L385" s="25"/>
      <c r="M385" s="25"/>
      <c r="N385" s="25"/>
      <c r="O385" s="25"/>
      <c r="P385" s="25"/>
      <c r="Q385" s="25"/>
      <c r="R385" s="25"/>
      <c r="S385" s="25"/>
      <c r="T385" s="25"/>
      <c r="U385" s="25"/>
      <c r="V385" s="25"/>
      <c r="W385" s="25"/>
      <c r="X385" s="68">
        <f t="shared" si="15"/>
        <v>1900</v>
      </c>
      <c r="Y385" s="25">
        <f t="shared" si="16"/>
        <v>1</v>
      </c>
      <c r="Z385" s="68">
        <f t="shared" si="17"/>
        <v>0</v>
      </c>
    </row>
    <row r="386" ht="13.85" spans="1:26">
      <c r="A386" s="25"/>
      <c r="F386" s="25"/>
      <c r="G386" s="25"/>
      <c r="H386" s="25"/>
      <c r="I386" s="25"/>
      <c r="J386" s="25"/>
      <c r="K386" s="25"/>
      <c r="L386" s="25"/>
      <c r="M386" s="25"/>
      <c r="N386" s="25"/>
      <c r="O386" s="25"/>
      <c r="P386" s="25"/>
      <c r="Q386" s="25"/>
      <c r="R386" s="25"/>
      <c r="S386" s="25"/>
      <c r="T386" s="25"/>
      <c r="U386" s="25"/>
      <c r="V386" s="25"/>
      <c r="W386" s="25"/>
      <c r="X386" s="68">
        <f t="shared" ref="X386:X449" si="18">YEAR(C386)</f>
        <v>1900</v>
      </c>
      <c r="Y386" s="25">
        <f t="shared" ref="Y386:Y449" si="19">MONTH(C386)</f>
        <v>1</v>
      </c>
      <c r="Z386" s="68">
        <f t="shared" ref="Z386:Z449" si="20">DAY(C386)</f>
        <v>0</v>
      </c>
    </row>
    <row r="387" ht="13.85" spans="1:26">
      <c r="A387" s="25"/>
      <c r="F387" s="25"/>
      <c r="G387" s="25"/>
      <c r="H387" s="25"/>
      <c r="I387" s="25"/>
      <c r="J387" s="25"/>
      <c r="K387" s="25"/>
      <c r="L387" s="25"/>
      <c r="M387" s="25"/>
      <c r="N387" s="25"/>
      <c r="O387" s="25"/>
      <c r="P387" s="25"/>
      <c r="Q387" s="25"/>
      <c r="R387" s="25"/>
      <c r="S387" s="25"/>
      <c r="T387" s="25"/>
      <c r="U387" s="25"/>
      <c r="V387" s="25"/>
      <c r="W387" s="25"/>
      <c r="X387" s="68">
        <f t="shared" si="18"/>
        <v>1900</v>
      </c>
      <c r="Y387" s="25">
        <f t="shared" si="19"/>
        <v>1</v>
      </c>
      <c r="Z387" s="68">
        <f t="shared" si="20"/>
        <v>0</v>
      </c>
    </row>
    <row r="388" ht="13.85" spans="1:26">
      <c r="A388" s="25"/>
      <c r="F388" s="25"/>
      <c r="G388" s="25"/>
      <c r="H388" s="25"/>
      <c r="I388" s="25"/>
      <c r="J388" s="25"/>
      <c r="K388" s="25"/>
      <c r="L388" s="25"/>
      <c r="M388" s="25"/>
      <c r="N388" s="25"/>
      <c r="O388" s="25"/>
      <c r="P388" s="25"/>
      <c r="Q388" s="25"/>
      <c r="R388" s="25"/>
      <c r="S388" s="25"/>
      <c r="T388" s="25"/>
      <c r="U388" s="25"/>
      <c r="V388" s="25"/>
      <c r="W388" s="25"/>
      <c r="X388" s="68">
        <f t="shared" si="18"/>
        <v>1900</v>
      </c>
      <c r="Y388" s="25">
        <f t="shared" si="19"/>
        <v>1</v>
      </c>
      <c r="Z388" s="68">
        <f t="shared" si="20"/>
        <v>0</v>
      </c>
    </row>
    <row r="389" ht="13.85" spans="1:26">
      <c r="A389" s="25"/>
      <c r="F389" s="25"/>
      <c r="G389" s="25"/>
      <c r="H389" s="25"/>
      <c r="I389" s="25"/>
      <c r="J389" s="25"/>
      <c r="K389" s="25"/>
      <c r="L389" s="25"/>
      <c r="M389" s="25"/>
      <c r="N389" s="25"/>
      <c r="O389" s="25"/>
      <c r="P389" s="25"/>
      <c r="Q389" s="25"/>
      <c r="R389" s="25"/>
      <c r="S389" s="25"/>
      <c r="T389" s="25"/>
      <c r="U389" s="25"/>
      <c r="V389" s="25"/>
      <c r="W389" s="25"/>
      <c r="X389" s="68">
        <f t="shared" si="18"/>
        <v>1900</v>
      </c>
      <c r="Y389" s="25">
        <f t="shared" si="19"/>
        <v>1</v>
      </c>
      <c r="Z389" s="68">
        <f t="shared" si="20"/>
        <v>0</v>
      </c>
    </row>
    <row r="390" ht="13.85" spans="1:26">
      <c r="A390" s="25"/>
      <c r="F390" s="25"/>
      <c r="G390" s="25"/>
      <c r="H390" s="25"/>
      <c r="I390" s="25"/>
      <c r="J390" s="25"/>
      <c r="K390" s="25"/>
      <c r="L390" s="25"/>
      <c r="M390" s="25"/>
      <c r="N390" s="25"/>
      <c r="O390" s="25"/>
      <c r="P390" s="25"/>
      <c r="Q390" s="25"/>
      <c r="R390" s="25"/>
      <c r="S390" s="25"/>
      <c r="T390" s="25"/>
      <c r="U390" s="25"/>
      <c r="V390" s="25"/>
      <c r="W390" s="25"/>
      <c r="X390" s="68">
        <f t="shared" si="18"/>
        <v>1900</v>
      </c>
      <c r="Y390" s="25">
        <f t="shared" si="19"/>
        <v>1</v>
      </c>
      <c r="Z390" s="68">
        <f t="shared" si="20"/>
        <v>0</v>
      </c>
    </row>
    <row r="391" ht="13.85" spans="1:26">
      <c r="A391" s="25"/>
      <c r="F391" s="25"/>
      <c r="G391" s="25"/>
      <c r="H391" s="25"/>
      <c r="I391" s="25"/>
      <c r="J391" s="25"/>
      <c r="K391" s="25"/>
      <c r="L391" s="25"/>
      <c r="M391" s="25"/>
      <c r="N391" s="25"/>
      <c r="O391" s="25"/>
      <c r="P391" s="25"/>
      <c r="Q391" s="25"/>
      <c r="R391" s="25"/>
      <c r="S391" s="25"/>
      <c r="T391" s="25"/>
      <c r="U391" s="25"/>
      <c r="V391" s="25"/>
      <c r="W391" s="25"/>
      <c r="X391" s="68">
        <f t="shared" si="18"/>
        <v>1900</v>
      </c>
      <c r="Y391" s="25">
        <f t="shared" si="19"/>
        <v>1</v>
      </c>
      <c r="Z391" s="68">
        <f t="shared" si="20"/>
        <v>0</v>
      </c>
    </row>
    <row r="392" ht="13.85" spans="1:26">
      <c r="A392" s="25"/>
      <c r="F392" s="25"/>
      <c r="G392" s="25"/>
      <c r="H392" s="25"/>
      <c r="I392" s="25"/>
      <c r="J392" s="25"/>
      <c r="K392" s="25"/>
      <c r="L392" s="25"/>
      <c r="M392" s="25"/>
      <c r="N392" s="25"/>
      <c r="O392" s="25"/>
      <c r="P392" s="25"/>
      <c r="Q392" s="25"/>
      <c r="R392" s="25"/>
      <c r="S392" s="25"/>
      <c r="T392" s="25"/>
      <c r="U392" s="25"/>
      <c r="V392" s="25"/>
      <c r="W392" s="25"/>
      <c r="X392" s="68">
        <f t="shared" si="18"/>
        <v>1900</v>
      </c>
      <c r="Y392" s="25">
        <f t="shared" si="19"/>
        <v>1</v>
      </c>
      <c r="Z392" s="68">
        <f t="shared" si="20"/>
        <v>0</v>
      </c>
    </row>
    <row r="393" ht="13.85" spans="1:26">
      <c r="A393" s="25"/>
      <c r="F393" s="25"/>
      <c r="G393" s="25"/>
      <c r="H393" s="25"/>
      <c r="I393" s="25"/>
      <c r="J393" s="25"/>
      <c r="K393" s="25"/>
      <c r="L393" s="25"/>
      <c r="M393" s="25"/>
      <c r="N393" s="25"/>
      <c r="O393" s="25"/>
      <c r="P393" s="25"/>
      <c r="Q393" s="25"/>
      <c r="R393" s="25"/>
      <c r="S393" s="25"/>
      <c r="T393" s="25"/>
      <c r="U393" s="25"/>
      <c r="V393" s="25"/>
      <c r="W393" s="25"/>
      <c r="X393" s="68">
        <f t="shared" si="18"/>
        <v>1900</v>
      </c>
      <c r="Y393" s="25">
        <f t="shared" si="19"/>
        <v>1</v>
      </c>
      <c r="Z393" s="68">
        <f t="shared" si="20"/>
        <v>0</v>
      </c>
    </row>
    <row r="394" ht="13.85" spans="1:26">
      <c r="A394" s="25"/>
      <c r="F394" s="25"/>
      <c r="G394" s="25"/>
      <c r="H394" s="25"/>
      <c r="I394" s="25"/>
      <c r="J394" s="25"/>
      <c r="K394" s="25"/>
      <c r="L394" s="25"/>
      <c r="M394" s="25"/>
      <c r="N394" s="25"/>
      <c r="O394" s="25"/>
      <c r="P394" s="25"/>
      <c r="Q394" s="25"/>
      <c r="R394" s="25"/>
      <c r="S394" s="25"/>
      <c r="T394" s="25"/>
      <c r="U394" s="25"/>
      <c r="V394" s="25"/>
      <c r="W394" s="25"/>
      <c r="X394" s="68">
        <f t="shared" si="18"/>
        <v>1900</v>
      </c>
      <c r="Y394" s="25">
        <f t="shared" si="19"/>
        <v>1</v>
      </c>
      <c r="Z394" s="68">
        <f t="shared" si="20"/>
        <v>0</v>
      </c>
    </row>
    <row r="395" ht="13.85" spans="1:26">
      <c r="A395" s="25"/>
      <c r="F395" s="25"/>
      <c r="G395" s="25"/>
      <c r="H395" s="25"/>
      <c r="I395" s="25"/>
      <c r="J395" s="25"/>
      <c r="K395" s="25"/>
      <c r="L395" s="25"/>
      <c r="M395" s="25"/>
      <c r="N395" s="25"/>
      <c r="O395" s="25"/>
      <c r="P395" s="25"/>
      <c r="Q395" s="25"/>
      <c r="R395" s="25"/>
      <c r="S395" s="25"/>
      <c r="T395" s="25"/>
      <c r="U395" s="25"/>
      <c r="V395" s="25"/>
      <c r="W395" s="25"/>
      <c r="X395" s="68">
        <f t="shared" si="18"/>
        <v>1900</v>
      </c>
      <c r="Y395" s="25">
        <f t="shared" si="19"/>
        <v>1</v>
      </c>
      <c r="Z395" s="68">
        <f t="shared" si="20"/>
        <v>0</v>
      </c>
    </row>
    <row r="396" ht="13.85" spans="1:26">
      <c r="A396" s="25"/>
      <c r="F396" s="25"/>
      <c r="G396" s="25"/>
      <c r="H396" s="25"/>
      <c r="I396" s="25"/>
      <c r="J396" s="25"/>
      <c r="K396" s="25"/>
      <c r="L396" s="25"/>
      <c r="M396" s="25"/>
      <c r="N396" s="25"/>
      <c r="O396" s="25"/>
      <c r="P396" s="25"/>
      <c r="Q396" s="25"/>
      <c r="R396" s="25"/>
      <c r="S396" s="25"/>
      <c r="T396" s="25"/>
      <c r="U396" s="25"/>
      <c r="V396" s="25"/>
      <c r="W396" s="25"/>
      <c r="X396" s="68">
        <f t="shared" si="18"/>
        <v>1900</v>
      </c>
      <c r="Y396" s="25">
        <f t="shared" si="19"/>
        <v>1</v>
      </c>
      <c r="Z396" s="68">
        <f t="shared" si="20"/>
        <v>0</v>
      </c>
    </row>
    <row r="397" ht="13.85" spans="1:26">
      <c r="A397" s="25"/>
      <c r="F397" s="25"/>
      <c r="G397" s="25"/>
      <c r="H397" s="25"/>
      <c r="I397" s="25"/>
      <c r="J397" s="25"/>
      <c r="K397" s="25"/>
      <c r="L397" s="25"/>
      <c r="M397" s="25"/>
      <c r="N397" s="25"/>
      <c r="O397" s="25"/>
      <c r="P397" s="25"/>
      <c r="Q397" s="25"/>
      <c r="R397" s="25"/>
      <c r="S397" s="25"/>
      <c r="T397" s="25"/>
      <c r="U397" s="25"/>
      <c r="V397" s="25"/>
      <c r="W397" s="25"/>
      <c r="X397" s="68">
        <f t="shared" si="18"/>
        <v>1900</v>
      </c>
      <c r="Y397" s="25">
        <f t="shared" si="19"/>
        <v>1</v>
      </c>
      <c r="Z397" s="68">
        <f t="shared" si="20"/>
        <v>0</v>
      </c>
    </row>
    <row r="398" ht="13.85" spans="1:26">
      <c r="A398" s="25"/>
      <c r="F398" s="25"/>
      <c r="G398" s="25"/>
      <c r="H398" s="25"/>
      <c r="I398" s="25"/>
      <c r="J398" s="25"/>
      <c r="K398" s="25"/>
      <c r="L398" s="25"/>
      <c r="M398" s="25"/>
      <c r="N398" s="25"/>
      <c r="O398" s="25"/>
      <c r="P398" s="25"/>
      <c r="Q398" s="25"/>
      <c r="R398" s="25"/>
      <c r="S398" s="25"/>
      <c r="T398" s="25"/>
      <c r="U398" s="25"/>
      <c r="V398" s="25"/>
      <c r="W398" s="25"/>
      <c r="X398" s="68">
        <f t="shared" si="18"/>
        <v>1900</v>
      </c>
      <c r="Y398" s="25">
        <f t="shared" si="19"/>
        <v>1</v>
      </c>
      <c r="Z398" s="68">
        <f t="shared" si="20"/>
        <v>0</v>
      </c>
    </row>
    <row r="399" ht="13.85" spans="1:26">
      <c r="A399" s="25"/>
      <c r="F399" s="25"/>
      <c r="G399" s="25"/>
      <c r="H399" s="25"/>
      <c r="I399" s="25"/>
      <c r="J399" s="25"/>
      <c r="K399" s="25"/>
      <c r="L399" s="25"/>
      <c r="M399" s="25"/>
      <c r="N399" s="25"/>
      <c r="O399" s="25"/>
      <c r="P399" s="25"/>
      <c r="Q399" s="25"/>
      <c r="R399" s="25"/>
      <c r="S399" s="25"/>
      <c r="T399" s="25"/>
      <c r="U399" s="25"/>
      <c r="V399" s="25"/>
      <c r="W399" s="25"/>
      <c r="X399" s="68">
        <f t="shared" si="18"/>
        <v>1900</v>
      </c>
      <c r="Y399" s="25">
        <f t="shared" si="19"/>
        <v>1</v>
      </c>
      <c r="Z399" s="68">
        <f t="shared" si="20"/>
        <v>0</v>
      </c>
    </row>
    <row r="400" ht="13.85" spans="1:26">
      <c r="A400" s="25"/>
      <c r="F400" s="25"/>
      <c r="G400" s="25"/>
      <c r="H400" s="25"/>
      <c r="I400" s="25"/>
      <c r="J400" s="25"/>
      <c r="K400" s="25"/>
      <c r="L400" s="25"/>
      <c r="M400" s="25"/>
      <c r="N400" s="25"/>
      <c r="O400" s="25"/>
      <c r="P400" s="25"/>
      <c r="Q400" s="25"/>
      <c r="R400" s="25"/>
      <c r="S400" s="25"/>
      <c r="T400" s="25"/>
      <c r="U400" s="25"/>
      <c r="V400" s="25"/>
      <c r="W400" s="25"/>
      <c r="X400" s="68">
        <f t="shared" si="18"/>
        <v>1900</v>
      </c>
      <c r="Y400" s="25">
        <f t="shared" si="19"/>
        <v>1</v>
      </c>
      <c r="Z400" s="68">
        <f t="shared" si="20"/>
        <v>0</v>
      </c>
    </row>
    <row r="401" ht="13.85" spans="1:26">
      <c r="A401" s="25"/>
      <c r="F401" s="25"/>
      <c r="G401" s="25"/>
      <c r="H401" s="25"/>
      <c r="I401" s="25"/>
      <c r="J401" s="25"/>
      <c r="K401" s="25"/>
      <c r="L401" s="25"/>
      <c r="M401" s="25"/>
      <c r="N401" s="25"/>
      <c r="O401" s="25"/>
      <c r="P401" s="25"/>
      <c r="Q401" s="25"/>
      <c r="R401" s="25"/>
      <c r="S401" s="25"/>
      <c r="T401" s="25"/>
      <c r="U401" s="25"/>
      <c r="V401" s="25"/>
      <c r="W401" s="25"/>
      <c r="X401" s="68">
        <f t="shared" si="18"/>
        <v>1900</v>
      </c>
      <c r="Y401" s="25">
        <f t="shared" si="19"/>
        <v>1</v>
      </c>
      <c r="Z401" s="68">
        <f t="shared" si="20"/>
        <v>0</v>
      </c>
    </row>
    <row r="402" ht="13.85" spans="1:26">
      <c r="A402" s="25"/>
      <c r="F402" s="25"/>
      <c r="G402" s="25"/>
      <c r="H402" s="25"/>
      <c r="I402" s="25"/>
      <c r="J402" s="25"/>
      <c r="K402" s="25"/>
      <c r="L402" s="25"/>
      <c r="M402" s="25"/>
      <c r="N402" s="25"/>
      <c r="O402" s="25"/>
      <c r="P402" s="25"/>
      <c r="Q402" s="25"/>
      <c r="R402" s="25"/>
      <c r="S402" s="25"/>
      <c r="T402" s="25"/>
      <c r="U402" s="25"/>
      <c r="V402" s="25"/>
      <c r="W402" s="25"/>
      <c r="X402" s="68">
        <f t="shared" si="18"/>
        <v>1900</v>
      </c>
      <c r="Y402" s="25">
        <f t="shared" si="19"/>
        <v>1</v>
      </c>
      <c r="Z402" s="68">
        <f t="shared" si="20"/>
        <v>0</v>
      </c>
    </row>
    <row r="403" ht="13.85" spans="1:26">
      <c r="A403" s="25"/>
      <c r="F403" s="25"/>
      <c r="G403" s="25"/>
      <c r="H403" s="25"/>
      <c r="I403" s="25"/>
      <c r="J403" s="25"/>
      <c r="K403" s="25"/>
      <c r="L403" s="25"/>
      <c r="M403" s="25"/>
      <c r="N403" s="25"/>
      <c r="O403" s="25"/>
      <c r="P403" s="25"/>
      <c r="Q403" s="25"/>
      <c r="R403" s="25"/>
      <c r="S403" s="25"/>
      <c r="T403" s="25"/>
      <c r="U403" s="25"/>
      <c r="V403" s="25"/>
      <c r="W403" s="25"/>
      <c r="X403" s="68">
        <f t="shared" si="18"/>
        <v>1900</v>
      </c>
      <c r="Y403" s="25">
        <f t="shared" si="19"/>
        <v>1</v>
      </c>
      <c r="Z403" s="68">
        <f t="shared" si="20"/>
        <v>0</v>
      </c>
    </row>
    <row r="404" ht="13.85" spans="1:26">
      <c r="A404" s="25"/>
      <c r="F404" s="25"/>
      <c r="G404" s="25"/>
      <c r="H404" s="25"/>
      <c r="I404" s="25"/>
      <c r="J404" s="25"/>
      <c r="K404" s="25"/>
      <c r="L404" s="25"/>
      <c r="M404" s="25"/>
      <c r="N404" s="25"/>
      <c r="O404" s="25"/>
      <c r="P404" s="25"/>
      <c r="Q404" s="25"/>
      <c r="R404" s="25"/>
      <c r="S404" s="25"/>
      <c r="T404" s="25"/>
      <c r="U404" s="25"/>
      <c r="V404" s="25"/>
      <c r="W404" s="25"/>
      <c r="X404" s="68">
        <f t="shared" si="18"/>
        <v>1900</v>
      </c>
      <c r="Y404" s="25">
        <f t="shared" si="19"/>
        <v>1</v>
      </c>
      <c r="Z404" s="68">
        <f t="shared" si="20"/>
        <v>0</v>
      </c>
    </row>
    <row r="405" ht="13.85" spans="1:26">
      <c r="A405" s="25"/>
      <c r="F405" s="25"/>
      <c r="G405" s="25"/>
      <c r="H405" s="25"/>
      <c r="I405" s="25"/>
      <c r="J405" s="25"/>
      <c r="K405" s="25"/>
      <c r="L405" s="25"/>
      <c r="M405" s="25"/>
      <c r="N405" s="25"/>
      <c r="O405" s="25"/>
      <c r="P405" s="25"/>
      <c r="Q405" s="25"/>
      <c r="R405" s="25"/>
      <c r="S405" s="25"/>
      <c r="T405" s="25"/>
      <c r="U405" s="25"/>
      <c r="V405" s="25"/>
      <c r="W405" s="25"/>
      <c r="X405" s="68">
        <f t="shared" si="18"/>
        <v>1900</v>
      </c>
      <c r="Y405" s="25">
        <f t="shared" si="19"/>
        <v>1</v>
      </c>
      <c r="Z405" s="68">
        <f t="shared" si="20"/>
        <v>0</v>
      </c>
    </row>
    <row r="406" ht="13.85" spans="1:26">
      <c r="A406" s="25"/>
      <c r="F406" s="25"/>
      <c r="G406" s="25"/>
      <c r="H406" s="25"/>
      <c r="I406" s="25"/>
      <c r="J406" s="25"/>
      <c r="K406" s="25"/>
      <c r="L406" s="25"/>
      <c r="M406" s="25"/>
      <c r="N406" s="25"/>
      <c r="O406" s="25"/>
      <c r="P406" s="25"/>
      <c r="Q406" s="25"/>
      <c r="R406" s="25"/>
      <c r="S406" s="25"/>
      <c r="T406" s="25"/>
      <c r="U406" s="25"/>
      <c r="V406" s="25"/>
      <c r="W406" s="25"/>
      <c r="X406" s="68">
        <f t="shared" si="18"/>
        <v>1900</v>
      </c>
      <c r="Y406" s="25">
        <f t="shared" si="19"/>
        <v>1</v>
      </c>
      <c r="Z406" s="68">
        <f t="shared" si="20"/>
        <v>0</v>
      </c>
    </row>
    <row r="407" ht="13.85" spans="1:26">
      <c r="A407" s="25"/>
      <c r="F407" s="25"/>
      <c r="G407" s="25"/>
      <c r="H407" s="25"/>
      <c r="I407" s="25"/>
      <c r="J407" s="25"/>
      <c r="K407" s="25"/>
      <c r="L407" s="25"/>
      <c r="M407" s="25"/>
      <c r="N407" s="25"/>
      <c r="O407" s="25"/>
      <c r="P407" s="25"/>
      <c r="Q407" s="25"/>
      <c r="R407" s="25"/>
      <c r="S407" s="25"/>
      <c r="T407" s="25"/>
      <c r="U407" s="25"/>
      <c r="V407" s="25"/>
      <c r="W407" s="25"/>
      <c r="X407" s="68">
        <f t="shared" si="18"/>
        <v>1900</v>
      </c>
      <c r="Y407" s="25">
        <f t="shared" si="19"/>
        <v>1</v>
      </c>
      <c r="Z407" s="68">
        <f t="shared" si="20"/>
        <v>0</v>
      </c>
    </row>
    <row r="408" ht="13.85" spans="1:26">
      <c r="A408" s="25"/>
      <c r="F408" s="25"/>
      <c r="G408" s="25"/>
      <c r="H408" s="25"/>
      <c r="I408" s="25"/>
      <c r="J408" s="25"/>
      <c r="K408" s="25"/>
      <c r="L408" s="25"/>
      <c r="M408" s="25"/>
      <c r="N408" s="25"/>
      <c r="O408" s="25"/>
      <c r="P408" s="25"/>
      <c r="Q408" s="25"/>
      <c r="R408" s="25"/>
      <c r="S408" s="25"/>
      <c r="T408" s="25"/>
      <c r="U408" s="25"/>
      <c r="V408" s="25"/>
      <c r="W408" s="25"/>
      <c r="X408" s="68">
        <f t="shared" si="18"/>
        <v>1900</v>
      </c>
      <c r="Y408" s="25">
        <f t="shared" si="19"/>
        <v>1</v>
      </c>
      <c r="Z408" s="68">
        <f t="shared" si="20"/>
        <v>0</v>
      </c>
    </row>
    <row r="409" ht="13.85" spans="1:26">
      <c r="A409" s="25"/>
      <c r="F409" s="25"/>
      <c r="G409" s="25"/>
      <c r="H409" s="25"/>
      <c r="I409" s="25"/>
      <c r="J409" s="25"/>
      <c r="K409" s="25"/>
      <c r="L409" s="25"/>
      <c r="M409" s="25"/>
      <c r="N409" s="25"/>
      <c r="O409" s="25"/>
      <c r="P409" s="25"/>
      <c r="Q409" s="25"/>
      <c r="R409" s="25"/>
      <c r="S409" s="25"/>
      <c r="T409" s="25"/>
      <c r="U409" s="25"/>
      <c r="V409" s="25"/>
      <c r="W409" s="25"/>
      <c r="X409" s="68">
        <f t="shared" si="18"/>
        <v>1900</v>
      </c>
      <c r="Y409" s="25">
        <f t="shared" si="19"/>
        <v>1</v>
      </c>
      <c r="Z409" s="68">
        <f t="shared" si="20"/>
        <v>0</v>
      </c>
    </row>
    <row r="410" ht="13.85" spans="1:26">
      <c r="A410" s="25"/>
      <c r="F410" s="25"/>
      <c r="G410" s="25"/>
      <c r="H410" s="25"/>
      <c r="I410" s="25"/>
      <c r="J410" s="25"/>
      <c r="K410" s="25"/>
      <c r="L410" s="25"/>
      <c r="M410" s="25"/>
      <c r="N410" s="25"/>
      <c r="O410" s="25"/>
      <c r="P410" s="25"/>
      <c r="Q410" s="25"/>
      <c r="R410" s="25"/>
      <c r="S410" s="25"/>
      <c r="T410" s="25"/>
      <c r="U410" s="25"/>
      <c r="V410" s="25"/>
      <c r="W410" s="25"/>
      <c r="X410" s="68">
        <f t="shared" si="18"/>
        <v>1900</v>
      </c>
      <c r="Y410" s="25">
        <f t="shared" si="19"/>
        <v>1</v>
      </c>
      <c r="Z410" s="68">
        <f t="shared" si="20"/>
        <v>0</v>
      </c>
    </row>
    <row r="411" ht="13.85" spans="1:26">
      <c r="A411" s="25"/>
      <c r="F411" s="25"/>
      <c r="G411" s="25"/>
      <c r="H411" s="25"/>
      <c r="I411" s="25"/>
      <c r="J411" s="25"/>
      <c r="K411" s="25"/>
      <c r="L411" s="25"/>
      <c r="M411" s="25"/>
      <c r="N411" s="25"/>
      <c r="O411" s="25"/>
      <c r="P411" s="25"/>
      <c r="Q411" s="25"/>
      <c r="R411" s="25"/>
      <c r="S411" s="25"/>
      <c r="T411" s="25"/>
      <c r="U411" s="25"/>
      <c r="V411" s="25"/>
      <c r="W411" s="25"/>
      <c r="X411" s="68">
        <f t="shared" si="18"/>
        <v>1900</v>
      </c>
      <c r="Y411" s="25">
        <f t="shared" si="19"/>
        <v>1</v>
      </c>
      <c r="Z411" s="68">
        <f t="shared" si="20"/>
        <v>0</v>
      </c>
    </row>
    <row r="412" ht="13.85" spans="1:26">
      <c r="A412" s="25"/>
      <c r="F412" s="25"/>
      <c r="G412" s="25"/>
      <c r="H412" s="25"/>
      <c r="I412" s="25"/>
      <c r="J412" s="25"/>
      <c r="K412" s="25"/>
      <c r="L412" s="25"/>
      <c r="M412" s="25"/>
      <c r="N412" s="25"/>
      <c r="O412" s="25"/>
      <c r="P412" s="25"/>
      <c r="Q412" s="25"/>
      <c r="R412" s="25"/>
      <c r="S412" s="25"/>
      <c r="T412" s="25"/>
      <c r="U412" s="25"/>
      <c r="V412" s="25"/>
      <c r="W412" s="25"/>
      <c r="X412" s="68">
        <f t="shared" si="18"/>
        <v>1900</v>
      </c>
      <c r="Y412" s="25">
        <f t="shared" si="19"/>
        <v>1</v>
      </c>
      <c r="Z412" s="68">
        <f t="shared" si="20"/>
        <v>0</v>
      </c>
    </row>
    <row r="413" ht="13.85" spans="1:26">
      <c r="A413" s="25"/>
      <c r="F413" s="25"/>
      <c r="G413" s="25"/>
      <c r="H413" s="25"/>
      <c r="I413" s="25"/>
      <c r="J413" s="25"/>
      <c r="K413" s="25"/>
      <c r="L413" s="25"/>
      <c r="M413" s="25"/>
      <c r="N413" s="25"/>
      <c r="O413" s="25"/>
      <c r="P413" s="25"/>
      <c r="Q413" s="25"/>
      <c r="R413" s="25"/>
      <c r="S413" s="25"/>
      <c r="T413" s="25"/>
      <c r="U413" s="25"/>
      <c r="V413" s="25"/>
      <c r="W413" s="25"/>
      <c r="X413" s="68">
        <f t="shared" si="18"/>
        <v>1900</v>
      </c>
      <c r="Y413" s="25">
        <f t="shared" si="19"/>
        <v>1</v>
      </c>
      <c r="Z413" s="68">
        <f t="shared" si="20"/>
        <v>0</v>
      </c>
    </row>
    <row r="414" ht="13.85" spans="1:26">
      <c r="A414" s="25"/>
      <c r="F414" s="25"/>
      <c r="G414" s="25"/>
      <c r="H414" s="25"/>
      <c r="I414" s="25"/>
      <c r="J414" s="25"/>
      <c r="K414" s="25"/>
      <c r="L414" s="25"/>
      <c r="M414" s="25"/>
      <c r="N414" s="25"/>
      <c r="O414" s="25"/>
      <c r="P414" s="25"/>
      <c r="Q414" s="25"/>
      <c r="R414" s="25"/>
      <c r="S414" s="25"/>
      <c r="T414" s="25"/>
      <c r="U414" s="25"/>
      <c r="V414" s="25"/>
      <c r="W414" s="25"/>
      <c r="X414" s="68">
        <f t="shared" si="18"/>
        <v>1900</v>
      </c>
      <c r="Y414" s="25">
        <f t="shared" si="19"/>
        <v>1</v>
      </c>
      <c r="Z414" s="68">
        <f t="shared" si="20"/>
        <v>0</v>
      </c>
    </row>
    <row r="415" ht="13.85" spans="1:26">
      <c r="A415" s="25"/>
      <c r="F415" s="25"/>
      <c r="G415" s="25"/>
      <c r="H415" s="25"/>
      <c r="I415" s="25"/>
      <c r="J415" s="25"/>
      <c r="K415" s="25"/>
      <c r="L415" s="25"/>
      <c r="M415" s="25"/>
      <c r="N415" s="25"/>
      <c r="O415" s="25"/>
      <c r="P415" s="25"/>
      <c r="Q415" s="25"/>
      <c r="R415" s="25"/>
      <c r="S415" s="25"/>
      <c r="T415" s="25"/>
      <c r="U415" s="25"/>
      <c r="V415" s="25"/>
      <c r="W415" s="25"/>
      <c r="X415" s="68">
        <f t="shared" si="18"/>
        <v>1900</v>
      </c>
      <c r="Y415" s="25">
        <f t="shared" si="19"/>
        <v>1</v>
      </c>
      <c r="Z415" s="68">
        <f t="shared" si="20"/>
        <v>0</v>
      </c>
    </row>
    <row r="416" ht="13.85" spans="1:26">
      <c r="A416" s="25"/>
      <c r="F416" s="25"/>
      <c r="G416" s="25"/>
      <c r="H416" s="25"/>
      <c r="I416" s="25"/>
      <c r="J416" s="25"/>
      <c r="K416" s="25"/>
      <c r="L416" s="25"/>
      <c r="M416" s="25"/>
      <c r="N416" s="25"/>
      <c r="O416" s="25"/>
      <c r="P416" s="25"/>
      <c r="Q416" s="25"/>
      <c r="R416" s="25"/>
      <c r="S416" s="25"/>
      <c r="T416" s="25"/>
      <c r="U416" s="25"/>
      <c r="V416" s="25"/>
      <c r="W416" s="25"/>
      <c r="X416" s="68">
        <f t="shared" si="18"/>
        <v>1900</v>
      </c>
      <c r="Y416" s="25">
        <f t="shared" si="19"/>
        <v>1</v>
      </c>
      <c r="Z416" s="68">
        <f t="shared" si="20"/>
        <v>0</v>
      </c>
    </row>
    <row r="417" ht="13.85" spans="1:26">
      <c r="A417" s="25"/>
      <c r="F417" s="25"/>
      <c r="G417" s="25"/>
      <c r="H417" s="25"/>
      <c r="I417" s="25"/>
      <c r="J417" s="25"/>
      <c r="K417" s="25"/>
      <c r="L417" s="25"/>
      <c r="M417" s="25"/>
      <c r="N417" s="25"/>
      <c r="O417" s="25"/>
      <c r="P417" s="25"/>
      <c r="Q417" s="25"/>
      <c r="R417" s="25"/>
      <c r="S417" s="25"/>
      <c r="T417" s="25"/>
      <c r="U417" s="25"/>
      <c r="V417" s="25"/>
      <c r="W417" s="25"/>
      <c r="X417" s="68">
        <f t="shared" si="18"/>
        <v>1900</v>
      </c>
      <c r="Y417" s="25">
        <f t="shared" si="19"/>
        <v>1</v>
      </c>
      <c r="Z417" s="68">
        <f t="shared" si="20"/>
        <v>0</v>
      </c>
    </row>
    <row r="418" ht="13.85" spans="1:26">
      <c r="A418" s="25"/>
      <c r="F418" s="25"/>
      <c r="G418" s="25"/>
      <c r="H418" s="25"/>
      <c r="I418" s="25"/>
      <c r="J418" s="25"/>
      <c r="K418" s="25"/>
      <c r="L418" s="25"/>
      <c r="M418" s="25"/>
      <c r="N418" s="25"/>
      <c r="O418" s="25"/>
      <c r="P418" s="25"/>
      <c r="Q418" s="25"/>
      <c r="R418" s="25"/>
      <c r="S418" s="25"/>
      <c r="T418" s="25"/>
      <c r="U418" s="25"/>
      <c r="V418" s="25"/>
      <c r="W418" s="25"/>
      <c r="X418" s="68">
        <f t="shared" si="18"/>
        <v>1900</v>
      </c>
      <c r="Y418" s="25">
        <f t="shared" si="19"/>
        <v>1</v>
      </c>
      <c r="Z418" s="68">
        <f t="shared" si="20"/>
        <v>0</v>
      </c>
    </row>
    <row r="419" ht="13.85" spans="1:26">
      <c r="A419" s="25"/>
      <c r="F419" s="25"/>
      <c r="G419" s="25"/>
      <c r="H419" s="25"/>
      <c r="I419" s="25"/>
      <c r="J419" s="25"/>
      <c r="K419" s="25"/>
      <c r="L419" s="25"/>
      <c r="M419" s="25"/>
      <c r="N419" s="25"/>
      <c r="O419" s="25"/>
      <c r="P419" s="25"/>
      <c r="Q419" s="25"/>
      <c r="R419" s="25"/>
      <c r="S419" s="25"/>
      <c r="T419" s="25"/>
      <c r="U419" s="25"/>
      <c r="V419" s="25"/>
      <c r="W419" s="25"/>
      <c r="X419" s="68">
        <f t="shared" si="18"/>
        <v>1900</v>
      </c>
      <c r="Y419" s="25">
        <f t="shared" si="19"/>
        <v>1</v>
      </c>
      <c r="Z419" s="68">
        <f t="shared" si="20"/>
        <v>0</v>
      </c>
    </row>
    <row r="420" ht="13.85" spans="1:26">
      <c r="A420" s="25"/>
      <c r="F420" s="25"/>
      <c r="G420" s="25"/>
      <c r="H420" s="25"/>
      <c r="I420" s="25"/>
      <c r="J420" s="25"/>
      <c r="K420" s="25"/>
      <c r="L420" s="25"/>
      <c r="M420" s="25"/>
      <c r="N420" s="25"/>
      <c r="O420" s="25"/>
      <c r="P420" s="25"/>
      <c r="Q420" s="25"/>
      <c r="R420" s="25"/>
      <c r="S420" s="25"/>
      <c r="T420" s="25"/>
      <c r="U420" s="25"/>
      <c r="V420" s="25"/>
      <c r="W420" s="25"/>
      <c r="X420" s="68">
        <f t="shared" si="18"/>
        <v>1900</v>
      </c>
      <c r="Y420" s="25">
        <f t="shared" si="19"/>
        <v>1</v>
      </c>
      <c r="Z420" s="68">
        <f t="shared" si="20"/>
        <v>0</v>
      </c>
    </row>
    <row r="421" ht="13.85" spans="1:26">
      <c r="A421" s="25"/>
      <c r="F421" s="25"/>
      <c r="G421" s="25"/>
      <c r="H421" s="25"/>
      <c r="I421" s="25"/>
      <c r="J421" s="25"/>
      <c r="K421" s="25"/>
      <c r="L421" s="25"/>
      <c r="M421" s="25"/>
      <c r="N421" s="25"/>
      <c r="O421" s="25"/>
      <c r="P421" s="25"/>
      <c r="Q421" s="25"/>
      <c r="R421" s="25"/>
      <c r="S421" s="25"/>
      <c r="T421" s="25"/>
      <c r="U421" s="25"/>
      <c r="V421" s="25"/>
      <c r="W421" s="25"/>
      <c r="X421" s="68">
        <f t="shared" si="18"/>
        <v>1900</v>
      </c>
      <c r="Y421" s="25">
        <f t="shared" si="19"/>
        <v>1</v>
      </c>
      <c r="Z421" s="68">
        <f t="shared" si="20"/>
        <v>0</v>
      </c>
    </row>
    <row r="422" ht="13.85" spans="1:26">
      <c r="A422" s="25"/>
      <c r="F422" s="25"/>
      <c r="G422" s="25"/>
      <c r="H422" s="25"/>
      <c r="I422" s="25"/>
      <c r="J422" s="25"/>
      <c r="K422" s="25"/>
      <c r="L422" s="25"/>
      <c r="M422" s="25"/>
      <c r="N422" s="25"/>
      <c r="O422" s="25"/>
      <c r="P422" s="25"/>
      <c r="Q422" s="25"/>
      <c r="R422" s="25"/>
      <c r="S422" s="25"/>
      <c r="T422" s="25"/>
      <c r="U422" s="25"/>
      <c r="V422" s="25"/>
      <c r="W422" s="25"/>
      <c r="X422" s="68">
        <f t="shared" si="18"/>
        <v>1900</v>
      </c>
      <c r="Y422" s="25">
        <f t="shared" si="19"/>
        <v>1</v>
      </c>
      <c r="Z422" s="68">
        <f t="shared" si="20"/>
        <v>0</v>
      </c>
    </row>
    <row r="423" ht="13.85" spans="1:26">
      <c r="A423" s="25"/>
      <c r="F423" s="25"/>
      <c r="G423" s="25"/>
      <c r="H423" s="25"/>
      <c r="I423" s="25"/>
      <c r="J423" s="25"/>
      <c r="K423" s="25"/>
      <c r="L423" s="25"/>
      <c r="M423" s="25"/>
      <c r="N423" s="25"/>
      <c r="O423" s="25"/>
      <c r="P423" s="25"/>
      <c r="Q423" s="25"/>
      <c r="R423" s="25"/>
      <c r="S423" s="25"/>
      <c r="T423" s="25"/>
      <c r="U423" s="25"/>
      <c r="V423" s="25"/>
      <c r="W423" s="25"/>
      <c r="X423" s="68">
        <f t="shared" si="18"/>
        <v>1900</v>
      </c>
      <c r="Y423" s="25">
        <f t="shared" si="19"/>
        <v>1</v>
      </c>
      <c r="Z423" s="68">
        <f t="shared" si="20"/>
        <v>0</v>
      </c>
    </row>
    <row r="424" ht="13.85" spans="1:26">
      <c r="A424" s="25"/>
      <c r="F424" s="25"/>
      <c r="G424" s="25"/>
      <c r="H424" s="25"/>
      <c r="I424" s="25"/>
      <c r="J424" s="25"/>
      <c r="K424" s="25"/>
      <c r="L424" s="25"/>
      <c r="M424" s="25"/>
      <c r="N424" s="25"/>
      <c r="O424" s="25"/>
      <c r="P424" s="25"/>
      <c r="Q424" s="25"/>
      <c r="R424" s="25"/>
      <c r="S424" s="25"/>
      <c r="T424" s="25"/>
      <c r="U424" s="25"/>
      <c r="V424" s="25"/>
      <c r="W424" s="25"/>
      <c r="X424" s="68">
        <f t="shared" si="18"/>
        <v>1900</v>
      </c>
      <c r="Y424" s="25">
        <f t="shared" si="19"/>
        <v>1</v>
      </c>
      <c r="Z424" s="68">
        <f t="shared" si="20"/>
        <v>0</v>
      </c>
    </row>
    <row r="425" ht="13.85" spans="1:26">
      <c r="A425" s="25"/>
      <c r="F425" s="25"/>
      <c r="G425" s="25"/>
      <c r="H425" s="25"/>
      <c r="I425" s="25"/>
      <c r="J425" s="25"/>
      <c r="K425" s="25"/>
      <c r="L425" s="25"/>
      <c r="M425" s="25"/>
      <c r="N425" s="25"/>
      <c r="O425" s="25"/>
      <c r="P425" s="25"/>
      <c r="Q425" s="25"/>
      <c r="R425" s="25"/>
      <c r="S425" s="25"/>
      <c r="T425" s="25"/>
      <c r="U425" s="25"/>
      <c r="V425" s="25"/>
      <c r="W425" s="25"/>
      <c r="X425" s="68">
        <f t="shared" si="18"/>
        <v>1900</v>
      </c>
      <c r="Y425" s="25">
        <f t="shared" si="19"/>
        <v>1</v>
      </c>
      <c r="Z425" s="68">
        <f t="shared" si="20"/>
        <v>0</v>
      </c>
    </row>
    <row r="426" ht="13.85" spans="1:26">
      <c r="A426" s="25"/>
      <c r="F426" s="25"/>
      <c r="G426" s="25"/>
      <c r="H426" s="25"/>
      <c r="I426" s="25"/>
      <c r="J426" s="25"/>
      <c r="K426" s="25"/>
      <c r="L426" s="25"/>
      <c r="M426" s="25"/>
      <c r="N426" s="25"/>
      <c r="O426" s="25"/>
      <c r="P426" s="25"/>
      <c r="Q426" s="25"/>
      <c r="R426" s="25"/>
      <c r="S426" s="25"/>
      <c r="T426" s="25"/>
      <c r="U426" s="25"/>
      <c r="V426" s="25"/>
      <c r="W426" s="25"/>
      <c r="X426" s="68">
        <f t="shared" si="18"/>
        <v>1900</v>
      </c>
      <c r="Y426" s="25">
        <f t="shared" si="19"/>
        <v>1</v>
      </c>
      <c r="Z426" s="68">
        <f t="shared" si="20"/>
        <v>0</v>
      </c>
    </row>
    <row r="427" ht="13.85" spans="1:26">
      <c r="A427" s="25"/>
      <c r="F427" s="25"/>
      <c r="G427" s="25"/>
      <c r="H427" s="25"/>
      <c r="I427" s="25"/>
      <c r="J427" s="25"/>
      <c r="K427" s="25"/>
      <c r="L427" s="25"/>
      <c r="M427" s="25"/>
      <c r="N427" s="25"/>
      <c r="O427" s="25"/>
      <c r="P427" s="25"/>
      <c r="Q427" s="25"/>
      <c r="R427" s="25"/>
      <c r="S427" s="25"/>
      <c r="T427" s="25"/>
      <c r="U427" s="25"/>
      <c r="V427" s="25"/>
      <c r="W427" s="25"/>
      <c r="X427" s="68">
        <f t="shared" si="18"/>
        <v>1900</v>
      </c>
      <c r="Y427" s="25">
        <f t="shared" si="19"/>
        <v>1</v>
      </c>
      <c r="Z427" s="68">
        <f t="shared" si="20"/>
        <v>0</v>
      </c>
    </row>
    <row r="428" ht="13.85" spans="1:26">
      <c r="A428" s="25"/>
      <c r="F428" s="25"/>
      <c r="G428" s="25"/>
      <c r="H428" s="25"/>
      <c r="I428" s="25"/>
      <c r="J428" s="25"/>
      <c r="K428" s="25"/>
      <c r="L428" s="25"/>
      <c r="M428" s="25"/>
      <c r="N428" s="25"/>
      <c r="O428" s="25"/>
      <c r="P428" s="25"/>
      <c r="Q428" s="25"/>
      <c r="R428" s="25"/>
      <c r="S428" s="25"/>
      <c r="T428" s="25"/>
      <c r="U428" s="25"/>
      <c r="V428" s="25"/>
      <c r="W428" s="25"/>
      <c r="X428" s="68">
        <f t="shared" si="18"/>
        <v>1900</v>
      </c>
      <c r="Y428" s="25">
        <f t="shared" si="19"/>
        <v>1</v>
      </c>
      <c r="Z428" s="68">
        <f t="shared" si="20"/>
        <v>0</v>
      </c>
    </row>
    <row r="429" ht="13.85" spans="1:26">
      <c r="A429" s="25"/>
      <c r="F429" s="25"/>
      <c r="G429" s="25"/>
      <c r="H429" s="25"/>
      <c r="I429" s="25"/>
      <c r="J429" s="25"/>
      <c r="K429" s="25"/>
      <c r="L429" s="25"/>
      <c r="M429" s="25"/>
      <c r="N429" s="25"/>
      <c r="O429" s="25"/>
      <c r="P429" s="25"/>
      <c r="Q429" s="25"/>
      <c r="R429" s="25"/>
      <c r="S429" s="25"/>
      <c r="T429" s="25"/>
      <c r="U429" s="25"/>
      <c r="V429" s="25"/>
      <c r="W429" s="25"/>
      <c r="X429" s="68">
        <f t="shared" si="18"/>
        <v>1900</v>
      </c>
      <c r="Y429" s="25">
        <f t="shared" si="19"/>
        <v>1</v>
      </c>
      <c r="Z429" s="68">
        <f t="shared" si="20"/>
        <v>0</v>
      </c>
    </row>
    <row r="430" ht="13.85" spans="1:26">
      <c r="A430" s="25"/>
      <c r="F430" s="25"/>
      <c r="G430" s="25"/>
      <c r="H430" s="25"/>
      <c r="I430" s="25"/>
      <c r="J430" s="25"/>
      <c r="K430" s="25"/>
      <c r="L430" s="25"/>
      <c r="M430" s="25"/>
      <c r="N430" s="25"/>
      <c r="O430" s="25"/>
      <c r="P430" s="25"/>
      <c r="Q430" s="25"/>
      <c r="R430" s="25"/>
      <c r="S430" s="25"/>
      <c r="T430" s="25"/>
      <c r="U430" s="25"/>
      <c r="V430" s="25"/>
      <c r="W430" s="25"/>
      <c r="X430" s="68">
        <f t="shared" si="18"/>
        <v>1900</v>
      </c>
      <c r="Y430" s="25">
        <f t="shared" si="19"/>
        <v>1</v>
      </c>
      <c r="Z430" s="68">
        <f t="shared" si="20"/>
        <v>0</v>
      </c>
    </row>
    <row r="431" ht="13.85" spans="1:26">
      <c r="A431" s="25"/>
      <c r="F431" s="25"/>
      <c r="G431" s="25"/>
      <c r="H431" s="25"/>
      <c r="I431" s="25"/>
      <c r="J431" s="25"/>
      <c r="K431" s="25"/>
      <c r="L431" s="25"/>
      <c r="M431" s="25"/>
      <c r="N431" s="25"/>
      <c r="O431" s="25"/>
      <c r="P431" s="25"/>
      <c r="Q431" s="25"/>
      <c r="R431" s="25"/>
      <c r="S431" s="25"/>
      <c r="T431" s="25"/>
      <c r="U431" s="25"/>
      <c r="V431" s="25"/>
      <c r="W431" s="25"/>
      <c r="X431" s="68">
        <f t="shared" si="18"/>
        <v>1900</v>
      </c>
      <c r="Y431" s="25">
        <f t="shared" si="19"/>
        <v>1</v>
      </c>
      <c r="Z431" s="68">
        <f t="shared" si="20"/>
        <v>0</v>
      </c>
    </row>
    <row r="432" ht="13.85" spans="1:26">
      <c r="A432" s="25"/>
      <c r="F432" s="25"/>
      <c r="G432" s="25"/>
      <c r="H432" s="25"/>
      <c r="I432" s="25"/>
      <c r="J432" s="25"/>
      <c r="K432" s="25"/>
      <c r="L432" s="25"/>
      <c r="M432" s="25"/>
      <c r="N432" s="25"/>
      <c r="O432" s="25"/>
      <c r="P432" s="25"/>
      <c r="Q432" s="25"/>
      <c r="R432" s="25"/>
      <c r="S432" s="25"/>
      <c r="T432" s="25"/>
      <c r="U432" s="25"/>
      <c r="V432" s="25"/>
      <c r="W432" s="25"/>
      <c r="X432" s="68">
        <f t="shared" si="18"/>
        <v>1900</v>
      </c>
      <c r="Y432" s="25">
        <f t="shared" si="19"/>
        <v>1</v>
      </c>
      <c r="Z432" s="68">
        <f t="shared" si="20"/>
        <v>0</v>
      </c>
    </row>
    <row r="433" ht="13.85" spans="1:26">
      <c r="A433" s="25"/>
      <c r="F433" s="25"/>
      <c r="G433" s="25"/>
      <c r="H433" s="25"/>
      <c r="I433" s="25"/>
      <c r="J433" s="25"/>
      <c r="K433" s="25"/>
      <c r="L433" s="25"/>
      <c r="M433" s="25"/>
      <c r="N433" s="25"/>
      <c r="O433" s="25"/>
      <c r="P433" s="25"/>
      <c r="Q433" s="25"/>
      <c r="R433" s="25"/>
      <c r="S433" s="25"/>
      <c r="T433" s="25"/>
      <c r="U433" s="25"/>
      <c r="V433" s="25"/>
      <c r="W433" s="25"/>
      <c r="X433" s="68">
        <f t="shared" si="18"/>
        <v>1900</v>
      </c>
      <c r="Y433" s="25">
        <f t="shared" si="19"/>
        <v>1</v>
      </c>
      <c r="Z433" s="68">
        <f t="shared" si="20"/>
        <v>0</v>
      </c>
    </row>
    <row r="434" ht="13.85" spans="1:26">
      <c r="A434" s="25"/>
      <c r="F434" s="25"/>
      <c r="G434" s="25"/>
      <c r="H434" s="25"/>
      <c r="I434" s="25"/>
      <c r="J434" s="25"/>
      <c r="K434" s="25"/>
      <c r="L434" s="25"/>
      <c r="M434" s="25"/>
      <c r="N434" s="25"/>
      <c r="O434" s="25"/>
      <c r="P434" s="25"/>
      <c r="Q434" s="25"/>
      <c r="R434" s="25"/>
      <c r="S434" s="25"/>
      <c r="T434" s="25"/>
      <c r="U434" s="25"/>
      <c r="V434" s="25"/>
      <c r="W434" s="25"/>
      <c r="X434" s="68">
        <f t="shared" si="18"/>
        <v>1900</v>
      </c>
      <c r="Y434" s="25">
        <f t="shared" si="19"/>
        <v>1</v>
      </c>
      <c r="Z434" s="68">
        <f t="shared" si="20"/>
        <v>0</v>
      </c>
    </row>
    <row r="435" ht="13.85" spans="1:26">
      <c r="A435" s="25"/>
      <c r="F435" s="25"/>
      <c r="G435" s="25"/>
      <c r="H435" s="25"/>
      <c r="I435" s="25"/>
      <c r="J435" s="25"/>
      <c r="K435" s="25"/>
      <c r="L435" s="25"/>
      <c r="M435" s="25"/>
      <c r="N435" s="25"/>
      <c r="O435" s="25"/>
      <c r="P435" s="25"/>
      <c r="Q435" s="25"/>
      <c r="R435" s="25"/>
      <c r="S435" s="25"/>
      <c r="T435" s="25"/>
      <c r="U435" s="25"/>
      <c r="V435" s="25"/>
      <c r="W435" s="25"/>
      <c r="X435" s="68">
        <f t="shared" si="18"/>
        <v>1900</v>
      </c>
      <c r="Y435" s="25">
        <f t="shared" si="19"/>
        <v>1</v>
      </c>
      <c r="Z435" s="68">
        <f t="shared" si="20"/>
        <v>0</v>
      </c>
    </row>
    <row r="436" ht="13.85" spans="1:26">
      <c r="A436" s="25"/>
      <c r="F436" s="25"/>
      <c r="G436" s="25"/>
      <c r="H436" s="25"/>
      <c r="I436" s="25"/>
      <c r="J436" s="25"/>
      <c r="K436" s="25"/>
      <c r="L436" s="25"/>
      <c r="M436" s="25"/>
      <c r="N436" s="25"/>
      <c r="O436" s="25"/>
      <c r="P436" s="25"/>
      <c r="Q436" s="25"/>
      <c r="R436" s="25"/>
      <c r="S436" s="25"/>
      <c r="T436" s="25"/>
      <c r="U436" s="25"/>
      <c r="V436" s="25"/>
      <c r="W436" s="25"/>
      <c r="X436" s="68">
        <f t="shared" si="18"/>
        <v>1900</v>
      </c>
      <c r="Y436" s="25">
        <f t="shared" si="19"/>
        <v>1</v>
      </c>
      <c r="Z436" s="68">
        <f t="shared" si="20"/>
        <v>0</v>
      </c>
    </row>
    <row r="437" ht="13.85" spans="1:26">
      <c r="A437" s="25"/>
      <c r="F437" s="25"/>
      <c r="G437" s="25"/>
      <c r="H437" s="25"/>
      <c r="I437" s="25"/>
      <c r="J437" s="25"/>
      <c r="K437" s="25"/>
      <c r="L437" s="25"/>
      <c r="M437" s="25"/>
      <c r="N437" s="25"/>
      <c r="O437" s="25"/>
      <c r="P437" s="25"/>
      <c r="Q437" s="25"/>
      <c r="R437" s="25"/>
      <c r="S437" s="25"/>
      <c r="T437" s="25"/>
      <c r="U437" s="25"/>
      <c r="V437" s="25"/>
      <c r="W437" s="25"/>
      <c r="X437" s="68">
        <f t="shared" si="18"/>
        <v>1900</v>
      </c>
      <c r="Y437" s="25">
        <f t="shared" si="19"/>
        <v>1</v>
      </c>
      <c r="Z437" s="68">
        <f t="shared" si="20"/>
        <v>0</v>
      </c>
    </row>
    <row r="438" ht="13.85" spans="1:26">
      <c r="A438" s="25"/>
      <c r="F438" s="25"/>
      <c r="G438" s="25"/>
      <c r="H438" s="25"/>
      <c r="I438" s="25"/>
      <c r="J438" s="25"/>
      <c r="K438" s="25"/>
      <c r="L438" s="25"/>
      <c r="M438" s="25"/>
      <c r="N438" s="25"/>
      <c r="O438" s="25"/>
      <c r="P438" s="25"/>
      <c r="Q438" s="25"/>
      <c r="R438" s="25"/>
      <c r="S438" s="25"/>
      <c r="T438" s="25"/>
      <c r="U438" s="25"/>
      <c r="V438" s="25"/>
      <c r="W438" s="25"/>
      <c r="X438" s="68">
        <f t="shared" si="18"/>
        <v>1900</v>
      </c>
      <c r="Y438" s="25">
        <f t="shared" si="19"/>
        <v>1</v>
      </c>
      <c r="Z438" s="68">
        <f t="shared" si="20"/>
        <v>0</v>
      </c>
    </row>
    <row r="439" ht="13.85" spans="1:26">
      <c r="A439" s="25"/>
      <c r="F439" s="25"/>
      <c r="G439" s="25"/>
      <c r="H439" s="25"/>
      <c r="I439" s="25"/>
      <c r="J439" s="25"/>
      <c r="K439" s="25"/>
      <c r="L439" s="25"/>
      <c r="M439" s="25"/>
      <c r="N439" s="25"/>
      <c r="O439" s="25"/>
      <c r="P439" s="25"/>
      <c r="Q439" s="25"/>
      <c r="R439" s="25"/>
      <c r="S439" s="25"/>
      <c r="T439" s="25"/>
      <c r="U439" s="25"/>
      <c r="V439" s="25"/>
      <c r="W439" s="25"/>
      <c r="X439" s="68">
        <f t="shared" si="18"/>
        <v>1900</v>
      </c>
      <c r="Y439" s="25">
        <f t="shared" si="19"/>
        <v>1</v>
      </c>
      <c r="Z439" s="68">
        <f t="shared" si="20"/>
        <v>0</v>
      </c>
    </row>
    <row r="440" ht="13.85" spans="1:26">
      <c r="A440" s="25"/>
      <c r="F440" s="25"/>
      <c r="G440" s="25"/>
      <c r="H440" s="25"/>
      <c r="I440" s="25"/>
      <c r="J440" s="25"/>
      <c r="K440" s="25"/>
      <c r="L440" s="25"/>
      <c r="M440" s="25"/>
      <c r="N440" s="25"/>
      <c r="O440" s="25"/>
      <c r="P440" s="25"/>
      <c r="Q440" s="25"/>
      <c r="R440" s="25"/>
      <c r="S440" s="25"/>
      <c r="T440" s="25"/>
      <c r="U440" s="25"/>
      <c r="V440" s="25"/>
      <c r="W440" s="25"/>
      <c r="X440" s="68">
        <f t="shared" si="18"/>
        <v>1900</v>
      </c>
      <c r="Y440" s="25">
        <f t="shared" si="19"/>
        <v>1</v>
      </c>
      <c r="Z440" s="68">
        <f t="shared" si="20"/>
        <v>0</v>
      </c>
    </row>
    <row r="441" ht="13.85" spans="1:26">
      <c r="A441" s="25"/>
      <c r="F441" s="25"/>
      <c r="G441" s="25"/>
      <c r="H441" s="25"/>
      <c r="I441" s="25"/>
      <c r="J441" s="25"/>
      <c r="K441" s="25"/>
      <c r="L441" s="25"/>
      <c r="M441" s="25"/>
      <c r="N441" s="25"/>
      <c r="O441" s="25"/>
      <c r="P441" s="25"/>
      <c r="Q441" s="25"/>
      <c r="R441" s="25"/>
      <c r="S441" s="25"/>
      <c r="T441" s="25"/>
      <c r="U441" s="25"/>
      <c r="V441" s="25"/>
      <c r="W441" s="25"/>
      <c r="X441" s="68">
        <f t="shared" si="18"/>
        <v>1900</v>
      </c>
      <c r="Y441" s="25">
        <f t="shared" si="19"/>
        <v>1</v>
      </c>
      <c r="Z441" s="68">
        <f t="shared" si="20"/>
        <v>0</v>
      </c>
    </row>
    <row r="442" ht="13.85" spans="1:26">
      <c r="A442" s="25"/>
      <c r="F442" s="25"/>
      <c r="G442" s="25"/>
      <c r="H442" s="25"/>
      <c r="I442" s="25"/>
      <c r="J442" s="25"/>
      <c r="K442" s="25"/>
      <c r="L442" s="25"/>
      <c r="M442" s="25"/>
      <c r="N442" s="25"/>
      <c r="O442" s="25"/>
      <c r="P442" s="25"/>
      <c r="Q442" s="25"/>
      <c r="R442" s="25"/>
      <c r="S442" s="25"/>
      <c r="T442" s="25"/>
      <c r="U442" s="25"/>
      <c r="V442" s="25"/>
      <c r="W442" s="25"/>
      <c r="X442" s="68">
        <f t="shared" si="18"/>
        <v>1900</v>
      </c>
      <c r="Y442" s="25">
        <f t="shared" si="19"/>
        <v>1</v>
      </c>
      <c r="Z442" s="68">
        <f t="shared" si="20"/>
        <v>0</v>
      </c>
    </row>
    <row r="443" ht="13.85" spans="1:26">
      <c r="A443" s="25"/>
      <c r="F443" s="25"/>
      <c r="G443" s="25"/>
      <c r="H443" s="25"/>
      <c r="I443" s="25"/>
      <c r="J443" s="25"/>
      <c r="K443" s="25"/>
      <c r="L443" s="25"/>
      <c r="M443" s="25"/>
      <c r="N443" s="25"/>
      <c r="O443" s="25"/>
      <c r="P443" s="25"/>
      <c r="Q443" s="25"/>
      <c r="R443" s="25"/>
      <c r="S443" s="25"/>
      <c r="T443" s="25"/>
      <c r="U443" s="25"/>
      <c r="V443" s="25"/>
      <c r="W443" s="25"/>
      <c r="X443" s="68">
        <f t="shared" si="18"/>
        <v>1900</v>
      </c>
      <c r="Y443" s="25">
        <f t="shared" si="19"/>
        <v>1</v>
      </c>
      <c r="Z443" s="68">
        <f t="shared" si="20"/>
        <v>0</v>
      </c>
    </row>
    <row r="444" ht="13.85" spans="1:26">
      <c r="A444" s="25"/>
      <c r="F444" s="25"/>
      <c r="G444" s="25"/>
      <c r="H444" s="25"/>
      <c r="I444" s="25"/>
      <c r="J444" s="25"/>
      <c r="K444" s="25"/>
      <c r="L444" s="25"/>
      <c r="M444" s="25"/>
      <c r="N444" s="25"/>
      <c r="O444" s="25"/>
      <c r="P444" s="25"/>
      <c r="Q444" s="25"/>
      <c r="R444" s="25"/>
      <c r="S444" s="25"/>
      <c r="T444" s="25"/>
      <c r="U444" s="25"/>
      <c r="V444" s="25"/>
      <c r="W444" s="25"/>
      <c r="X444" s="68">
        <f t="shared" si="18"/>
        <v>1900</v>
      </c>
      <c r="Y444" s="25">
        <f t="shared" si="19"/>
        <v>1</v>
      </c>
      <c r="Z444" s="68">
        <f t="shared" si="20"/>
        <v>0</v>
      </c>
    </row>
    <row r="445" ht="13.85" spans="1:26">
      <c r="A445" s="25"/>
      <c r="F445" s="25"/>
      <c r="G445" s="25"/>
      <c r="H445" s="25"/>
      <c r="I445" s="25"/>
      <c r="J445" s="25"/>
      <c r="K445" s="25"/>
      <c r="L445" s="25"/>
      <c r="M445" s="25"/>
      <c r="N445" s="25"/>
      <c r="O445" s="25"/>
      <c r="P445" s="25"/>
      <c r="Q445" s="25"/>
      <c r="R445" s="25"/>
      <c r="S445" s="25"/>
      <c r="T445" s="25"/>
      <c r="U445" s="25"/>
      <c r="V445" s="25"/>
      <c r="W445" s="25"/>
      <c r="X445" s="68">
        <f t="shared" si="18"/>
        <v>1900</v>
      </c>
      <c r="Y445" s="25">
        <f t="shared" si="19"/>
        <v>1</v>
      </c>
      <c r="Z445" s="68">
        <f t="shared" si="20"/>
        <v>0</v>
      </c>
    </row>
    <row r="446" ht="13.85" spans="1:26">
      <c r="A446" s="25"/>
      <c r="F446" s="25"/>
      <c r="G446" s="25"/>
      <c r="H446" s="25"/>
      <c r="I446" s="25"/>
      <c r="J446" s="25"/>
      <c r="K446" s="25"/>
      <c r="L446" s="25"/>
      <c r="M446" s="25"/>
      <c r="N446" s="25"/>
      <c r="O446" s="25"/>
      <c r="P446" s="25"/>
      <c r="Q446" s="25"/>
      <c r="R446" s="25"/>
      <c r="S446" s="25"/>
      <c r="T446" s="25"/>
      <c r="U446" s="25"/>
      <c r="V446" s="25"/>
      <c r="W446" s="25"/>
      <c r="X446" s="68">
        <f t="shared" si="18"/>
        <v>1900</v>
      </c>
      <c r="Y446" s="25">
        <f t="shared" si="19"/>
        <v>1</v>
      </c>
      <c r="Z446" s="68">
        <f t="shared" si="20"/>
        <v>0</v>
      </c>
    </row>
    <row r="447" ht="13.85" spans="1:26">
      <c r="A447" s="25"/>
      <c r="F447" s="25"/>
      <c r="G447" s="25"/>
      <c r="H447" s="25"/>
      <c r="I447" s="25"/>
      <c r="J447" s="25"/>
      <c r="K447" s="25"/>
      <c r="L447" s="25"/>
      <c r="M447" s="25"/>
      <c r="N447" s="25"/>
      <c r="O447" s="25"/>
      <c r="P447" s="25"/>
      <c r="Q447" s="25"/>
      <c r="R447" s="25"/>
      <c r="S447" s="25"/>
      <c r="T447" s="25"/>
      <c r="U447" s="25"/>
      <c r="V447" s="25"/>
      <c r="W447" s="25"/>
      <c r="X447" s="68">
        <f t="shared" si="18"/>
        <v>1900</v>
      </c>
      <c r="Y447" s="25">
        <f t="shared" si="19"/>
        <v>1</v>
      </c>
      <c r="Z447" s="68">
        <f t="shared" si="20"/>
        <v>0</v>
      </c>
    </row>
    <row r="448" ht="13.85" spans="1:26">
      <c r="A448" s="25"/>
      <c r="F448" s="25"/>
      <c r="G448" s="25"/>
      <c r="H448" s="25"/>
      <c r="I448" s="25"/>
      <c r="J448" s="25"/>
      <c r="K448" s="25"/>
      <c r="L448" s="25"/>
      <c r="M448" s="25"/>
      <c r="N448" s="25"/>
      <c r="O448" s="25"/>
      <c r="P448" s="25"/>
      <c r="Q448" s="25"/>
      <c r="R448" s="25"/>
      <c r="S448" s="25"/>
      <c r="T448" s="25"/>
      <c r="U448" s="25"/>
      <c r="V448" s="25"/>
      <c r="W448" s="25"/>
      <c r="X448" s="68">
        <f t="shared" si="18"/>
        <v>1900</v>
      </c>
      <c r="Y448" s="25">
        <f t="shared" si="19"/>
        <v>1</v>
      </c>
      <c r="Z448" s="68">
        <f t="shared" si="20"/>
        <v>0</v>
      </c>
    </row>
    <row r="449" ht="13.85" spans="1:26">
      <c r="A449" s="25"/>
      <c r="F449" s="25"/>
      <c r="G449" s="25"/>
      <c r="H449" s="25"/>
      <c r="I449" s="25"/>
      <c r="J449" s="25"/>
      <c r="K449" s="25"/>
      <c r="L449" s="25"/>
      <c r="M449" s="25"/>
      <c r="N449" s="25"/>
      <c r="O449" s="25"/>
      <c r="P449" s="25"/>
      <c r="Q449" s="25"/>
      <c r="R449" s="25"/>
      <c r="S449" s="25"/>
      <c r="T449" s="25"/>
      <c r="U449" s="25"/>
      <c r="V449" s="25"/>
      <c r="W449" s="25"/>
      <c r="X449" s="68">
        <f t="shared" si="18"/>
        <v>1900</v>
      </c>
      <c r="Y449" s="25">
        <f t="shared" si="19"/>
        <v>1</v>
      </c>
      <c r="Z449" s="68">
        <f t="shared" si="20"/>
        <v>0</v>
      </c>
    </row>
    <row r="450" ht="13.85" spans="1:26">
      <c r="A450" s="25"/>
      <c r="F450" s="25"/>
      <c r="G450" s="25"/>
      <c r="H450" s="25"/>
      <c r="I450" s="25"/>
      <c r="J450" s="25"/>
      <c r="K450" s="25"/>
      <c r="L450" s="25"/>
      <c r="M450" s="25"/>
      <c r="N450" s="25"/>
      <c r="O450" s="25"/>
      <c r="P450" s="25"/>
      <c r="Q450" s="25"/>
      <c r="R450" s="25"/>
      <c r="S450" s="25"/>
      <c r="T450" s="25"/>
      <c r="U450" s="25"/>
      <c r="V450" s="25"/>
      <c r="W450" s="25"/>
      <c r="X450" s="68">
        <f t="shared" ref="X450:X513" si="21">YEAR(C450)</f>
        <v>1900</v>
      </c>
      <c r="Y450" s="25">
        <f t="shared" ref="Y450:Y513" si="22">MONTH(C450)</f>
        <v>1</v>
      </c>
      <c r="Z450" s="68">
        <f t="shared" ref="Z450:Z513" si="23">DAY(C450)</f>
        <v>0</v>
      </c>
    </row>
    <row r="451" ht="13.85" spans="1:26">
      <c r="A451" s="25"/>
      <c r="F451" s="25"/>
      <c r="G451" s="25"/>
      <c r="H451" s="25"/>
      <c r="I451" s="25"/>
      <c r="J451" s="25"/>
      <c r="K451" s="25"/>
      <c r="L451" s="25"/>
      <c r="M451" s="25"/>
      <c r="N451" s="25"/>
      <c r="O451" s="25"/>
      <c r="P451" s="25"/>
      <c r="Q451" s="25"/>
      <c r="R451" s="25"/>
      <c r="S451" s="25"/>
      <c r="T451" s="25"/>
      <c r="U451" s="25"/>
      <c r="V451" s="25"/>
      <c r="W451" s="25"/>
      <c r="X451" s="68">
        <f t="shared" si="21"/>
        <v>1900</v>
      </c>
      <c r="Y451" s="25">
        <f t="shared" si="22"/>
        <v>1</v>
      </c>
      <c r="Z451" s="68">
        <f t="shared" si="23"/>
        <v>0</v>
      </c>
    </row>
    <row r="452" ht="13.85" spans="1:26">
      <c r="A452" s="25"/>
      <c r="F452" s="25"/>
      <c r="G452" s="25"/>
      <c r="H452" s="25"/>
      <c r="I452" s="25"/>
      <c r="J452" s="25"/>
      <c r="K452" s="25"/>
      <c r="L452" s="25"/>
      <c r="M452" s="25"/>
      <c r="N452" s="25"/>
      <c r="O452" s="25"/>
      <c r="P452" s="25"/>
      <c r="Q452" s="25"/>
      <c r="R452" s="25"/>
      <c r="S452" s="25"/>
      <c r="T452" s="25"/>
      <c r="U452" s="25"/>
      <c r="V452" s="25"/>
      <c r="W452" s="25"/>
      <c r="X452" s="68">
        <f t="shared" si="21"/>
        <v>1900</v>
      </c>
      <c r="Y452" s="25">
        <f t="shared" si="22"/>
        <v>1</v>
      </c>
      <c r="Z452" s="68">
        <f t="shared" si="23"/>
        <v>0</v>
      </c>
    </row>
    <row r="453" ht="13.85" spans="1:26">
      <c r="A453" s="25"/>
      <c r="F453" s="25"/>
      <c r="G453" s="25"/>
      <c r="H453" s="25"/>
      <c r="I453" s="25"/>
      <c r="J453" s="25"/>
      <c r="K453" s="25"/>
      <c r="L453" s="25"/>
      <c r="M453" s="25"/>
      <c r="N453" s="25"/>
      <c r="O453" s="25"/>
      <c r="P453" s="25"/>
      <c r="Q453" s="25"/>
      <c r="R453" s="25"/>
      <c r="S453" s="25"/>
      <c r="T453" s="25"/>
      <c r="U453" s="25"/>
      <c r="V453" s="25"/>
      <c r="W453" s="25"/>
      <c r="X453" s="68">
        <f t="shared" si="21"/>
        <v>1900</v>
      </c>
      <c r="Y453" s="25">
        <f t="shared" si="22"/>
        <v>1</v>
      </c>
      <c r="Z453" s="68">
        <f t="shared" si="23"/>
        <v>0</v>
      </c>
    </row>
    <row r="454" ht="13.85" spans="1:26">
      <c r="A454" s="25"/>
      <c r="F454" s="25"/>
      <c r="G454" s="25"/>
      <c r="H454" s="25"/>
      <c r="I454" s="25"/>
      <c r="J454" s="25"/>
      <c r="K454" s="25"/>
      <c r="L454" s="25"/>
      <c r="M454" s="25"/>
      <c r="N454" s="25"/>
      <c r="O454" s="25"/>
      <c r="P454" s="25"/>
      <c r="Q454" s="25"/>
      <c r="R454" s="25"/>
      <c r="S454" s="25"/>
      <c r="T454" s="25"/>
      <c r="U454" s="25"/>
      <c r="V454" s="25"/>
      <c r="W454" s="25"/>
      <c r="X454" s="68">
        <f t="shared" si="21"/>
        <v>1900</v>
      </c>
      <c r="Y454" s="25">
        <f t="shared" si="22"/>
        <v>1</v>
      </c>
      <c r="Z454" s="68">
        <f t="shared" si="23"/>
        <v>0</v>
      </c>
    </row>
    <row r="455" ht="13.85" spans="1:26">
      <c r="A455" s="25"/>
      <c r="F455" s="25"/>
      <c r="G455" s="25"/>
      <c r="H455" s="25"/>
      <c r="I455" s="25"/>
      <c r="J455" s="25"/>
      <c r="K455" s="25"/>
      <c r="L455" s="25"/>
      <c r="M455" s="25"/>
      <c r="N455" s="25"/>
      <c r="O455" s="25"/>
      <c r="P455" s="25"/>
      <c r="Q455" s="25"/>
      <c r="R455" s="25"/>
      <c r="S455" s="25"/>
      <c r="T455" s="25"/>
      <c r="U455" s="25"/>
      <c r="V455" s="25"/>
      <c r="W455" s="25"/>
      <c r="X455" s="68">
        <f t="shared" si="21"/>
        <v>1900</v>
      </c>
      <c r="Y455" s="25">
        <f t="shared" si="22"/>
        <v>1</v>
      </c>
      <c r="Z455" s="68">
        <f t="shared" si="23"/>
        <v>0</v>
      </c>
    </row>
    <row r="456" ht="13.85" spans="1:26">
      <c r="A456" s="25"/>
      <c r="F456" s="25"/>
      <c r="G456" s="25"/>
      <c r="H456" s="25"/>
      <c r="I456" s="25"/>
      <c r="J456" s="25"/>
      <c r="K456" s="25"/>
      <c r="L456" s="25"/>
      <c r="M456" s="25"/>
      <c r="N456" s="25"/>
      <c r="O456" s="25"/>
      <c r="P456" s="25"/>
      <c r="Q456" s="25"/>
      <c r="R456" s="25"/>
      <c r="S456" s="25"/>
      <c r="T456" s="25"/>
      <c r="U456" s="25"/>
      <c r="V456" s="25"/>
      <c r="W456" s="25"/>
      <c r="X456" s="68">
        <f t="shared" si="21"/>
        <v>1900</v>
      </c>
      <c r="Y456" s="25">
        <f t="shared" si="22"/>
        <v>1</v>
      </c>
      <c r="Z456" s="68">
        <f t="shared" si="23"/>
        <v>0</v>
      </c>
    </row>
    <row r="457" ht="13.85" spans="1:26">
      <c r="A457" s="25"/>
      <c r="F457" s="25"/>
      <c r="G457" s="25"/>
      <c r="H457" s="25"/>
      <c r="I457" s="25"/>
      <c r="J457" s="25"/>
      <c r="K457" s="25"/>
      <c r="L457" s="25"/>
      <c r="M457" s="25"/>
      <c r="N457" s="25"/>
      <c r="O457" s="25"/>
      <c r="P457" s="25"/>
      <c r="Q457" s="25"/>
      <c r="R457" s="25"/>
      <c r="S457" s="25"/>
      <c r="T457" s="25"/>
      <c r="U457" s="25"/>
      <c r="V457" s="25"/>
      <c r="W457" s="25"/>
      <c r="X457" s="68">
        <f t="shared" si="21"/>
        <v>1900</v>
      </c>
      <c r="Y457" s="25">
        <f t="shared" si="22"/>
        <v>1</v>
      </c>
      <c r="Z457" s="68">
        <f t="shared" si="23"/>
        <v>0</v>
      </c>
    </row>
    <row r="458" ht="13.85" spans="1:26">
      <c r="A458" s="25"/>
      <c r="F458" s="25"/>
      <c r="G458" s="25"/>
      <c r="H458" s="25"/>
      <c r="I458" s="25"/>
      <c r="J458" s="25"/>
      <c r="K458" s="25"/>
      <c r="L458" s="25"/>
      <c r="M458" s="25"/>
      <c r="N458" s="25"/>
      <c r="O458" s="25"/>
      <c r="P458" s="25"/>
      <c r="Q458" s="25"/>
      <c r="R458" s="25"/>
      <c r="S458" s="25"/>
      <c r="T458" s="25"/>
      <c r="U458" s="25"/>
      <c r="V458" s="25"/>
      <c r="W458" s="25"/>
      <c r="X458" s="68">
        <f t="shared" si="21"/>
        <v>1900</v>
      </c>
      <c r="Y458" s="25">
        <f t="shared" si="22"/>
        <v>1</v>
      </c>
      <c r="Z458" s="68">
        <f t="shared" si="23"/>
        <v>0</v>
      </c>
    </row>
    <row r="459" ht="13.85" spans="1:26">
      <c r="A459" s="25"/>
      <c r="F459" s="25"/>
      <c r="G459" s="25"/>
      <c r="H459" s="25"/>
      <c r="I459" s="25"/>
      <c r="J459" s="25"/>
      <c r="K459" s="25"/>
      <c r="L459" s="25"/>
      <c r="M459" s="25"/>
      <c r="N459" s="25"/>
      <c r="O459" s="25"/>
      <c r="P459" s="25"/>
      <c r="Q459" s="25"/>
      <c r="R459" s="25"/>
      <c r="S459" s="25"/>
      <c r="T459" s="25"/>
      <c r="U459" s="25"/>
      <c r="V459" s="25"/>
      <c r="W459" s="25"/>
      <c r="X459" s="68">
        <f t="shared" si="21"/>
        <v>1900</v>
      </c>
      <c r="Y459" s="25">
        <f t="shared" si="22"/>
        <v>1</v>
      </c>
      <c r="Z459" s="68">
        <f t="shared" si="23"/>
        <v>0</v>
      </c>
    </row>
    <row r="460" ht="13.85" spans="1:26">
      <c r="A460" s="25"/>
      <c r="F460" s="25"/>
      <c r="G460" s="25"/>
      <c r="H460" s="25"/>
      <c r="I460" s="25"/>
      <c r="J460" s="25"/>
      <c r="K460" s="25"/>
      <c r="L460" s="25"/>
      <c r="M460" s="25"/>
      <c r="N460" s="25"/>
      <c r="O460" s="25"/>
      <c r="P460" s="25"/>
      <c r="Q460" s="25"/>
      <c r="R460" s="25"/>
      <c r="S460" s="25"/>
      <c r="T460" s="25"/>
      <c r="U460" s="25"/>
      <c r="V460" s="25"/>
      <c r="W460" s="25"/>
      <c r="X460" s="68">
        <f t="shared" si="21"/>
        <v>1900</v>
      </c>
      <c r="Y460" s="25">
        <f t="shared" si="22"/>
        <v>1</v>
      </c>
      <c r="Z460" s="68">
        <f t="shared" si="23"/>
        <v>0</v>
      </c>
    </row>
    <row r="461" ht="13.85" spans="1:26">
      <c r="A461" s="25"/>
      <c r="F461" s="25"/>
      <c r="G461" s="25"/>
      <c r="H461" s="25"/>
      <c r="I461" s="25"/>
      <c r="J461" s="25"/>
      <c r="K461" s="25"/>
      <c r="L461" s="25"/>
      <c r="M461" s="25"/>
      <c r="N461" s="25"/>
      <c r="O461" s="25"/>
      <c r="P461" s="25"/>
      <c r="Q461" s="25"/>
      <c r="R461" s="25"/>
      <c r="S461" s="25"/>
      <c r="T461" s="25"/>
      <c r="U461" s="25"/>
      <c r="V461" s="25"/>
      <c r="W461" s="25"/>
      <c r="X461" s="68">
        <f t="shared" si="21"/>
        <v>1900</v>
      </c>
      <c r="Y461" s="25">
        <f t="shared" si="22"/>
        <v>1</v>
      </c>
      <c r="Z461" s="68">
        <f t="shared" si="23"/>
        <v>0</v>
      </c>
    </row>
    <row r="462" ht="13.85" spans="1:26">
      <c r="A462" s="25"/>
      <c r="F462" s="25"/>
      <c r="G462" s="25"/>
      <c r="H462" s="25"/>
      <c r="I462" s="25"/>
      <c r="J462" s="25"/>
      <c r="K462" s="25"/>
      <c r="L462" s="25"/>
      <c r="M462" s="25"/>
      <c r="N462" s="25"/>
      <c r="O462" s="25"/>
      <c r="P462" s="25"/>
      <c r="Q462" s="25"/>
      <c r="R462" s="25"/>
      <c r="S462" s="25"/>
      <c r="T462" s="25"/>
      <c r="U462" s="25"/>
      <c r="V462" s="25"/>
      <c r="W462" s="25"/>
      <c r="X462" s="68">
        <f t="shared" si="21"/>
        <v>1900</v>
      </c>
      <c r="Y462" s="25">
        <f t="shared" si="22"/>
        <v>1</v>
      </c>
      <c r="Z462" s="68">
        <f t="shared" si="23"/>
        <v>0</v>
      </c>
    </row>
    <row r="463" ht="13.85" spans="1:26">
      <c r="A463" s="25"/>
      <c r="F463" s="25"/>
      <c r="G463" s="25"/>
      <c r="H463" s="25"/>
      <c r="I463" s="25"/>
      <c r="J463" s="25"/>
      <c r="K463" s="25"/>
      <c r="L463" s="25"/>
      <c r="M463" s="25"/>
      <c r="N463" s="25"/>
      <c r="O463" s="25"/>
      <c r="P463" s="25"/>
      <c r="Q463" s="25"/>
      <c r="R463" s="25"/>
      <c r="S463" s="25"/>
      <c r="T463" s="25"/>
      <c r="U463" s="25"/>
      <c r="V463" s="25"/>
      <c r="W463" s="25"/>
      <c r="X463" s="68">
        <f t="shared" si="21"/>
        <v>1900</v>
      </c>
      <c r="Y463" s="25">
        <f t="shared" si="22"/>
        <v>1</v>
      </c>
      <c r="Z463" s="68">
        <f t="shared" si="23"/>
        <v>0</v>
      </c>
    </row>
    <row r="464" ht="13.85" spans="1:26">
      <c r="A464" s="25"/>
      <c r="F464" s="25"/>
      <c r="G464" s="25"/>
      <c r="H464" s="25"/>
      <c r="I464" s="25"/>
      <c r="J464" s="25"/>
      <c r="K464" s="25"/>
      <c r="L464" s="25"/>
      <c r="M464" s="25"/>
      <c r="N464" s="25"/>
      <c r="O464" s="25"/>
      <c r="P464" s="25"/>
      <c r="Q464" s="25"/>
      <c r="R464" s="25"/>
      <c r="S464" s="25"/>
      <c r="T464" s="25"/>
      <c r="U464" s="25"/>
      <c r="V464" s="25"/>
      <c r="W464" s="25"/>
      <c r="X464" s="68">
        <f t="shared" si="21"/>
        <v>1900</v>
      </c>
      <c r="Y464" s="25">
        <f t="shared" si="22"/>
        <v>1</v>
      </c>
      <c r="Z464" s="68">
        <f t="shared" si="23"/>
        <v>0</v>
      </c>
    </row>
    <row r="465" ht="13.85" spans="1:26">
      <c r="A465" s="25"/>
      <c r="F465" s="25"/>
      <c r="G465" s="25"/>
      <c r="H465" s="25"/>
      <c r="I465" s="25"/>
      <c r="J465" s="25"/>
      <c r="K465" s="25"/>
      <c r="L465" s="25"/>
      <c r="M465" s="25"/>
      <c r="N465" s="25"/>
      <c r="O465" s="25"/>
      <c r="P465" s="25"/>
      <c r="Q465" s="25"/>
      <c r="R465" s="25"/>
      <c r="S465" s="25"/>
      <c r="T465" s="25"/>
      <c r="U465" s="25"/>
      <c r="V465" s="25"/>
      <c r="W465" s="25"/>
      <c r="X465" s="68">
        <f t="shared" si="21"/>
        <v>1900</v>
      </c>
      <c r="Y465" s="25">
        <f t="shared" si="22"/>
        <v>1</v>
      </c>
      <c r="Z465" s="68">
        <f t="shared" si="23"/>
        <v>0</v>
      </c>
    </row>
    <row r="466" ht="13.85" spans="1:26">
      <c r="A466" s="25"/>
      <c r="F466" s="25"/>
      <c r="G466" s="25"/>
      <c r="H466" s="25"/>
      <c r="I466" s="25"/>
      <c r="J466" s="25"/>
      <c r="K466" s="25"/>
      <c r="L466" s="25"/>
      <c r="M466" s="25"/>
      <c r="N466" s="25"/>
      <c r="O466" s="25"/>
      <c r="P466" s="25"/>
      <c r="Q466" s="25"/>
      <c r="R466" s="25"/>
      <c r="S466" s="25"/>
      <c r="T466" s="25"/>
      <c r="U466" s="25"/>
      <c r="V466" s="25"/>
      <c r="W466" s="25"/>
      <c r="X466" s="68">
        <f t="shared" si="21"/>
        <v>1900</v>
      </c>
      <c r="Y466" s="25">
        <f t="shared" si="22"/>
        <v>1</v>
      </c>
      <c r="Z466" s="68">
        <f t="shared" si="23"/>
        <v>0</v>
      </c>
    </row>
    <row r="467" ht="13.85" spans="1:26">
      <c r="A467" s="25"/>
      <c r="F467" s="25"/>
      <c r="G467" s="25"/>
      <c r="H467" s="25"/>
      <c r="I467" s="25"/>
      <c r="J467" s="25"/>
      <c r="K467" s="25"/>
      <c r="L467" s="25"/>
      <c r="M467" s="25"/>
      <c r="N467" s="25"/>
      <c r="O467" s="25"/>
      <c r="P467" s="25"/>
      <c r="Q467" s="25"/>
      <c r="R467" s="25"/>
      <c r="S467" s="25"/>
      <c r="T467" s="25"/>
      <c r="U467" s="25"/>
      <c r="V467" s="25"/>
      <c r="W467" s="25"/>
      <c r="X467" s="68">
        <f t="shared" si="21"/>
        <v>1900</v>
      </c>
      <c r="Y467" s="25">
        <f t="shared" si="22"/>
        <v>1</v>
      </c>
      <c r="Z467" s="68">
        <f t="shared" si="23"/>
        <v>0</v>
      </c>
    </row>
    <row r="468" ht="13.85" spans="1:26">
      <c r="A468" s="25"/>
      <c r="F468" s="25"/>
      <c r="G468" s="25"/>
      <c r="H468" s="25"/>
      <c r="I468" s="25"/>
      <c r="J468" s="25"/>
      <c r="K468" s="25"/>
      <c r="L468" s="25"/>
      <c r="M468" s="25"/>
      <c r="N468" s="25"/>
      <c r="O468" s="25"/>
      <c r="P468" s="25"/>
      <c r="Q468" s="25"/>
      <c r="R468" s="25"/>
      <c r="S468" s="25"/>
      <c r="T468" s="25"/>
      <c r="U468" s="25"/>
      <c r="V468" s="25"/>
      <c r="W468" s="25"/>
      <c r="X468" s="68">
        <f t="shared" si="21"/>
        <v>1900</v>
      </c>
      <c r="Y468" s="25">
        <f t="shared" si="22"/>
        <v>1</v>
      </c>
      <c r="Z468" s="68">
        <f t="shared" si="23"/>
        <v>0</v>
      </c>
    </row>
    <row r="469" ht="13.85" spans="1:26">
      <c r="A469" s="25"/>
      <c r="F469" s="25"/>
      <c r="G469" s="25"/>
      <c r="H469" s="25"/>
      <c r="I469" s="25"/>
      <c r="J469" s="25"/>
      <c r="K469" s="25"/>
      <c r="L469" s="25"/>
      <c r="M469" s="25"/>
      <c r="N469" s="25"/>
      <c r="O469" s="25"/>
      <c r="P469" s="25"/>
      <c r="Q469" s="25"/>
      <c r="R469" s="25"/>
      <c r="S469" s="25"/>
      <c r="T469" s="25"/>
      <c r="U469" s="25"/>
      <c r="V469" s="25"/>
      <c r="W469" s="25"/>
      <c r="X469" s="68">
        <f t="shared" si="21"/>
        <v>1900</v>
      </c>
      <c r="Y469" s="25">
        <f t="shared" si="22"/>
        <v>1</v>
      </c>
      <c r="Z469" s="68">
        <f t="shared" si="23"/>
        <v>0</v>
      </c>
    </row>
    <row r="470" ht="13.85" spans="1:26">
      <c r="A470" s="25"/>
      <c r="F470" s="25"/>
      <c r="G470" s="25"/>
      <c r="H470" s="25"/>
      <c r="I470" s="25"/>
      <c r="J470" s="25"/>
      <c r="K470" s="25"/>
      <c r="L470" s="25"/>
      <c r="M470" s="25"/>
      <c r="N470" s="25"/>
      <c r="O470" s="25"/>
      <c r="P470" s="25"/>
      <c r="Q470" s="25"/>
      <c r="R470" s="25"/>
      <c r="S470" s="25"/>
      <c r="T470" s="25"/>
      <c r="U470" s="25"/>
      <c r="V470" s="25"/>
      <c r="W470" s="25"/>
      <c r="X470" s="68">
        <f t="shared" si="21"/>
        <v>1900</v>
      </c>
      <c r="Y470" s="25">
        <f t="shared" si="22"/>
        <v>1</v>
      </c>
      <c r="Z470" s="68">
        <f t="shared" si="23"/>
        <v>0</v>
      </c>
    </row>
    <row r="471" ht="13.85" spans="1:26">
      <c r="A471" s="25"/>
      <c r="F471" s="25"/>
      <c r="G471" s="25"/>
      <c r="H471" s="25"/>
      <c r="I471" s="25"/>
      <c r="J471" s="25"/>
      <c r="K471" s="25"/>
      <c r="L471" s="25"/>
      <c r="M471" s="25"/>
      <c r="N471" s="25"/>
      <c r="O471" s="25"/>
      <c r="P471" s="25"/>
      <c r="Q471" s="25"/>
      <c r="R471" s="25"/>
      <c r="S471" s="25"/>
      <c r="T471" s="25"/>
      <c r="U471" s="25"/>
      <c r="V471" s="25"/>
      <c r="W471" s="25"/>
      <c r="X471" s="68">
        <f t="shared" si="21"/>
        <v>1900</v>
      </c>
      <c r="Y471" s="25">
        <f t="shared" si="22"/>
        <v>1</v>
      </c>
      <c r="Z471" s="68">
        <f t="shared" si="23"/>
        <v>0</v>
      </c>
    </row>
    <row r="472" ht="13.85" spans="1:26">
      <c r="A472" s="25"/>
      <c r="F472" s="25"/>
      <c r="G472" s="25"/>
      <c r="H472" s="25"/>
      <c r="I472" s="25"/>
      <c r="J472" s="25"/>
      <c r="K472" s="25"/>
      <c r="L472" s="25"/>
      <c r="M472" s="25"/>
      <c r="N472" s="25"/>
      <c r="O472" s="25"/>
      <c r="P472" s="25"/>
      <c r="Q472" s="25"/>
      <c r="R472" s="25"/>
      <c r="S472" s="25"/>
      <c r="T472" s="25"/>
      <c r="U472" s="25"/>
      <c r="V472" s="25"/>
      <c r="W472" s="25"/>
      <c r="X472" s="68">
        <f t="shared" si="21"/>
        <v>1900</v>
      </c>
      <c r="Y472" s="25">
        <f t="shared" si="22"/>
        <v>1</v>
      </c>
      <c r="Z472" s="68">
        <f t="shared" si="23"/>
        <v>0</v>
      </c>
    </row>
    <row r="473" ht="13.85" spans="1:26">
      <c r="A473" s="25"/>
      <c r="F473" s="25"/>
      <c r="G473" s="25"/>
      <c r="H473" s="25"/>
      <c r="I473" s="25"/>
      <c r="J473" s="25"/>
      <c r="K473" s="25"/>
      <c r="L473" s="25"/>
      <c r="M473" s="25"/>
      <c r="N473" s="25"/>
      <c r="O473" s="25"/>
      <c r="P473" s="25"/>
      <c r="Q473" s="25"/>
      <c r="R473" s="25"/>
      <c r="S473" s="25"/>
      <c r="T473" s="25"/>
      <c r="U473" s="25"/>
      <c r="V473" s="25"/>
      <c r="W473" s="25"/>
      <c r="X473" s="68">
        <f t="shared" si="21"/>
        <v>1900</v>
      </c>
      <c r="Y473" s="25">
        <f t="shared" si="22"/>
        <v>1</v>
      </c>
      <c r="Z473" s="68">
        <f t="shared" si="23"/>
        <v>0</v>
      </c>
    </row>
    <row r="474" ht="13.85" spans="1:26">
      <c r="A474" s="25"/>
      <c r="F474" s="25"/>
      <c r="G474" s="25"/>
      <c r="H474" s="25"/>
      <c r="I474" s="25"/>
      <c r="J474" s="25"/>
      <c r="K474" s="25"/>
      <c r="L474" s="25"/>
      <c r="M474" s="25"/>
      <c r="N474" s="25"/>
      <c r="O474" s="25"/>
      <c r="P474" s="25"/>
      <c r="Q474" s="25"/>
      <c r="R474" s="25"/>
      <c r="S474" s="25"/>
      <c r="T474" s="25"/>
      <c r="U474" s="25"/>
      <c r="V474" s="25"/>
      <c r="W474" s="25"/>
      <c r="X474" s="68">
        <f t="shared" si="21"/>
        <v>1900</v>
      </c>
      <c r="Y474" s="25">
        <f t="shared" si="22"/>
        <v>1</v>
      </c>
      <c r="Z474" s="68">
        <f t="shared" si="23"/>
        <v>0</v>
      </c>
    </row>
    <row r="475" ht="13.85" spans="1:26">
      <c r="A475" s="25"/>
      <c r="F475" s="25"/>
      <c r="G475" s="25"/>
      <c r="H475" s="25"/>
      <c r="I475" s="25"/>
      <c r="J475" s="25"/>
      <c r="K475" s="25"/>
      <c r="L475" s="25"/>
      <c r="M475" s="25"/>
      <c r="N475" s="25"/>
      <c r="O475" s="25"/>
      <c r="P475" s="25"/>
      <c r="Q475" s="25"/>
      <c r="R475" s="25"/>
      <c r="S475" s="25"/>
      <c r="T475" s="25"/>
      <c r="U475" s="25"/>
      <c r="V475" s="25"/>
      <c r="W475" s="25"/>
      <c r="X475" s="68">
        <f t="shared" si="21"/>
        <v>1900</v>
      </c>
      <c r="Y475" s="25">
        <f t="shared" si="22"/>
        <v>1</v>
      </c>
      <c r="Z475" s="68">
        <f t="shared" si="23"/>
        <v>0</v>
      </c>
    </row>
    <row r="476" ht="13.85" spans="1:26">
      <c r="A476" s="25"/>
      <c r="F476" s="25"/>
      <c r="G476" s="25"/>
      <c r="H476" s="25"/>
      <c r="I476" s="25"/>
      <c r="J476" s="25"/>
      <c r="K476" s="25"/>
      <c r="L476" s="25"/>
      <c r="M476" s="25"/>
      <c r="N476" s="25"/>
      <c r="O476" s="25"/>
      <c r="P476" s="25"/>
      <c r="Q476" s="25"/>
      <c r="R476" s="25"/>
      <c r="S476" s="25"/>
      <c r="T476" s="25"/>
      <c r="U476" s="25"/>
      <c r="V476" s="25"/>
      <c r="W476" s="25"/>
      <c r="X476" s="68">
        <f t="shared" si="21"/>
        <v>1900</v>
      </c>
      <c r="Y476" s="25">
        <f t="shared" si="22"/>
        <v>1</v>
      </c>
      <c r="Z476" s="68">
        <f t="shared" si="23"/>
        <v>0</v>
      </c>
    </row>
    <row r="477" ht="13.85" spans="1:26">
      <c r="A477" s="25"/>
      <c r="F477" s="25"/>
      <c r="G477" s="25"/>
      <c r="H477" s="25"/>
      <c r="I477" s="25"/>
      <c r="J477" s="25"/>
      <c r="K477" s="25"/>
      <c r="L477" s="25"/>
      <c r="M477" s="25"/>
      <c r="N477" s="25"/>
      <c r="O477" s="25"/>
      <c r="P477" s="25"/>
      <c r="Q477" s="25"/>
      <c r="R477" s="25"/>
      <c r="S477" s="25"/>
      <c r="T477" s="25"/>
      <c r="U477" s="25"/>
      <c r="V477" s="25"/>
      <c r="W477" s="25"/>
      <c r="X477" s="68">
        <f t="shared" si="21"/>
        <v>1900</v>
      </c>
      <c r="Y477" s="25">
        <f t="shared" si="22"/>
        <v>1</v>
      </c>
      <c r="Z477" s="68">
        <f t="shared" si="23"/>
        <v>0</v>
      </c>
    </row>
    <row r="478" ht="13.85" spans="1:26">
      <c r="A478" s="25"/>
      <c r="F478" s="25"/>
      <c r="G478" s="25"/>
      <c r="H478" s="25"/>
      <c r="I478" s="25"/>
      <c r="J478" s="25"/>
      <c r="K478" s="25"/>
      <c r="L478" s="25"/>
      <c r="M478" s="25"/>
      <c r="N478" s="25"/>
      <c r="O478" s="25"/>
      <c r="P478" s="25"/>
      <c r="Q478" s="25"/>
      <c r="R478" s="25"/>
      <c r="S478" s="25"/>
      <c r="T478" s="25"/>
      <c r="U478" s="25"/>
      <c r="V478" s="25"/>
      <c r="W478" s="25"/>
      <c r="X478" s="68">
        <f t="shared" si="21"/>
        <v>1900</v>
      </c>
      <c r="Y478" s="25">
        <f t="shared" si="22"/>
        <v>1</v>
      </c>
      <c r="Z478" s="68">
        <f t="shared" si="23"/>
        <v>0</v>
      </c>
    </row>
    <row r="479" ht="13.85" spans="1:26">
      <c r="A479" s="25"/>
      <c r="F479" s="25"/>
      <c r="G479" s="25"/>
      <c r="H479" s="25"/>
      <c r="I479" s="25"/>
      <c r="J479" s="25"/>
      <c r="K479" s="25"/>
      <c r="L479" s="25"/>
      <c r="M479" s="25"/>
      <c r="N479" s="25"/>
      <c r="O479" s="25"/>
      <c r="P479" s="25"/>
      <c r="Q479" s="25"/>
      <c r="R479" s="25"/>
      <c r="S479" s="25"/>
      <c r="T479" s="25"/>
      <c r="U479" s="25"/>
      <c r="V479" s="25"/>
      <c r="W479" s="25"/>
      <c r="X479" s="68">
        <f t="shared" si="21"/>
        <v>1900</v>
      </c>
      <c r="Y479" s="25">
        <f t="shared" si="22"/>
        <v>1</v>
      </c>
      <c r="Z479" s="68">
        <f t="shared" si="23"/>
        <v>0</v>
      </c>
    </row>
    <row r="480" ht="13.85" spans="1:26">
      <c r="A480" s="25"/>
      <c r="F480" s="25"/>
      <c r="G480" s="25"/>
      <c r="H480" s="25"/>
      <c r="I480" s="25"/>
      <c r="J480" s="25"/>
      <c r="K480" s="25"/>
      <c r="L480" s="25"/>
      <c r="M480" s="25"/>
      <c r="N480" s="25"/>
      <c r="O480" s="25"/>
      <c r="P480" s="25"/>
      <c r="Q480" s="25"/>
      <c r="R480" s="25"/>
      <c r="S480" s="25"/>
      <c r="T480" s="25"/>
      <c r="U480" s="25"/>
      <c r="V480" s="25"/>
      <c r="W480" s="25"/>
      <c r="X480" s="68">
        <f t="shared" si="21"/>
        <v>1900</v>
      </c>
      <c r="Y480" s="25">
        <f t="shared" si="22"/>
        <v>1</v>
      </c>
      <c r="Z480" s="68">
        <f t="shared" si="23"/>
        <v>0</v>
      </c>
    </row>
    <row r="481" ht="13.85" spans="1:26">
      <c r="A481" s="25"/>
      <c r="F481" s="25"/>
      <c r="G481" s="25"/>
      <c r="H481" s="25"/>
      <c r="I481" s="25"/>
      <c r="J481" s="25"/>
      <c r="K481" s="25"/>
      <c r="L481" s="25"/>
      <c r="M481" s="25"/>
      <c r="N481" s="25"/>
      <c r="O481" s="25"/>
      <c r="P481" s="25"/>
      <c r="Q481" s="25"/>
      <c r="R481" s="25"/>
      <c r="S481" s="25"/>
      <c r="T481" s="25"/>
      <c r="U481" s="25"/>
      <c r="V481" s="25"/>
      <c r="W481" s="25"/>
      <c r="X481" s="68">
        <f t="shared" si="21"/>
        <v>1900</v>
      </c>
      <c r="Y481" s="25">
        <f t="shared" si="22"/>
        <v>1</v>
      </c>
      <c r="Z481" s="68">
        <f t="shared" si="23"/>
        <v>0</v>
      </c>
    </row>
    <row r="482" ht="13.85" spans="1:26">
      <c r="A482" s="25"/>
      <c r="F482" s="25"/>
      <c r="G482" s="25"/>
      <c r="H482" s="25"/>
      <c r="I482" s="25"/>
      <c r="J482" s="25"/>
      <c r="K482" s="25"/>
      <c r="L482" s="25"/>
      <c r="M482" s="25"/>
      <c r="N482" s="25"/>
      <c r="O482" s="25"/>
      <c r="P482" s="25"/>
      <c r="Q482" s="25"/>
      <c r="R482" s="25"/>
      <c r="S482" s="25"/>
      <c r="T482" s="25"/>
      <c r="U482" s="25"/>
      <c r="V482" s="25"/>
      <c r="W482" s="25"/>
      <c r="X482" s="68">
        <f t="shared" si="21"/>
        <v>1900</v>
      </c>
      <c r="Y482" s="25">
        <f t="shared" si="22"/>
        <v>1</v>
      </c>
      <c r="Z482" s="68">
        <f t="shared" si="23"/>
        <v>0</v>
      </c>
    </row>
    <row r="483" ht="13.85" spans="1:26">
      <c r="A483" s="25"/>
      <c r="F483" s="25"/>
      <c r="G483" s="25"/>
      <c r="H483" s="25"/>
      <c r="I483" s="25"/>
      <c r="J483" s="25"/>
      <c r="K483" s="25"/>
      <c r="L483" s="25"/>
      <c r="M483" s="25"/>
      <c r="N483" s="25"/>
      <c r="O483" s="25"/>
      <c r="P483" s="25"/>
      <c r="Q483" s="25"/>
      <c r="R483" s="25"/>
      <c r="S483" s="25"/>
      <c r="T483" s="25"/>
      <c r="U483" s="25"/>
      <c r="V483" s="25"/>
      <c r="W483" s="25"/>
      <c r="X483" s="68">
        <f t="shared" si="21"/>
        <v>1900</v>
      </c>
      <c r="Y483" s="25">
        <f t="shared" si="22"/>
        <v>1</v>
      </c>
      <c r="Z483" s="68">
        <f t="shared" si="23"/>
        <v>0</v>
      </c>
    </row>
    <row r="484" ht="13.85" spans="1:26">
      <c r="A484" s="25"/>
      <c r="F484" s="25"/>
      <c r="G484" s="25"/>
      <c r="H484" s="25"/>
      <c r="I484" s="25"/>
      <c r="J484" s="25"/>
      <c r="K484" s="25"/>
      <c r="L484" s="25"/>
      <c r="M484" s="25"/>
      <c r="N484" s="25"/>
      <c r="O484" s="25"/>
      <c r="P484" s="25"/>
      <c r="Q484" s="25"/>
      <c r="R484" s="25"/>
      <c r="S484" s="25"/>
      <c r="T484" s="25"/>
      <c r="U484" s="25"/>
      <c r="V484" s="25"/>
      <c r="W484" s="25"/>
      <c r="X484" s="68">
        <f t="shared" si="21"/>
        <v>1900</v>
      </c>
      <c r="Y484" s="25">
        <f t="shared" si="22"/>
        <v>1</v>
      </c>
      <c r="Z484" s="68">
        <f t="shared" si="23"/>
        <v>0</v>
      </c>
    </row>
    <row r="485" ht="13.85" spans="1:26">
      <c r="A485" s="25"/>
      <c r="F485" s="25"/>
      <c r="G485" s="25"/>
      <c r="H485" s="25"/>
      <c r="I485" s="25"/>
      <c r="J485" s="25"/>
      <c r="K485" s="25"/>
      <c r="L485" s="25"/>
      <c r="M485" s="25"/>
      <c r="N485" s="25"/>
      <c r="O485" s="25"/>
      <c r="P485" s="25"/>
      <c r="Q485" s="25"/>
      <c r="R485" s="25"/>
      <c r="S485" s="25"/>
      <c r="T485" s="25"/>
      <c r="U485" s="25"/>
      <c r="V485" s="25"/>
      <c r="W485" s="25"/>
      <c r="X485" s="68">
        <f t="shared" si="21"/>
        <v>1900</v>
      </c>
      <c r="Y485" s="25">
        <f t="shared" si="22"/>
        <v>1</v>
      </c>
      <c r="Z485" s="68">
        <f t="shared" si="23"/>
        <v>0</v>
      </c>
    </row>
    <row r="486" ht="13.85" spans="1:26">
      <c r="A486" s="25"/>
      <c r="F486" s="25"/>
      <c r="G486" s="25"/>
      <c r="H486" s="25"/>
      <c r="I486" s="25"/>
      <c r="J486" s="25"/>
      <c r="K486" s="25"/>
      <c r="L486" s="25"/>
      <c r="M486" s="25"/>
      <c r="N486" s="25"/>
      <c r="O486" s="25"/>
      <c r="P486" s="25"/>
      <c r="Q486" s="25"/>
      <c r="R486" s="25"/>
      <c r="S486" s="25"/>
      <c r="T486" s="25"/>
      <c r="U486" s="25"/>
      <c r="V486" s="25"/>
      <c r="W486" s="25"/>
      <c r="X486" s="68">
        <f t="shared" si="21"/>
        <v>1900</v>
      </c>
      <c r="Y486" s="25">
        <f t="shared" si="22"/>
        <v>1</v>
      </c>
      <c r="Z486" s="68">
        <f t="shared" si="23"/>
        <v>0</v>
      </c>
    </row>
    <row r="487" ht="13.85" spans="1:26">
      <c r="A487" s="25"/>
      <c r="F487" s="25"/>
      <c r="G487" s="25"/>
      <c r="H487" s="25"/>
      <c r="I487" s="25"/>
      <c r="J487" s="25"/>
      <c r="K487" s="25"/>
      <c r="L487" s="25"/>
      <c r="M487" s="25"/>
      <c r="N487" s="25"/>
      <c r="O487" s="25"/>
      <c r="P487" s="25"/>
      <c r="Q487" s="25"/>
      <c r="R487" s="25"/>
      <c r="S487" s="25"/>
      <c r="T487" s="25"/>
      <c r="U487" s="25"/>
      <c r="V487" s="25"/>
      <c r="W487" s="25"/>
      <c r="X487" s="68">
        <f t="shared" si="21"/>
        <v>1900</v>
      </c>
      <c r="Y487" s="25">
        <f t="shared" si="22"/>
        <v>1</v>
      </c>
      <c r="Z487" s="68">
        <f t="shared" si="23"/>
        <v>0</v>
      </c>
    </row>
    <row r="488" ht="13.85" spans="1:26">
      <c r="A488" s="25"/>
      <c r="F488" s="25"/>
      <c r="G488" s="25"/>
      <c r="H488" s="25"/>
      <c r="I488" s="25"/>
      <c r="J488" s="25"/>
      <c r="K488" s="25"/>
      <c r="L488" s="25"/>
      <c r="M488" s="25"/>
      <c r="N488" s="25"/>
      <c r="O488" s="25"/>
      <c r="P488" s="25"/>
      <c r="Q488" s="25"/>
      <c r="R488" s="25"/>
      <c r="S488" s="25"/>
      <c r="T488" s="25"/>
      <c r="U488" s="25"/>
      <c r="V488" s="25"/>
      <c r="W488" s="25"/>
      <c r="X488" s="68">
        <f t="shared" si="21"/>
        <v>1900</v>
      </c>
      <c r="Y488" s="25">
        <f t="shared" si="22"/>
        <v>1</v>
      </c>
      <c r="Z488" s="68">
        <f t="shared" si="23"/>
        <v>0</v>
      </c>
    </row>
    <row r="489" ht="13.85" spans="1:26">
      <c r="A489" s="25"/>
      <c r="F489" s="25"/>
      <c r="G489" s="25"/>
      <c r="H489" s="25"/>
      <c r="I489" s="25"/>
      <c r="J489" s="25"/>
      <c r="K489" s="25"/>
      <c r="L489" s="25"/>
      <c r="M489" s="25"/>
      <c r="N489" s="25"/>
      <c r="O489" s="25"/>
      <c r="P489" s="25"/>
      <c r="Q489" s="25"/>
      <c r="R489" s="25"/>
      <c r="S489" s="25"/>
      <c r="T489" s="25"/>
      <c r="U489" s="25"/>
      <c r="V489" s="25"/>
      <c r="W489" s="25"/>
      <c r="X489" s="68">
        <f t="shared" si="21"/>
        <v>1900</v>
      </c>
      <c r="Y489" s="25">
        <f t="shared" si="22"/>
        <v>1</v>
      </c>
      <c r="Z489" s="68">
        <f t="shared" si="23"/>
        <v>0</v>
      </c>
    </row>
    <row r="490" ht="13.85" spans="1:26">
      <c r="A490" s="25"/>
      <c r="F490" s="25"/>
      <c r="G490" s="25"/>
      <c r="H490" s="25"/>
      <c r="I490" s="25"/>
      <c r="J490" s="25"/>
      <c r="K490" s="25"/>
      <c r="L490" s="25"/>
      <c r="M490" s="25"/>
      <c r="N490" s="25"/>
      <c r="O490" s="25"/>
      <c r="P490" s="25"/>
      <c r="Q490" s="25"/>
      <c r="R490" s="25"/>
      <c r="S490" s="25"/>
      <c r="T490" s="25"/>
      <c r="U490" s="25"/>
      <c r="V490" s="25"/>
      <c r="W490" s="25"/>
      <c r="X490" s="68">
        <f t="shared" si="21"/>
        <v>1900</v>
      </c>
      <c r="Y490" s="25">
        <f t="shared" si="22"/>
        <v>1</v>
      </c>
      <c r="Z490" s="68">
        <f t="shared" si="23"/>
        <v>0</v>
      </c>
    </row>
    <row r="491" ht="13.85" spans="1:26">
      <c r="A491" s="25"/>
      <c r="F491" s="25"/>
      <c r="G491" s="25"/>
      <c r="H491" s="25"/>
      <c r="I491" s="25"/>
      <c r="J491" s="25"/>
      <c r="K491" s="25"/>
      <c r="L491" s="25"/>
      <c r="M491" s="25"/>
      <c r="N491" s="25"/>
      <c r="O491" s="25"/>
      <c r="P491" s="25"/>
      <c r="Q491" s="25"/>
      <c r="R491" s="25"/>
      <c r="S491" s="25"/>
      <c r="T491" s="25"/>
      <c r="U491" s="25"/>
      <c r="V491" s="25"/>
      <c r="W491" s="25"/>
      <c r="X491" s="68">
        <f t="shared" si="21"/>
        <v>1900</v>
      </c>
      <c r="Y491" s="25">
        <f t="shared" si="22"/>
        <v>1</v>
      </c>
      <c r="Z491" s="68">
        <f t="shared" si="23"/>
        <v>0</v>
      </c>
    </row>
    <row r="492" ht="13.85" spans="1:26">
      <c r="A492" s="25"/>
      <c r="F492" s="25"/>
      <c r="G492" s="25"/>
      <c r="H492" s="25"/>
      <c r="I492" s="25"/>
      <c r="J492" s="25"/>
      <c r="K492" s="25"/>
      <c r="L492" s="25"/>
      <c r="M492" s="25"/>
      <c r="N492" s="25"/>
      <c r="O492" s="25"/>
      <c r="P492" s="25"/>
      <c r="Q492" s="25"/>
      <c r="R492" s="25"/>
      <c r="S492" s="25"/>
      <c r="T492" s="25"/>
      <c r="U492" s="25"/>
      <c r="V492" s="25"/>
      <c r="W492" s="25"/>
      <c r="X492" s="68">
        <f t="shared" si="21"/>
        <v>1900</v>
      </c>
      <c r="Y492" s="25">
        <f t="shared" si="22"/>
        <v>1</v>
      </c>
      <c r="Z492" s="68">
        <f t="shared" si="23"/>
        <v>0</v>
      </c>
    </row>
    <row r="493" ht="13.85" spans="1:26">
      <c r="A493" s="25"/>
      <c r="F493" s="25"/>
      <c r="G493" s="25"/>
      <c r="H493" s="25"/>
      <c r="I493" s="25"/>
      <c r="J493" s="25"/>
      <c r="K493" s="25"/>
      <c r="L493" s="25"/>
      <c r="M493" s="25"/>
      <c r="N493" s="25"/>
      <c r="O493" s="25"/>
      <c r="P493" s="25"/>
      <c r="Q493" s="25"/>
      <c r="R493" s="25"/>
      <c r="S493" s="25"/>
      <c r="T493" s="25"/>
      <c r="U493" s="25"/>
      <c r="V493" s="25"/>
      <c r="W493" s="25"/>
      <c r="X493" s="68">
        <f t="shared" si="21"/>
        <v>1900</v>
      </c>
      <c r="Y493" s="25">
        <f t="shared" si="22"/>
        <v>1</v>
      </c>
      <c r="Z493" s="68">
        <f t="shared" si="23"/>
        <v>0</v>
      </c>
    </row>
    <row r="494" ht="13.85" spans="1:26">
      <c r="A494" s="25"/>
      <c r="F494" s="25"/>
      <c r="G494" s="25"/>
      <c r="H494" s="25"/>
      <c r="I494" s="25"/>
      <c r="J494" s="25"/>
      <c r="K494" s="25"/>
      <c r="L494" s="25"/>
      <c r="M494" s="25"/>
      <c r="N494" s="25"/>
      <c r="O494" s="25"/>
      <c r="P494" s="25"/>
      <c r="Q494" s="25"/>
      <c r="R494" s="25"/>
      <c r="S494" s="25"/>
      <c r="T494" s="25"/>
      <c r="U494" s="25"/>
      <c r="V494" s="25"/>
      <c r="W494" s="25"/>
      <c r="X494" s="68">
        <f t="shared" si="21"/>
        <v>1900</v>
      </c>
      <c r="Y494" s="25">
        <f t="shared" si="22"/>
        <v>1</v>
      </c>
      <c r="Z494" s="68">
        <f t="shared" si="23"/>
        <v>0</v>
      </c>
    </row>
    <row r="495" ht="13.85" spans="1:26">
      <c r="A495" s="25"/>
      <c r="F495" s="25"/>
      <c r="G495" s="25"/>
      <c r="H495" s="25"/>
      <c r="I495" s="25"/>
      <c r="J495" s="25"/>
      <c r="K495" s="25"/>
      <c r="L495" s="25"/>
      <c r="M495" s="25"/>
      <c r="N495" s="25"/>
      <c r="O495" s="25"/>
      <c r="P495" s="25"/>
      <c r="Q495" s="25"/>
      <c r="R495" s="25"/>
      <c r="S495" s="25"/>
      <c r="T495" s="25"/>
      <c r="U495" s="25"/>
      <c r="V495" s="25"/>
      <c r="W495" s="25"/>
      <c r="X495" s="68">
        <f t="shared" si="21"/>
        <v>1900</v>
      </c>
      <c r="Y495" s="25">
        <f t="shared" si="22"/>
        <v>1</v>
      </c>
      <c r="Z495" s="68">
        <f t="shared" si="23"/>
        <v>0</v>
      </c>
    </row>
    <row r="496" ht="13.85" spans="1:26">
      <c r="A496" s="25"/>
      <c r="F496" s="25"/>
      <c r="G496" s="25"/>
      <c r="H496" s="25"/>
      <c r="I496" s="25"/>
      <c r="J496" s="25"/>
      <c r="K496" s="25"/>
      <c r="L496" s="25"/>
      <c r="M496" s="25"/>
      <c r="N496" s="25"/>
      <c r="O496" s="25"/>
      <c r="P496" s="25"/>
      <c r="Q496" s="25"/>
      <c r="R496" s="25"/>
      <c r="S496" s="25"/>
      <c r="T496" s="25"/>
      <c r="U496" s="25"/>
      <c r="V496" s="25"/>
      <c r="W496" s="25"/>
      <c r="X496" s="68">
        <f t="shared" si="21"/>
        <v>1900</v>
      </c>
      <c r="Y496" s="25">
        <f t="shared" si="22"/>
        <v>1</v>
      </c>
      <c r="Z496" s="68">
        <f t="shared" si="23"/>
        <v>0</v>
      </c>
    </row>
    <row r="497" ht="13.85" spans="1:26">
      <c r="A497" s="25"/>
      <c r="F497" s="25"/>
      <c r="G497" s="25"/>
      <c r="H497" s="25"/>
      <c r="I497" s="25"/>
      <c r="J497" s="25"/>
      <c r="K497" s="25"/>
      <c r="L497" s="25"/>
      <c r="M497" s="25"/>
      <c r="N497" s="25"/>
      <c r="O497" s="25"/>
      <c r="P497" s="25"/>
      <c r="Q497" s="25"/>
      <c r="R497" s="25"/>
      <c r="S497" s="25"/>
      <c r="T497" s="25"/>
      <c r="U497" s="25"/>
      <c r="V497" s="25"/>
      <c r="W497" s="25"/>
      <c r="X497" s="68">
        <f t="shared" si="21"/>
        <v>1900</v>
      </c>
      <c r="Y497" s="25">
        <f t="shared" si="22"/>
        <v>1</v>
      </c>
      <c r="Z497" s="68">
        <f t="shared" si="23"/>
        <v>0</v>
      </c>
    </row>
    <row r="498" ht="13.85" spans="1:26">
      <c r="A498" s="25"/>
      <c r="F498" s="25"/>
      <c r="G498" s="25"/>
      <c r="H498" s="25"/>
      <c r="I498" s="25"/>
      <c r="J498" s="25"/>
      <c r="K498" s="25"/>
      <c r="L498" s="25"/>
      <c r="M498" s="25"/>
      <c r="N498" s="25"/>
      <c r="O498" s="25"/>
      <c r="P498" s="25"/>
      <c r="Q498" s="25"/>
      <c r="R498" s="25"/>
      <c r="S498" s="25"/>
      <c r="T498" s="25"/>
      <c r="U498" s="25"/>
      <c r="V498" s="25"/>
      <c r="W498" s="25"/>
      <c r="X498" s="68">
        <f t="shared" si="21"/>
        <v>1900</v>
      </c>
      <c r="Y498" s="25">
        <f t="shared" si="22"/>
        <v>1</v>
      </c>
      <c r="Z498" s="68">
        <f t="shared" si="23"/>
        <v>0</v>
      </c>
    </row>
    <row r="499" ht="13.85" spans="1:26">
      <c r="A499" s="25"/>
      <c r="F499" s="25"/>
      <c r="G499" s="25"/>
      <c r="H499" s="25"/>
      <c r="I499" s="25"/>
      <c r="J499" s="25"/>
      <c r="K499" s="25"/>
      <c r="L499" s="25"/>
      <c r="M499" s="25"/>
      <c r="N499" s="25"/>
      <c r="O499" s="25"/>
      <c r="P499" s="25"/>
      <c r="Q499" s="25"/>
      <c r="R499" s="25"/>
      <c r="S499" s="25"/>
      <c r="T499" s="25"/>
      <c r="U499" s="25"/>
      <c r="V499" s="25"/>
      <c r="W499" s="25"/>
      <c r="X499" s="68">
        <f t="shared" si="21"/>
        <v>1900</v>
      </c>
      <c r="Y499" s="25">
        <f t="shared" si="22"/>
        <v>1</v>
      </c>
      <c r="Z499" s="68">
        <f t="shared" si="23"/>
        <v>0</v>
      </c>
    </row>
    <row r="500" ht="13.85" spans="1:26">
      <c r="A500" s="25"/>
      <c r="F500" s="25"/>
      <c r="G500" s="25"/>
      <c r="H500" s="25"/>
      <c r="I500" s="25"/>
      <c r="J500" s="25"/>
      <c r="K500" s="25"/>
      <c r="L500" s="25"/>
      <c r="M500" s="25"/>
      <c r="N500" s="25"/>
      <c r="O500" s="25"/>
      <c r="P500" s="25"/>
      <c r="Q500" s="25"/>
      <c r="R500" s="25"/>
      <c r="S500" s="25"/>
      <c r="T500" s="25"/>
      <c r="U500" s="25"/>
      <c r="V500" s="25"/>
      <c r="W500" s="25"/>
      <c r="X500" s="68">
        <f t="shared" si="21"/>
        <v>1900</v>
      </c>
      <c r="Y500" s="25">
        <f t="shared" si="22"/>
        <v>1</v>
      </c>
      <c r="Z500" s="68">
        <f t="shared" si="23"/>
        <v>0</v>
      </c>
    </row>
    <row r="501" ht="13.85" spans="1:26">
      <c r="A501" s="25"/>
      <c r="F501" s="25"/>
      <c r="G501" s="25"/>
      <c r="H501" s="25"/>
      <c r="I501" s="25"/>
      <c r="J501" s="25"/>
      <c r="K501" s="25"/>
      <c r="L501" s="25"/>
      <c r="M501" s="25"/>
      <c r="N501" s="25"/>
      <c r="O501" s="25"/>
      <c r="P501" s="25"/>
      <c r="Q501" s="25"/>
      <c r="R501" s="25"/>
      <c r="S501" s="25"/>
      <c r="T501" s="25"/>
      <c r="U501" s="25"/>
      <c r="V501" s="25"/>
      <c r="W501" s="25"/>
      <c r="X501" s="68">
        <f t="shared" si="21"/>
        <v>1900</v>
      </c>
      <c r="Y501" s="25">
        <f t="shared" si="22"/>
        <v>1</v>
      </c>
      <c r="Z501" s="68">
        <f t="shared" si="23"/>
        <v>0</v>
      </c>
    </row>
    <row r="502" ht="13.85" spans="1:26">
      <c r="A502" s="25"/>
      <c r="F502" s="25"/>
      <c r="G502" s="25"/>
      <c r="H502" s="25"/>
      <c r="I502" s="25"/>
      <c r="J502" s="25"/>
      <c r="K502" s="25"/>
      <c r="L502" s="25"/>
      <c r="M502" s="25"/>
      <c r="N502" s="25"/>
      <c r="O502" s="25"/>
      <c r="P502" s="25"/>
      <c r="Q502" s="25"/>
      <c r="R502" s="25"/>
      <c r="S502" s="25"/>
      <c r="T502" s="25"/>
      <c r="U502" s="25"/>
      <c r="V502" s="25"/>
      <c r="W502" s="25"/>
      <c r="X502" s="68">
        <f t="shared" si="21"/>
        <v>1900</v>
      </c>
      <c r="Y502" s="25">
        <f t="shared" si="22"/>
        <v>1</v>
      </c>
      <c r="Z502" s="68">
        <f t="shared" si="23"/>
        <v>0</v>
      </c>
    </row>
    <row r="503" ht="13.85" spans="1:26">
      <c r="A503" s="25"/>
      <c r="F503" s="25"/>
      <c r="G503" s="25"/>
      <c r="H503" s="25"/>
      <c r="I503" s="25"/>
      <c r="J503" s="25"/>
      <c r="K503" s="25"/>
      <c r="L503" s="25"/>
      <c r="M503" s="25"/>
      <c r="N503" s="25"/>
      <c r="O503" s="25"/>
      <c r="P503" s="25"/>
      <c r="Q503" s="25"/>
      <c r="R503" s="25"/>
      <c r="S503" s="25"/>
      <c r="T503" s="25"/>
      <c r="U503" s="25"/>
      <c r="V503" s="25"/>
      <c r="W503" s="25"/>
      <c r="X503" s="68">
        <f t="shared" si="21"/>
        <v>1900</v>
      </c>
      <c r="Y503" s="25">
        <f t="shared" si="22"/>
        <v>1</v>
      </c>
      <c r="Z503" s="68">
        <f t="shared" si="23"/>
        <v>0</v>
      </c>
    </row>
    <row r="504" ht="13.85" spans="1:26">
      <c r="A504" s="25"/>
      <c r="F504" s="25"/>
      <c r="G504" s="25"/>
      <c r="H504" s="25"/>
      <c r="I504" s="25"/>
      <c r="J504" s="25"/>
      <c r="K504" s="25"/>
      <c r="L504" s="25"/>
      <c r="M504" s="25"/>
      <c r="N504" s="25"/>
      <c r="O504" s="25"/>
      <c r="P504" s="25"/>
      <c r="Q504" s="25"/>
      <c r="R504" s="25"/>
      <c r="S504" s="25"/>
      <c r="T504" s="25"/>
      <c r="U504" s="25"/>
      <c r="V504" s="25"/>
      <c r="W504" s="25"/>
      <c r="X504" s="68">
        <f t="shared" si="21"/>
        <v>1900</v>
      </c>
      <c r="Y504" s="25">
        <f t="shared" si="22"/>
        <v>1</v>
      </c>
      <c r="Z504" s="68">
        <f t="shared" si="23"/>
        <v>0</v>
      </c>
    </row>
    <row r="505" ht="13.85" spans="1:26">
      <c r="A505" s="25"/>
      <c r="F505" s="25"/>
      <c r="G505" s="25"/>
      <c r="H505" s="25"/>
      <c r="I505" s="25"/>
      <c r="J505" s="25"/>
      <c r="K505" s="25"/>
      <c r="L505" s="25"/>
      <c r="M505" s="25"/>
      <c r="N505" s="25"/>
      <c r="O505" s="25"/>
      <c r="P505" s="25"/>
      <c r="Q505" s="25"/>
      <c r="R505" s="25"/>
      <c r="S505" s="25"/>
      <c r="T505" s="25"/>
      <c r="U505" s="25"/>
      <c r="V505" s="25"/>
      <c r="W505" s="25"/>
      <c r="X505" s="68">
        <f t="shared" si="21"/>
        <v>1900</v>
      </c>
      <c r="Y505" s="25">
        <f t="shared" si="22"/>
        <v>1</v>
      </c>
      <c r="Z505" s="68">
        <f t="shared" si="23"/>
        <v>0</v>
      </c>
    </row>
    <row r="506" ht="13.85" spans="1:26">
      <c r="A506" s="25"/>
      <c r="F506" s="25"/>
      <c r="G506" s="25"/>
      <c r="H506" s="25"/>
      <c r="I506" s="25"/>
      <c r="J506" s="25"/>
      <c r="K506" s="25"/>
      <c r="L506" s="25"/>
      <c r="M506" s="25"/>
      <c r="N506" s="25"/>
      <c r="O506" s="25"/>
      <c r="P506" s="25"/>
      <c r="Q506" s="25"/>
      <c r="R506" s="25"/>
      <c r="S506" s="25"/>
      <c r="T506" s="25"/>
      <c r="U506" s="25"/>
      <c r="V506" s="25"/>
      <c r="W506" s="25"/>
      <c r="X506" s="68">
        <f t="shared" si="21"/>
        <v>1900</v>
      </c>
      <c r="Y506" s="25">
        <f t="shared" si="22"/>
        <v>1</v>
      </c>
      <c r="Z506" s="68">
        <f t="shared" si="23"/>
        <v>0</v>
      </c>
    </row>
    <row r="507" ht="13.85" spans="1:26">
      <c r="A507" s="25"/>
      <c r="F507" s="25"/>
      <c r="G507" s="25"/>
      <c r="H507" s="25"/>
      <c r="I507" s="25"/>
      <c r="J507" s="25"/>
      <c r="K507" s="25"/>
      <c r="L507" s="25"/>
      <c r="M507" s="25"/>
      <c r="N507" s="25"/>
      <c r="O507" s="25"/>
      <c r="P507" s="25"/>
      <c r="Q507" s="25"/>
      <c r="R507" s="25"/>
      <c r="S507" s="25"/>
      <c r="T507" s="25"/>
      <c r="U507" s="25"/>
      <c r="V507" s="25"/>
      <c r="W507" s="25"/>
      <c r="X507" s="68">
        <f t="shared" si="21"/>
        <v>1900</v>
      </c>
      <c r="Y507" s="25">
        <f t="shared" si="22"/>
        <v>1</v>
      </c>
      <c r="Z507" s="68">
        <f t="shared" si="23"/>
        <v>0</v>
      </c>
    </row>
    <row r="508" ht="13.85" spans="1:26">
      <c r="A508" s="25"/>
      <c r="F508" s="25"/>
      <c r="G508" s="25"/>
      <c r="H508" s="25"/>
      <c r="I508" s="25"/>
      <c r="J508" s="25"/>
      <c r="K508" s="25"/>
      <c r="L508" s="25"/>
      <c r="M508" s="25"/>
      <c r="N508" s="25"/>
      <c r="O508" s="25"/>
      <c r="P508" s="25"/>
      <c r="Q508" s="25"/>
      <c r="R508" s="25"/>
      <c r="S508" s="25"/>
      <c r="T508" s="25"/>
      <c r="U508" s="25"/>
      <c r="V508" s="25"/>
      <c r="W508" s="25"/>
      <c r="X508" s="68">
        <f t="shared" si="21"/>
        <v>1900</v>
      </c>
      <c r="Y508" s="25">
        <f t="shared" si="22"/>
        <v>1</v>
      </c>
      <c r="Z508" s="68">
        <f t="shared" si="23"/>
        <v>0</v>
      </c>
    </row>
    <row r="509" ht="13.85" spans="1:26">
      <c r="A509" s="25"/>
      <c r="F509" s="25"/>
      <c r="G509" s="25"/>
      <c r="H509" s="25"/>
      <c r="I509" s="25"/>
      <c r="J509" s="25"/>
      <c r="K509" s="25"/>
      <c r="L509" s="25"/>
      <c r="M509" s="25"/>
      <c r="N509" s="25"/>
      <c r="O509" s="25"/>
      <c r="P509" s="25"/>
      <c r="Q509" s="25"/>
      <c r="R509" s="25"/>
      <c r="S509" s="25"/>
      <c r="T509" s="25"/>
      <c r="U509" s="25"/>
      <c r="V509" s="25"/>
      <c r="W509" s="25"/>
      <c r="X509" s="68">
        <f t="shared" si="21"/>
        <v>1900</v>
      </c>
      <c r="Y509" s="25">
        <f t="shared" si="22"/>
        <v>1</v>
      </c>
      <c r="Z509" s="68">
        <f t="shared" si="23"/>
        <v>0</v>
      </c>
    </row>
    <row r="510" ht="13.85" spans="1:26">
      <c r="A510" s="25"/>
      <c r="F510" s="25"/>
      <c r="G510" s="25"/>
      <c r="H510" s="25"/>
      <c r="I510" s="25"/>
      <c r="J510" s="25"/>
      <c r="K510" s="25"/>
      <c r="L510" s="25"/>
      <c r="M510" s="25"/>
      <c r="N510" s="25"/>
      <c r="O510" s="25"/>
      <c r="P510" s="25"/>
      <c r="Q510" s="25"/>
      <c r="R510" s="25"/>
      <c r="S510" s="25"/>
      <c r="T510" s="25"/>
      <c r="U510" s="25"/>
      <c r="V510" s="25"/>
      <c r="W510" s="25"/>
      <c r="X510" s="68">
        <f t="shared" si="21"/>
        <v>1900</v>
      </c>
      <c r="Y510" s="25">
        <f t="shared" si="22"/>
        <v>1</v>
      </c>
      <c r="Z510" s="68">
        <f t="shared" si="23"/>
        <v>0</v>
      </c>
    </row>
    <row r="511" ht="13.85" spans="1:26">
      <c r="A511" s="25"/>
      <c r="F511" s="25"/>
      <c r="G511" s="25"/>
      <c r="H511" s="25"/>
      <c r="I511" s="25"/>
      <c r="J511" s="25"/>
      <c r="K511" s="25"/>
      <c r="L511" s="25"/>
      <c r="M511" s="25"/>
      <c r="N511" s="25"/>
      <c r="O511" s="25"/>
      <c r="P511" s="25"/>
      <c r="Q511" s="25"/>
      <c r="R511" s="25"/>
      <c r="S511" s="25"/>
      <c r="T511" s="25"/>
      <c r="U511" s="25"/>
      <c r="V511" s="25"/>
      <c r="W511" s="25"/>
      <c r="X511" s="68">
        <f t="shared" si="21"/>
        <v>1900</v>
      </c>
      <c r="Y511" s="25">
        <f t="shared" si="22"/>
        <v>1</v>
      </c>
      <c r="Z511" s="68">
        <f t="shared" si="23"/>
        <v>0</v>
      </c>
    </row>
    <row r="512" ht="13.85" spans="1:26">
      <c r="A512" s="25"/>
      <c r="F512" s="25"/>
      <c r="G512" s="25"/>
      <c r="H512" s="25"/>
      <c r="I512" s="25"/>
      <c r="J512" s="25"/>
      <c r="K512" s="25"/>
      <c r="L512" s="25"/>
      <c r="M512" s="25"/>
      <c r="N512" s="25"/>
      <c r="O512" s="25"/>
      <c r="P512" s="25"/>
      <c r="Q512" s="25"/>
      <c r="R512" s="25"/>
      <c r="S512" s="25"/>
      <c r="T512" s="25"/>
      <c r="U512" s="25"/>
      <c r="V512" s="25"/>
      <c r="W512" s="25"/>
      <c r="X512" s="68">
        <f t="shared" si="21"/>
        <v>1900</v>
      </c>
      <c r="Y512" s="25">
        <f t="shared" si="22"/>
        <v>1</v>
      </c>
      <c r="Z512" s="68">
        <f t="shared" si="23"/>
        <v>0</v>
      </c>
    </row>
    <row r="513" ht="13.85" spans="1:26">
      <c r="A513" s="25"/>
      <c r="F513" s="25"/>
      <c r="G513" s="25"/>
      <c r="H513" s="25"/>
      <c r="I513" s="25"/>
      <c r="J513" s="25"/>
      <c r="K513" s="25"/>
      <c r="L513" s="25"/>
      <c r="M513" s="25"/>
      <c r="N513" s="25"/>
      <c r="O513" s="25"/>
      <c r="P513" s="25"/>
      <c r="Q513" s="25"/>
      <c r="R513" s="25"/>
      <c r="S513" s="25"/>
      <c r="T513" s="25"/>
      <c r="U513" s="25"/>
      <c r="V513" s="25"/>
      <c r="W513" s="25"/>
      <c r="X513" s="68">
        <f t="shared" si="21"/>
        <v>1900</v>
      </c>
      <c r="Y513" s="25">
        <f t="shared" si="22"/>
        <v>1</v>
      </c>
      <c r="Z513" s="68">
        <f t="shared" si="23"/>
        <v>0</v>
      </c>
    </row>
    <row r="514" ht="13.85" spans="1:26">
      <c r="A514" s="25"/>
      <c r="F514" s="25"/>
      <c r="G514" s="25"/>
      <c r="H514" s="25"/>
      <c r="I514" s="25"/>
      <c r="J514" s="25"/>
      <c r="K514" s="25"/>
      <c r="L514" s="25"/>
      <c r="M514" s="25"/>
      <c r="N514" s="25"/>
      <c r="O514" s="25"/>
      <c r="P514" s="25"/>
      <c r="Q514" s="25"/>
      <c r="R514" s="25"/>
      <c r="S514" s="25"/>
      <c r="T514" s="25"/>
      <c r="U514" s="25"/>
      <c r="V514" s="25"/>
      <c r="W514" s="25"/>
      <c r="X514" s="68">
        <f t="shared" ref="X514:X577" si="24">YEAR(C514)</f>
        <v>1900</v>
      </c>
      <c r="Y514" s="25">
        <f t="shared" ref="Y514:Y577" si="25">MONTH(C514)</f>
        <v>1</v>
      </c>
      <c r="Z514" s="68">
        <f t="shared" ref="Z514:Z577" si="26">DAY(C514)</f>
        <v>0</v>
      </c>
    </row>
    <row r="515" ht="13.85" spans="1:26">
      <c r="A515" s="25"/>
      <c r="F515" s="25"/>
      <c r="G515" s="25"/>
      <c r="H515" s="25"/>
      <c r="I515" s="25"/>
      <c r="J515" s="25"/>
      <c r="K515" s="25"/>
      <c r="L515" s="25"/>
      <c r="M515" s="25"/>
      <c r="N515" s="25"/>
      <c r="O515" s="25"/>
      <c r="P515" s="25"/>
      <c r="Q515" s="25"/>
      <c r="R515" s="25"/>
      <c r="S515" s="25"/>
      <c r="T515" s="25"/>
      <c r="U515" s="25"/>
      <c r="V515" s="25"/>
      <c r="W515" s="25"/>
      <c r="X515" s="68">
        <f t="shared" si="24"/>
        <v>1900</v>
      </c>
      <c r="Y515" s="25">
        <f t="shared" si="25"/>
        <v>1</v>
      </c>
      <c r="Z515" s="68">
        <f t="shared" si="26"/>
        <v>0</v>
      </c>
    </row>
    <row r="516" ht="13.85" spans="1:26">
      <c r="A516" s="25"/>
      <c r="F516" s="25"/>
      <c r="G516" s="25"/>
      <c r="H516" s="25"/>
      <c r="I516" s="25"/>
      <c r="J516" s="25"/>
      <c r="K516" s="25"/>
      <c r="L516" s="25"/>
      <c r="M516" s="25"/>
      <c r="N516" s="25"/>
      <c r="O516" s="25"/>
      <c r="P516" s="25"/>
      <c r="Q516" s="25"/>
      <c r="R516" s="25"/>
      <c r="S516" s="25"/>
      <c r="T516" s="25"/>
      <c r="U516" s="25"/>
      <c r="V516" s="25"/>
      <c r="W516" s="25"/>
      <c r="X516" s="68">
        <f t="shared" si="24"/>
        <v>1900</v>
      </c>
      <c r="Y516" s="25">
        <f t="shared" si="25"/>
        <v>1</v>
      </c>
      <c r="Z516" s="68">
        <f t="shared" si="26"/>
        <v>0</v>
      </c>
    </row>
    <row r="517" ht="13.85" spans="1:26">
      <c r="A517" s="25"/>
      <c r="F517" s="25"/>
      <c r="G517" s="25"/>
      <c r="H517" s="25"/>
      <c r="I517" s="25"/>
      <c r="J517" s="25"/>
      <c r="K517" s="25"/>
      <c r="L517" s="25"/>
      <c r="M517" s="25"/>
      <c r="N517" s="25"/>
      <c r="O517" s="25"/>
      <c r="P517" s="25"/>
      <c r="Q517" s="25"/>
      <c r="R517" s="25"/>
      <c r="S517" s="25"/>
      <c r="T517" s="25"/>
      <c r="U517" s="25"/>
      <c r="V517" s="25"/>
      <c r="W517" s="25"/>
      <c r="X517" s="68">
        <f t="shared" si="24"/>
        <v>1900</v>
      </c>
      <c r="Y517" s="25">
        <f t="shared" si="25"/>
        <v>1</v>
      </c>
      <c r="Z517" s="68">
        <f t="shared" si="26"/>
        <v>0</v>
      </c>
    </row>
    <row r="518" ht="13.85" spans="1:26">
      <c r="A518" s="25"/>
      <c r="F518" s="25"/>
      <c r="G518" s="25"/>
      <c r="H518" s="25"/>
      <c r="I518" s="25"/>
      <c r="J518" s="25"/>
      <c r="K518" s="25"/>
      <c r="L518" s="25"/>
      <c r="M518" s="25"/>
      <c r="N518" s="25"/>
      <c r="O518" s="25"/>
      <c r="P518" s="25"/>
      <c r="Q518" s="25"/>
      <c r="R518" s="25"/>
      <c r="S518" s="25"/>
      <c r="T518" s="25"/>
      <c r="U518" s="25"/>
      <c r="V518" s="25"/>
      <c r="W518" s="25"/>
      <c r="X518" s="68">
        <f t="shared" si="24"/>
        <v>1900</v>
      </c>
      <c r="Y518" s="25">
        <f t="shared" si="25"/>
        <v>1</v>
      </c>
      <c r="Z518" s="68">
        <f t="shared" si="26"/>
        <v>0</v>
      </c>
    </row>
    <row r="519" ht="13.85" spans="1:26">
      <c r="A519" s="25"/>
      <c r="F519" s="25"/>
      <c r="G519" s="25"/>
      <c r="H519" s="25"/>
      <c r="I519" s="25"/>
      <c r="J519" s="25"/>
      <c r="K519" s="25"/>
      <c r="L519" s="25"/>
      <c r="M519" s="25"/>
      <c r="N519" s="25"/>
      <c r="O519" s="25"/>
      <c r="P519" s="25"/>
      <c r="Q519" s="25"/>
      <c r="R519" s="25"/>
      <c r="S519" s="25"/>
      <c r="T519" s="25"/>
      <c r="U519" s="25"/>
      <c r="V519" s="25"/>
      <c r="W519" s="25"/>
      <c r="X519" s="68">
        <f t="shared" si="24"/>
        <v>1900</v>
      </c>
      <c r="Y519" s="25">
        <f t="shared" si="25"/>
        <v>1</v>
      </c>
      <c r="Z519" s="68">
        <f t="shared" si="26"/>
        <v>0</v>
      </c>
    </row>
    <row r="520" ht="13.85" spans="1:26">
      <c r="A520" s="25"/>
      <c r="F520" s="25"/>
      <c r="G520" s="25"/>
      <c r="H520" s="25"/>
      <c r="I520" s="25"/>
      <c r="J520" s="25"/>
      <c r="K520" s="25"/>
      <c r="L520" s="25"/>
      <c r="M520" s="25"/>
      <c r="N520" s="25"/>
      <c r="O520" s="25"/>
      <c r="P520" s="25"/>
      <c r="Q520" s="25"/>
      <c r="R520" s="25"/>
      <c r="S520" s="25"/>
      <c r="T520" s="25"/>
      <c r="U520" s="25"/>
      <c r="V520" s="25"/>
      <c r="W520" s="25"/>
      <c r="X520" s="68">
        <f t="shared" si="24"/>
        <v>1900</v>
      </c>
      <c r="Y520" s="25">
        <f t="shared" si="25"/>
        <v>1</v>
      </c>
      <c r="Z520" s="68">
        <f t="shared" si="26"/>
        <v>0</v>
      </c>
    </row>
    <row r="521" ht="13.85" spans="1:26">
      <c r="A521" s="25"/>
      <c r="F521" s="25"/>
      <c r="G521" s="25"/>
      <c r="H521" s="25"/>
      <c r="I521" s="25"/>
      <c r="J521" s="25"/>
      <c r="K521" s="25"/>
      <c r="L521" s="25"/>
      <c r="M521" s="25"/>
      <c r="N521" s="25"/>
      <c r="O521" s="25"/>
      <c r="P521" s="25"/>
      <c r="Q521" s="25"/>
      <c r="R521" s="25"/>
      <c r="S521" s="25"/>
      <c r="T521" s="25"/>
      <c r="U521" s="25"/>
      <c r="V521" s="25"/>
      <c r="W521" s="25"/>
      <c r="X521" s="68">
        <f t="shared" si="24"/>
        <v>1900</v>
      </c>
      <c r="Y521" s="25">
        <f t="shared" si="25"/>
        <v>1</v>
      </c>
      <c r="Z521" s="68">
        <f t="shared" si="26"/>
        <v>0</v>
      </c>
    </row>
    <row r="522" ht="13.85" spans="1:26">
      <c r="A522" s="25"/>
      <c r="F522" s="25"/>
      <c r="G522" s="25"/>
      <c r="H522" s="25"/>
      <c r="I522" s="25"/>
      <c r="J522" s="25"/>
      <c r="K522" s="25"/>
      <c r="L522" s="25"/>
      <c r="M522" s="25"/>
      <c r="N522" s="25"/>
      <c r="O522" s="25"/>
      <c r="P522" s="25"/>
      <c r="Q522" s="25"/>
      <c r="R522" s="25"/>
      <c r="S522" s="25"/>
      <c r="T522" s="25"/>
      <c r="U522" s="25"/>
      <c r="V522" s="25"/>
      <c r="W522" s="25"/>
      <c r="X522" s="68">
        <f t="shared" si="24"/>
        <v>1900</v>
      </c>
      <c r="Y522" s="25">
        <f t="shared" si="25"/>
        <v>1</v>
      </c>
      <c r="Z522" s="68">
        <f t="shared" si="26"/>
        <v>0</v>
      </c>
    </row>
    <row r="523" ht="13.85" spans="1:26">
      <c r="A523" s="25"/>
      <c r="F523" s="25"/>
      <c r="G523" s="25"/>
      <c r="H523" s="25"/>
      <c r="I523" s="25"/>
      <c r="J523" s="25"/>
      <c r="K523" s="25"/>
      <c r="L523" s="25"/>
      <c r="M523" s="25"/>
      <c r="N523" s="25"/>
      <c r="O523" s="25"/>
      <c r="P523" s="25"/>
      <c r="Q523" s="25"/>
      <c r="R523" s="25"/>
      <c r="S523" s="25"/>
      <c r="T523" s="25"/>
      <c r="U523" s="25"/>
      <c r="V523" s="25"/>
      <c r="W523" s="25"/>
      <c r="X523" s="68">
        <f t="shared" si="24"/>
        <v>1900</v>
      </c>
      <c r="Y523" s="25">
        <f t="shared" si="25"/>
        <v>1</v>
      </c>
      <c r="Z523" s="68">
        <f t="shared" si="26"/>
        <v>0</v>
      </c>
    </row>
    <row r="524" ht="13.85" spans="1:26">
      <c r="A524" s="25"/>
      <c r="F524" s="25"/>
      <c r="G524" s="25"/>
      <c r="H524" s="25"/>
      <c r="I524" s="25"/>
      <c r="J524" s="25"/>
      <c r="K524" s="25"/>
      <c r="L524" s="25"/>
      <c r="M524" s="25"/>
      <c r="N524" s="25"/>
      <c r="O524" s="25"/>
      <c r="P524" s="25"/>
      <c r="Q524" s="25"/>
      <c r="R524" s="25"/>
      <c r="S524" s="25"/>
      <c r="T524" s="25"/>
      <c r="U524" s="25"/>
      <c r="V524" s="25"/>
      <c r="W524" s="25"/>
      <c r="X524" s="68">
        <f t="shared" si="24"/>
        <v>1900</v>
      </c>
      <c r="Y524" s="25">
        <f t="shared" si="25"/>
        <v>1</v>
      </c>
      <c r="Z524" s="68">
        <f t="shared" si="26"/>
        <v>0</v>
      </c>
    </row>
    <row r="525" ht="13.85" spans="1:26">
      <c r="A525" s="25"/>
      <c r="F525" s="25"/>
      <c r="G525" s="25"/>
      <c r="H525" s="25"/>
      <c r="I525" s="25"/>
      <c r="J525" s="25"/>
      <c r="K525" s="25"/>
      <c r="L525" s="25"/>
      <c r="M525" s="25"/>
      <c r="N525" s="25"/>
      <c r="O525" s="25"/>
      <c r="P525" s="25"/>
      <c r="Q525" s="25"/>
      <c r="R525" s="25"/>
      <c r="S525" s="25"/>
      <c r="T525" s="25"/>
      <c r="U525" s="25"/>
      <c r="V525" s="25"/>
      <c r="W525" s="25"/>
      <c r="X525" s="68">
        <f t="shared" si="24"/>
        <v>1900</v>
      </c>
      <c r="Y525" s="25">
        <f t="shared" si="25"/>
        <v>1</v>
      </c>
      <c r="Z525" s="68">
        <f t="shared" si="26"/>
        <v>0</v>
      </c>
    </row>
    <row r="526" ht="13.85" spans="1:26">
      <c r="A526" s="25"/>
      <c r="F526" s="25"/>
      <c r="G526" s="25"/>
      <c r="H526" s="25"/>
      <c r="I526" s="25"/>
      <c r="J526" s="25"/>
      <c r="K526" s="25"/>
      <c r="L526" s="25"/>
      <c r="M526" s="25"/>
      <c r="N526" s="25"/>
      <c r="O526" s="25"/>
      <c r="P526" s="25"/>
      <c r="Q526" s="25"/>
      <c r="R526" s="25"/>
      <c r="S526" s="25"/>
      <c r="T526" s="25"/>
      <c r="U526" s="25"/>
      <c r="V526" s="25"/>
      <c r="W526" s="25"/>
      <c r="X526" s="68">
        <f t="shared" si="24"/>
        <v>1900</v>
      </c>
      <c r="Y526" s="25">
        <f t="shared" si="25"/>
        <v>1</v>
      </c>
      <c r="Z526" s="68">
        <f t="shared" si="26"/>
        <v>0</v>
      </c>
    </row>
    <row r="527" ht="13.85" spans="1:26">
      <c r="A527" s="25"/>
      <c r="F527" s="25"/>
      <c r="G527" s="25"/>
      <c r="H527" s="25"/>
      <c r="I527" s="25"/>
      <c r="J527" s="25"/>
      <c r="K527" s="25"/>
      <c r="L527" s="25"/>
      <c r="M527" s="25"/>
      <c r="N527" s="25"/>
      <c r="O527" s="25"/>
      <c r="P527" s="25"/>
      <c r="Q527" s="25"/>
      <c r="R527" s="25"/>
      <c r="S527" s="25"/>
      <c r="T527" s="25"/>
      <c r="U527" s="25"/>
      <c r="V527" s="25"/>
      <c r="W527" s="25"/>
      <c r="X527" s="68">
        <f t="shared" si="24"/>
        <v>1900</v>
      </c>
      <c r="Y527" s="25">
        <f t="shared" si="25"/>
        <v>1</v>
      </c>
      <c r="Z527" s="68">
        <f t="shared" si="26"/>
        <v>0</v>
      </c>
    </row>
    <row r="528" ht="13.85" spans="1:26">
      <c r="A528" s="25"/>
      <c r="F528" s="25"/>
      <c r="G528" s="25"/>
      <c r="H528" s="25"/>
      <c r="I528" s="25"/>
      <c r="J528" s="25"/>
      <c r="K528" s="25"/>
      <c r="L528" s="25"/>
      <c r="M528" s="25"/>
      <c r="N528" s="25"/>
      <c r="O528" s="25"/>
      <c r="P528" s="25"/>
      <c r="Q528" s="25"/>
      <c r="R528" s="25"/>
      <c r="S528" s="25"/>
      <c r="T528" s="25"/>
      <c r="U528" s="25"/>
      <c r="V528" s="25"/>
      <c r="W528" s="25"/>
      <c r="X528" s="68">
        <f t="shared" si="24"/>
        <v>1900</v>
      </c>
      <c r="Y528" s="25">
        <f t="shared" si="25"/>
        <v>1</v>
      </c>
      <c r="Z528" s="68">
        <f t="shared" si="26"/>
        <v>0</v>
      </c>
    </row>
    <row r="529" ht="13.85" spans="1:26">
      <c r="A529" s="25"/>
      <c r="F529" s="25"/>
      <c r="G529" s="25"/>
      <c r="H529" s="25"/>
      <c r="I529" s="25"/>
      <c r="J529" s="25"/>
      <c r="K529" s="25"/>
      <c r="L529" s="25"/>
      <c r="M529" s="25"/>
      <c r="N529" s="25"/>
      <c r="O529" s="25"/>
      <c r="P529" s="25"/>
      <c r="Q529" s="25"/>
      <c r="R529" s="25"/>
      <c r="S529" s="25"/>
      <c r="T529" s="25"/>
      <c r="U529" s="25"/>
      <c r="V529" s="25"/>
      <c r="W529" s="25"/>
      <c r="X529" s="68">
        <f t="shared" si="24"/>
        <v>1900</v>
      </c>
      <c r="Y529" s="25">
        <f t="shared" si="25"/>
        <v>1</v>
      </c>
      <c r="Z529" s="68">
        <f t="shared" si="26"/>
        <v>0</v>
      </c>
    </row>
    <row r="530" ht="13.85" spans="1:26">
      <c r="A530" s="25"/>
      <c r="F530" s="25"/>
      <c r="G530" s="25"/>
      <c r="H530" s="25"/>
      <c r="I530" s="25"/>
      <c r="J530" s="25"/>
      <c r="K530" s="25"/>
      <c r="L530" s="25"/>
      <c r="M530" s="25"/>
      <c r="N530" s="25"/>
      <c r="O530" s="25"/>
      <c r="P530" s="25"/>
      <c r="Q530" s="25"/>
      <c r="R530" s="25"/>
      <c r="S530" s="25"/>
      <c r="T530" s="25"/>
      <c r="U530" s="25"/>
      <c r="V530" s="25"/>
      <c r="W530" s="25"/>
      <c r="X530" s="68">
        <f t="shared" si="24"/>
        <v>1900</v>
      </c>
      <c r="Y530" s="25">
        <f t="shared" si="25"/>
        <v>1</v>
      </c>
      <c r="Z530" s="68">
        <f t="shared" si="26"/>
        <v>0</v>
      </c>
    </row>
    <row r="531" ht="13.85" spans="1:26">
      <c r="A531" s="25"/>
      <c r="F531" s="25"/>
      <c r="G531" s="25"/>
      <c r="H531" s="25"/>
      <c r="I531" s="25"/>
      <c r="J531" s="25"/>
      <c r="K531" s="25"/>
      <c r="L531" s="25"/>
      <c r="M531" s="25"/>
      <c r="N531" s="25"/>
      <c r="O531" s="25"/>
      <c r="P531" s="25"/>
      <c r="Q531" s="25"/>
      <c r="R531" s="25"/>
      <c r="S531" s="25"/>
      <c r="T531" s="25"/>
      <c r="U531" s="25"/>
      <c r="V531" s="25"/>
      <c r="W531" s="25"/>
      <c r="X531" s="68">
        <f t="shared" si="24"/>
        <v>1900</v>
      </c>
      <c r="Y531" s="25">
        <f t="shared" si="25"/>
        <v>1</v>
      </c>
      <c r="Z531" s="68">
        <f t="shared" si="26"/>
        <v>0</v>
      </c>
    </row>
    <row r="532" ht="13.85" spans="1:26">
      <c r="A532" s="25"/>
      <c r="F532" s="25"/>
      <c r="G532" s="25"/>
      <c r="H532" s="25"/>
      <c r="I532" s="25"/>
      <c r="J532" s="25"/>
      <c r="K532" s="25"/>
      <c r="L532" s="25"/>
      <c r="M532" s="25"/>
      <c r="N532" s="25"/>
      <c r="O532" s="25"/>
      <c r="P532" s="25"/>
      <c r="Q532" s="25"/>
      <c r="R532" s="25"/>
      <c r="S532" s="25"/>
      <c r="T532" s="25"/>
      <c r="U532" s="25"/>
      <c r="V532" s="25"/>
      <c r="W532" s="25"/>
      <c r="X532" s="68">
        <f t="shared" si="24"/>
        <v>1900</v>
      </c>
      <c r="Y532" s="25">
        <f t="shared" si="25"/>
        <v>1</v>
      </c>
      <c r="Z532" s="68">
        <f t="shared" si="26"/>
        <v>0</v>
      </c>
    </row>
    <row r="533" ht="13.85" spans="1:26">
      <c r="A533" s="25"/>
      <c r="F533" s="25"/>
      <c r="G533" s="25"/>
      <c r="H533" s="25"/>
      <c r="I533" s="25"/>
      <c r="J533" s="25"/>
      <c r="K533" s="25"/>
      <c r="L533" s="25"/>
      <c r="M533" s="25"/>
      <c r="N533" s="25"/>
      <c r="O533" s="25"/>
      <c r="P533" s="25"/>
      <c r="Q533" s="25"/>
      <c r="R533" s="25"/>
      <c r="S533" s="25"/>
      <c r="T533" s="25"/>
      <c r="U533" s="25"/>
      <c r="V533" s="25"/>
      <c r="W533" s="25"/>
      <c r="X533" s="68">
        <f t="shared" si="24"/>
        <v>1900</v>
      </c>
      <c r="Y533" s="25">
        <f t="shared" si="25"/>
        <v>1</v>
      </c>
      <c r="Z533" s="68">
        <f t="shared" si="26"/>
        <v>0</v>
      </c>
    </row>
    <row r="534" ht="13.85" spans="1:26">
      <c r="A534" s="25"/>
      <c r="F534" s="25"/>
      <c r="G534" s="25"/>
      <c r="H534" s="25"/>
      <c r="I534" s="25"/>
      <c r="J534" s="25"/>
      <c r="K534" s="25"/>
      <c r="L534" s="25"/>
      <c r="M534" s="25"/>
      <c r="N534" s="25"/>
      <c r="O534" s="25"/>
      <c r="P534" s="25"/>
      <c r="Q534" s="25"/>
      <c r="R534" s="25"/>
      <c r="S534" s="25"/>
      <c r="T534" s="25"/>
      <c r="U534" s="25"/>
      <c r="V534" s="25"/>
      <c r="W534" s="25"/>
      <c r="X534" s="68">
        <f t="shared" si="24"/>
        <v>1900</v>
      </c>
      <c r="Y534" s="25">
        <f t="shared" si="25"/>
        <v>1</v>
      </c>
      <c r="Z534" s="68">
        <f t="shared" si="26"/>
        <v>0</v>
      </c>
    </row>
    <row r="535" ht="13.85" spans="1:26">
      <c r="A535" s="25"/>
      <c r="F535" s="25"/>
      <c r="G535" s="25"/>
      <c r="H535" s="25"/>
      <c r="I535" s="25"/>
      <c r="J535" s="25"/>
      <c r="K535" s="25"/>
      <c r="L535" s="25"/>
      <c r="M535" s="25"/>
      <c r="N535" s="25"/>
      <c r="O535" s="25"/>
      <c r="P535" s="25"/>
      <c r="Q535" s="25"/>
      <c r="R535" s="25"/>
      <c r="S535" s="25"/>
      <c r="T535" s="25"/>
      <c r="U535" s="25"/>
      <c r="V535" s="25"/>
      <c r="W535" s="25"/>
      <c r="X535" s="68">
        <f t="shared" si="24"/>
        <v>1900</v>
      </c>
      <c r="Y535" s="25">
        <f t="shared" si="25"/>
        <v>1</v>
      </c>
      <c r="Z535" s="68">
        <f t="shared" si="26"/>
        <v>0</v>
      </c>
    </row>
    <row r="536" ht="13.85" spans="1:26">
      <c r="A536" s="25"/>
      <c r="F536" s="25"/>
      <c r="G536" s="25"/>
      <c r="H536" s="25"/>
      <c r="I536" s="25"/>
      <c r="J536" s="25"/>
      <c r="K536" s="25"/>
      <c r="L536" s="25"/>
      <c r="M536" s="25"/>
      <c r="N536" s="25"/>
      <c r="O536" s="25"/>
      <c r="P536" s="25"/>
      <c r="Q536" s="25"/>
      <c r="R536" s="25"/>
      <c r="S536" s="25"/>
      <c r="T536" s="25"/>
      <c r="U536" s="25"/>
      <c r="V536" s="25"/>
      <c r="W536" s="25"/>
      <c r="X536" s="68">
        <f t="shared" si="24"/>
        <v>1900</v>
      </c>
      <c r="Y536" s="25">
        <f t="shared" si="25"/>
        <v>1</v>
      </c>
      <c r="Z536" s="68">
        <f t="shared" si="26"/>
        <v>0</v>
      </c>
    </row>
    <row r="537" ht="13.85" spans="1:26">
      <c r="A537" s="25"/>
      <c r="F537" s="25"/>
      <c r="G537" s="25"/>
      <c r="H537" s="25"/>
      <c r="I537" s="25"/>
      <c r="J537" s="25"/>
      <c r="K537" s="25"/>
      <c r="L537" s="25"/>
      <c r="M537" s="25"/>
      <c r="N537" s="25"/>
      <c r="O537" s="25"/>
      <c r="P537" s="25"/>
      <c r="Q537" s="25"/>
      <c r="R537" s="25"/>
      <c r="S537" s="25"/>
      <c r="T537" s="25"/>
      <c r="U537" s="25"/>
      <c r="V537" s="25"/>
      <c r="W537" s="25"/>
      <c r="X537" s="68">
        <f t="shared" si="24"/>
        <v>1900</v>
      </c>
      <c r="Y537" s="25">
        <f t="shared" si="25"/>
        <v>1</v>
      </c>
      <c r="Z537" s="68">
        <f t="shared" si="26"/>
        <v>0</v>
      </c>
    </row>
    <row r="538" ht="13.85" spans="1:26">
      <c r="A538" s="25"/>
      <c r="F538" s="25"/>
      <c r="G538" s="25"/>
      <c r="H538" s="25"/>
      <c r="I538" s="25"/>
      <c r="J538" s="25"/>
      <c r="K538" s="25"/>
      <c r="L538" s="25"/>
      <c r="M538" s="25"/>
      <c r="N538" s="25"/>
      <c r="O538" s="25"/>
      <c r="P538" s="25"/>
      <c r="Q538" s="25"/>
      <c r="R538" s="25"/>
      <c r="S538" s="25"/>
      <c r="T538" s="25"/>
      <c r="U538" s="25"/>
      <c r="V538" s="25"/>
      <c r="W538" s="25"/>
      <c r="X538" s="68">
        <f t="shared" si="24"/>
        <v>1900</v>
      </c>
      <c r="Y538" s="25">
        <f t="shared" si="25"/>
        <v>1</v>
      </c>
      <c r="Z538" s="68">
        <f t="shared" si="26"/>
        <v>0</v>
      </c>
    </row>
    <row r="539" ht="13.85" spans="1:26">
      <c r="A539" s="25"/>
      <c r="F539" s="25"/>
      <c r="G539" s="25"/>
      <c r="H539" s="25"/>
      <c r="I539" s="25"/>
      <c r="J539" s="25"/>
      <c r="K539" s="25"/>
      <c r="L539" s="25"/>
      <c r="M539" s="25"/>
      <c r="N539" s="25"/>
      <c r="O539" s="25"/>
      <c r="P539" s="25"/>
      <c r="Q539" s="25"/>
      <c r="R539" s="25"/>
      <c r="S539" s="25"/>
      <c r="T539" s="25"/>
      <c r="U539" s="25"/>
      <c r="V539" s="25"/>
      <c r="W539" s="25"/>
      <c r="X539" s="68">
        <f t="shared" si="24"/>
        <v>1900</v>
      </c>
      <c r="Y539" s="25">
        <f t="shared" si="25"/>
        <v>1</v>
      </c>
      <c r="Z539" s="68">
        <f t="shared" si="26"/>
        <v>0</v>
      </c>
    </row>
    <row r="540" ht="13.85" spans="1:26">
      <c r="A540" s="25"/>
      <c r="F540" s="25"/>
      <c r="G540" s="25"/>
      <c r="H540" s="25"/>
      <c r="I540" s="25"/>
      <c r="J540" s="25"/>
      <c r="K540" s="25"/>
      <c r="L540" s="25"/>
      <c r="M540" s="25"/>
      <c r="N540" s="25"/>
      <c r="O540" s="25"/>
      <c r="P540" s="25"/>
      <c r="Q540" s="25"/>
      <c r="R540" s="25"/>
      <c r="S540" s="25"/>
      <c r="T540" s="25"/>
      <c r="U540" s="25"/>
      <c r="V540" s="25"/>
      <c r="W540" s="25"/>
      <c r="X540" s="68">
        <f t="shared" si="24"/>
        <v>1900</v>
      </c>
      <c r="Y540" s="25">
        <f t="shared" si="25"/>
        <v>1</v>
      </c>
      <c r="Z540" s="68">
        <f t="shared" si="26"/>
        <v>0</v>
      </c>
    </row>
    <row r="541" ht="13.85" spans="1:26">
      <c r="A541" s="25"/>
      <c r="F541" s="25"/>
      <c r="G541" s="25"/>
      <c r="H541" s="25"/>
      <c r="I541" s="25"/>
      <c r="J541" s="25"/>
      <c r="K541" s="25"/>
      <c r="L541" s="25"/>
      <c r="M541" s="25"/>
      <c r="N541" s="25"/>
      <c r="O541" s="25"/>
      <c r="P541" s="25"/>
      <c r="Q541" s="25"/>
      <c r="R541" s="25"/>
      <c r="S541" s="25"/>
      <c r="T541" s="25"/>
      <c r="U541" s="25"/>
      <c r="V541" s="25"/>
      <c r="W541" s="25"/>
      <c r="X541" s="68">
        <f t="shared" si="24"/>
        <v>1900</v>
      </c>
      <c r="Y541" s="25">
        <f t="shared" si="25"/>
        <v>1</v>
      </c>
      <c r="Z541" s="68">
        <f t="shared" si="26"/>
        <v>0</v>
      </c>
    </row>
    <row r="542" ht="13.85" spans="1:26">
      <c r="A542" s="25"/>
      <c r="F542" s="25"/>
      <c r="G542" s="25"/>
      <c r="H542" s="25"/>
      <c r="I542" s="25"/>
      <c r="J542" s="25"/>
      <c r="K542" s="25"/>
      <c r="L542" s="25"/>
      <c r="M542" s="25"/>
      <c r="N542" s="25"/>
      <c r="O542" s="25"/>
      <c r="P542" s="25"/>
      <c r="Q542" s="25"/>
      <c r="R542" s="25"/>
      <c r="S542" s="25"/>
      <c r="T542" s="25"/>
      <c r="U542" s="25"/>
      <c r="V542" s="25"/>
      <c r="W542" s="25"/>
      <c r="X542" s="68">
        <f t="shared" si="24"/>
        <v>1900</v>
      </c>
      <c r="Y542" s="25">
        <f t="shared" si="25"/>
        <v>1</v>
      </c>
      <c r="Z542" s="68">
        <f t="shared" si="26"/>
        <v>0</v>
      </c>
    </row>
    <row r="543" ht="13.85" spans="1:26">
      <c r="A543" s="25"/>
      <c r="F543" s="25"/>
      <c r="G543" s="25"/>
      <c r="H543" s="25"/>
      <c r="I543" s="25"/>
      <c r="J543" s="25"/>
      <c r="K543" s="25"/>
      <c r="L543" s="25"/>
      <c r="M543" s="25"/>
      <c r="N543" s="25"/>
      <c r="O543" s="25"/>
      <c r="P543" s="25"/>
      <c r="Q543" s="25"/>
      <c r="R543" s="25"/>
      <c r="S543" s="25"/>
      <c r="T543" s="25"/>
      <c r="U543" s="25"/>
      <c r="V543" s="25"/>
      <c r="W543" s="25"/>
      <c r="X543" s="68">
        <f t="shared" si="24"/>
        <v>1900</v>
      </c>
      <c r="Y543" s="25">
        <f t="shared" si="25"/>
        <v>1</v>
      </c>
      <c r="Z543" s="68">
        <f t="shared" si="26"/>
        <v>0</v>
      </c>
    </row>
    <row r="544" ht="13.85" spans="1:26">
      <c r="A544" s="25"/>
      <c r="F544" s="25"/>
      <c r="G544" s="25"/>
      <c r="H544" s="25"/>
      <c r="I544" s="25"/>
      <c r="J544" s="25"/>
      <c r="K544" s="25"/>
      <c r="L544" s="25"/>
      <c r="M544" s="25"/>
      <c r="N544" s="25"/>
      <c r="O544" s="25"/>
      <c r="P544" s="25"/>
      <c r="Q544" s="25"/>
      <c r="R544" s="25"/>
      <c r="S544" s="25"/>
      <c r="T544" s="25"/>
      <c r="U544" s="25"/>
      <c r="V544" s="25"/>
      <c r="W544" s="25"/>
      <c r="X544" s="68">
        <f t="shared" si="24"/>
        <v>1900</v>
      </c>
      <c r="Y544" s="25">
        <f t="shared" si="25"/>
        <v>1</v>
      </c>
      <c r="Z544" s="68">
        <f t="shared" si="26"/>
        <v>0</v>
      </c>
    </row>
    <row r="545" ht="13.85" spans="1:26">
      <c r="A545" s="25"/>
      <c r="F545" s="25"/>
      <c r="G545" s="25"/>
      <c r="H545" s="25"/>
      <c r="I545" s="25"/>
      <c r="J545" s="25"/>
      <c r="K545" s="25"/>
      <c r="L545" s="25"/>
      <c r="M545" s="25"/>
      <c r="N545" s="25"/>
      <c r="O545" s="25"/>
      <c r="P545" s="25"/>
      <c r="Q545" s="25"/>
      <c r="R545" s="25"/>
      <c r="S545" s="25"/>
      <c r="T545" s="25"/>
      <c r="U545" s="25"/>
      <c r="V545" s="25"/>
      <c r="W545" s="25"/>
      <c r="X545" s="68">
        <f t="shared" si="24"/>
        <v>1900</v>
      </c>
      <c r="Y545" s="25">
        <f t="shared" si="25"/>
        <v>1</v>
      </c>
      <c r="Z545" s="68">
        <f t="shared" si="26"/>
        <v>0</v>
      </c>
    </row>
    <row r="546" ht="13.85" spans="1:26">
      <c r="A546" s="25"/>
      <c r="F546" s="25"/>
      <c r="G546" s="25"/>
      <c r="H546" s="25"/>
      <c r="I546" s="25"/>
      <c r="J546" s="25"/>
      <c r="K546" s="25"/>
      <c r="L546" s="25"/>
      <c r="M546" s="25"/>
      <c r="N546" s="25"/>
      <c r="O546" s="25"/>
      <c r="P546" s="25"/>
      <c r="Q546" s="25"/>
      <c r="R546" s="25"/>
      <c r="S546" s="25"/>
      <c r="T546" s="25"/>
      <c r="U546" s="25"/>
      <c r="V546" s="25"/>
      <c r="W546" s="25"/>
      <c r="X546" s="68">
        <f t="shared" si="24"/>
        <v>1900</v>
      </c>
      <c r="Y546" s="25">
        <f t="shared" si="25"/>
        <v>1</v>
      </c>
      <c r="Z546" s="68">
        <f t="shared" si="26"/>
        <v>0</v>
      </c>
    </row>
    <row r="547" ht="13.85" spans="1:26">
      <c r="A547" s="25"/>
      <c r="F547" s="25"/>
      <c r="G547" s="25"/>
      <c r="H547" s="25"/>
      <c r="I547" s="25"/>
      <c r="J547" s="25"/>
      <c r="K547" s="25"/>
      <c r="L547" s="25"/>
      <c r="M547" s="25"/>
      <c r="N547" s="25"/>
      <c r="O547" s="25"/>
      <c r="P547" s="25"/>
      <c r="Q547" s="25"/>
      <c r="R547" s="25"/>
      <c r="S547" s="25"/>
      <c r="T547" s="25"/>
      <c r="U547" s="25"/>
      <c r="V547" s="25"/>
      <c r="W547" s="25"/>
      <c r="X547" s="68">
        <f t="shared" si="24"/>
        <v>1900</v>
      </c>
      <c r="Y547" s="25">
        <f t="shared" si="25"/>
        <v>1</v>
      </c>
      <c r="Z547" s="68">
        <f t="shared" si="26"/>
        <v>0</v>
      </c>
    </row>
    <row r="548" ht="13.85" spans="1:26">
      <c r="A548" s="25"/>
      <c r="F548" s="25"/>
      <c r="G548" s="25"/>
      <c r="H548" s="25"/>
      <c r="I548" s="25"/>
      <c r="J548" s="25"/>
      <c r="K548" s="25"/>
      <c r="L548" s="25"/>
      <c r="M548" s="25"/>
      <c r="N548" s="25"/>
      <c r="O548" s="25"/>
      <c r="P548" s="25"/>
      <c r="Q548" s="25"/>
      <c r="R548" s="25"/>
      <c r="S548" s="25"/>
      <c r="T548" s="25"/>
      <c r="U548" s="25"/>
      <c r="V548" s="25"/>
      <c r="W548" s="25"/>
      <c r="X548" s="68">
        <f t="shared" si="24"/>
        <v>1900</v>
      </c>
      <c r="Y548" s="25">
        <f t="shared" si="25"/>
        <v>1</v>
      </c>
      <c r="Z548" s="68">
        <f t="shared" si="26"/>
        <v>0</v>
      </c>
    </row>
    <row r="549" ht="13.85" spans="1:26">
      <c r="A549" s="25"/>
      <c r="F549" s="25"/>
      <c r="G549" s="25"/>
      <c r="H549" s="25"/>
      <c r="I549" s="25"/>
      <c r="J549" s="25"/>
      <c r="K549" s="25"/>
      <c r="L549" s="25"/>
      <c r="M549" s="25"/>
      <c r="N549" s="25"/>
      <c r="O549" s="25"/>
      <c r="P549" s="25"/>
      <c r="Q549" s="25"/>
      <c r="R549" s="25"/>
      <c r="S549" s="25"/>
      <c r="T549" s="25"/>
      <c r="U549" s="25"/>
      <c r="V549" s="25"/>
      <c r="W549" s="25"/>
      <c r="X549" s="68">
        <f t="shared" si="24"/>
        <v>1900</v>
      </c>
      <c r="Y549" s="25">
        <f t="shared" si="25"/>
        <v>1</v>
      </c>
      <c r="Z549" s="68">
        <f t="shared" si="26"/>
        <v>0</v>
      </c>
    </row>
    <row r="550" ht="13.85" spans="1:26">
      <c r="A550" s="25"/>
      <c r="F550" s="25"/>
      <c r="G550" s="25"/>
      <c r="H550" s="25"/>
      <c r="I550" s="25"/>
      <c r="J550" s="25"/>
      <c r="K550" s="25"/>
      <c r="L550" s="25"/>
      <c r="M550" s="25"/>
      <c r="N550" s="25"/>
      <c r="O550" s="25"/>
      <c r="P550" s="25"/>
      <c r="Q550" s="25"/>
      <c r="R550" s="25"/>
      <c r="S550" s="25"/>
      <c r="T550" s="25"/>
      <c r="U550" s="25"/>
      <c r="V550" s="25"/>
      <c r="W550" s="25"/>
      <c r="X550" s="68">
        <f t="shared" si="24"/>
        <v>1900</v>
      </c>
      <c r="Y550" s="25">
        <f t="shared" si="25"/>
        <v>1</v>
      </c>
      <c r="Z550" s="68">
        <f t="shared" si="26"/>
        <v>0</v>
      </c>
    </row>
    <row r="551" ht="13.85" spans="1:26">
      <c r="A551" s="25"/>
      <c r="F551" s="25"/>
      <c r="G551" s="25"/>
      <c r="H551" s="25"/>
      <c r="I551" s="25"/>
      <c r="J551" s="25"/>
      <c r="K551" s="25"/>
      <c r="L551" s="25"/>
      <c r="M551" s="25"/>
      <c r="N551" s="25"/>
      <c r="O551" s="25"/>
      <c r="P551" s="25"/>
      <c r="Q551" s="25"/>
      <c r="R551" s="25"/>
      <c r="S551" s="25"/>
      <c r="T551" s="25"/>
      <c r="U551" s="25"/>
      <c r="V551" s="25"/>
      <c r="W551" s="25"/>
      <c r="X551" s="68">
        <f t="shared" si="24"/>
        <v>1900</v>
      </c>
      <c r="Y551" s="25">
        <f t="shared" si="25"/>
        <v>1</v>
      </c>
      <c r="Z551" s="68">
        <f t="shared" si="26"/>
        <v>0</v>
      </c>
    </row>
    <row r="552" ht="13.85" spans="1:26">
      <c r="A552" s="25"/>
      <c r="F552" s="25"/>
      <c r="G552" s="25"/>
      <c r="H552" s="25"/>
      <c r="I552" s="25"/>
      <c r="J552" s="25"/>
      <c r="K552" s="25"/>
      <c r="L552" s="25"/>
      <c r="M552" s="25"/>
      <c r="N552" s="25"/>
      <c r="O552" s="25"/>
      <c r="P552" s="25"/>
      <c r="Q552" s="25"/>
      <c r="R552" s="25"/>
      <c r="S552" s="25"/>
      <c r="T552" s="25"/>
      <c r="U552" s="25"/>
      <c r="V552" s="25"/>
      <c r="W552" s="25"/>
      <c r="X552" s="68">
        <f t="shared" si="24"/>
        <v>1900</v>
      </c>
      <c r="Y552" s="25">
        <f t="shared" si="25"/>
        <v>1</v>
      </c>
      <c r="Z552" s="68">
        <f t="shared" si="26"/>
        <v>0</v>
      </c>
    </row>
    <row r="553" ht="13.85" spans="1:26">
      <c r="A553" s="25"/>
      <c r="F553" s="25"/>
      <c r="G553" s="25"/>
      <c r="H553" s="25"/>
      <c r="I553" s="25"/>
      <c r="J553" s="25"/>
      <c r="K553" s="25"/>
      <c r="L553" s="25"/>
      <c r="M553" s="25"/>
      <c r="N553" s="25"/>
      <c r="O553" s="25"/>
      <c r="P553" s="25"/>
      <c r="Q553" s="25"/>
      <c r="R553" s="25"/>
      <c r="S553" s="25"/>
      <c r="T553" s="25"/>
      <c r="U553" s="25"/>
      <c r="V553" s="25"/>
      <c r="W553" s="25"/>
      <c r="X553" s="68">
        <f t="shared" si="24"/>
        <v>1900</v>
      </c>
      <c r="Y553" s="25">
        <f t="shared" si="25"/>
        <v>1</v>
      </c>
      <c r="Z553" s="68">
        <f t="shared" si="26"/>
        <v>0</v>
      </c>
    </row>
    <row r="554" ht="13.85" spans="1:26">
      <c r="A554" s="25"/>
      <c r="F554" s="25"/>
      <c r="G554" s="25"/>
      <c r="H554" s="25"/>
      <c r="I554" s="25"/>
      <c r="J554" s="25"/>
      <c r="K554" s="25"/>
      <c r="L554" s="25"/>
      <c r="M554" s="25"/>
      <c r="N554" s="25"/>
      <c r="O554" s="25"/>
      <c r="P554" s="25"/>
      <c r="Q554" s="25"/>
      <c r="R554" s="25"/>
      <c r="S554" s="25"/>
      <c r="T554" s="25"/>
      <c r="U554" s="25"/>
      <c r="V554" s="25"/>
      <c r="W554" s="25"/>
      <c r="X554" s="68">
        <f t="shared" si="24"/>
        <v>1900</v>
      </c>
      <c r="Y554" s="25">
        <f t="shared" si="25"/>
        <v>1</v>
      </c>
      <c r="Z554" s="68">
        <f t="shared" si="26"/>
        <v>0</v>
      </c>
    </row>
    <row r="555" ht="13.85" spans="1:26">
      <c r="A555" s="25"/>
      <c r="F555" s="25"/>
      <c r="G555" s="25"/>
      <c r="H555" s="25"/>
      <c r="I555" s="25"/>
      <c r="J555" s="25"/>
      <c r="K555" s="25"/>
      <c r="L555" s="25"/>
      <c r="M555" s="25"/>
      <c r="N555" s="25"/>
      <c r="O555" s="25"/>
      <c r="P555" s="25"/>
      <c r="Q555" s="25"/>
      <c r="R555" s="25"/>
      <c r="S555" s="25"/>
      <c r="T555" s="25"/>
      <c r="U555" s="25"/>
      <c r="V555" s="25"/>
      <c r="W555" s="25"/>
      <c r="X555" s="68">
        <f t="shared" si="24"/>
        <v>1900</v>
      </c>
      <c r="Y555" s="25">
        <f t="shared" si="25"/>
        <v>1</v>
      </c>
      <c r="Z555" s="68">
        <f t="shared" si="26"/>
        <v>0</v>
      </c>
    </row>
    <row r="556" ht="13.85" spans="1:26">
      <c r="A556" s="25"/>
      <c r="F556" s="25"/>
      <c r="G556" s="25"/>
      <c r="H556" s="25"/>
      <c r="I556" s="25"/>
      <c r="J556" s="25"/>
      <c r="K556" s="25"/>
      <c r="L556" s="25"/>
      <c r="M556" s="25"/>
      <c r="N556" s="25"/>
      <c r="O556" s="25"/>
      <c r="P556" s="25"/>
      <c r="Q556" s="25"/>
      <c r="R556" s="25"/>
      <c r="S556" s="25"/>
      <c r="T556" s="25"/>
      <c r="U556" s="25"/>
      <c r="V556" s="25"/>
      <c r="W556" s="25"/>
      <c r="X556" s="68">
        <f t="shared" si="24"/>
        <v>1900</v>
      </c>
      <c r="Y556" s="25">
        <f t="shared" si="25"/>
        <v>1</v>
      </c>
      <c r="Z556" s="68">
        <f t="shared" si="26"/>
        <v>0</v>
      </c>
    </row>
    <row r="557" ht="13.85" spans="1:26">
      <c r="A557" s="25"/>
      <c r="F557" s="25"/>
      <c r="G557" s="25"/>
      <c r="H557" s="25"/>
      <c r="I557" s="25"/>
      <c r="J557" s="25"/>
      <c r="K557" s="25"/>
      <c r="L557" s="25"/>
      <c r="M557" s="25"/>
      <c r="N557" s="25"/>
      <c r="O557" s="25"/>
      <c r="P557" s="25"/>
      <c r="Q557" s="25"/>
      <c r="R557" s="25"/>
      <c r="S557" s="25"/>
      <c r="T557" s="25"/>
      <c r="U557" s="25"/>
      <c r="V557" s="25"/>
      <c r="W557" s="25"/>
      <c r="X557" s="68">
        <f t="shared" si="24"/>
        <v>1900</v>
      </c>
      <c r="Y557" s="25">
        <f t="shared" si="25"/>
        <v>1</v>
      </c>
      <c r="Z557" s="68">
        <f t="shared" si="26"/>
        <v>0</v>
      </c>
    </row>
    <row r="558" ht="13.85" spans="1:26">
      <c r="A558" s="25"/>
      <c r="F558" s="25"/>
      <c r="G558" s="25"/>
      <c r="H558" s="25"/>
      <c r="I558" s="25"/>
      <c r="J558" s="25"/>
      <c r="K558" s="25"/>
      <c r="L558" s="25"/>
      <c r="M558" s="25"/>
      <c r="N558" s="25"/>
      <c r="O558" s="25"/>
      <c r="P558" s="25"/>
      <c r="Q558" s="25"/>
      <c r="R558" s="25"/>
      <c r="S558" s="25"/>
      <c r="T558" s="25"/>
      <c r="U558" s="25"/>
      <c r="V558" s="25"/>
      <c r="W558" s="25"/>
      <c r="X558" s="68">
        <f t="shared" si="24"/>
        <v>1900</v>
      </c>
      <c r="Y558" s="25">
        <f t="shared" si="25"/>
        <v>1</v>
      </c>
      <c r="Z558" s="68">
        <f t="shared" si="26"/>
        <v>0</v>
      </c>
    </row>
    <row r="559" ht="13.85" spans="1:26">
      <c r="A559" s="25"/>
      <c r="F559" s="25"/>
      <c r="G559" s="25"/>
      <c r="H559" s="25"/>
      <c r="I559" s="25"/>
      <c r="J559" s="25"/>
      <c r="K559" s="25"/>
      <c r="L559" s="25"/>
      <c r="M559" s="25"/>
      <c r="N559" s="25"/>
      <c r="O559" s="25"/>
      <c r="P559" s="25"/>
      <c r="Q559" s="25"/>
      <c r="R559" s="25"/>
      <c r="S559" s="25"/>
      <c r="T559" s="25"/>
      <c r="U559" s="25"/>
      <c r="V559" s="25"/>
      <c r="W559" s="25"/>
      <c r="X559" s="68">
        <f t="shared" si="24"/>
        <v>1900</v>
      </c>
      <c r="Y559" s="25">
        <f t="shared" si="25"/>
        <v>1</v>
      </c>
      <c r="Z559" s="68">
        <f t="shared" si="26"/>
        <v>0</v>
      </c>
    </row>
    <row r="560" ht="13.85" spans="1:26">
      <c r="A560" s="25"/>
      <c r="F560" s="25"/>
      <c r="G560" s="25"/>
      <c r="H560" s="25"/>
      <c r="I560" s="25"/>
      <c r="J560" s="25"/>
      <c r="K560" s="25"/>
      <c r="L560" s="25"/>
      <c r="M560" s="25"/>
      <c r="N560" s="25"/>
      <c r="O560" s="25"/>
      <c r="P560" s="25"/>
      <c r="Q560" s="25"/>
      <c r="R560" s="25"/>
      <c r="S560" s="25"/>
      <c r="T560" s="25"/>
      <c r="U560" s="25"/>
      <c r="V560" s="25"/>
      <c r="W560" s="25"/>
      <c r="X560" s="68">
        <f t="shared" si="24"/>
        <v>1900</v>
      </c>
      <c r="Y560" s="25">
        <f t="shared" si="25"/>
        <v>1</v>
      </c>
      <c r="Z560" s="68">
        <f t="shared" si="26"/>
        <v>0</v>
      </c>
    </row>
    <row r="561" ht="13.85" spans="1:26">
      <c r="A561" s="25"/>
      <c r="F561" s="25"/>
      <c r="G561" s="25"/>
      <c r="H561" s="25"/>
      <c r="I561" s="25"/>
      <c r="J561" s="25"/>
      <c r="K561" s="25"/>
      <c r="L561" s="25"/>
      <c r="M561" s="25"/>
      <c r="N561" s="25"/>
      <c r="O561" s="25"/>
      <c r="P561" s="25"/>
      <c r="Q561" s="25"/>
      <c r="R561" s="25"/>
      <c r="S561" s="25"/>
      <c r="T561" s="25"/>
      <c r="U561" s="25"/>
      <c r="V561" s="25"/>
      <c r="W561" s="25"/>
      <c r="X561" s="68">
        <f t="shared" si="24"/>
        <v>1900</v>
      </c>
      <c r="Y561" s="25">
        <f t="shared" si="25"/>
        <v>1</v>
      </c>
      <c r="Z561" s="68">
        <f t="shared" si="26"/>
        <v>0</v>
      </c>
    </row>
    <row r="562" ht="13.85" spans="1:26">
      <c r="A562" s="25"/>
      <c r="F562" s="25"/>
      <c r="G562" s="25"/>
      <c r="H562" s="25"/>
      <c r="I562" s="25"/>
      <c r="J562" s="25"/>
      <c r="K562" s="25"/>
      <c r="L562" s="25"/>
      <c r="M562" s="25"/>
      <c r="N562" s="25"/>
      <c r="O562" s="25"/>
      <c r="P562" s="25"/>
      <c r="Q562" s="25"/>
      <c r="R562" s="25"/>
      <c r="S562" s="25"/>
      <c r="T562" s="25"/>
      <c r="U562" s="25"/>
      <c r="V562" s="25"/>
      <c r="W562" s="25"/>
      <c r="X562" s="68">
        <f t="shared" si="24"/>
        <v>1900</v>
      </c>
      <c r="Y562" s="25">
        <f t="shared" si="25"/>
        <v>1</v>
      </c>
      <c r="Z562" s="68">
        <f t="shared" si="26"/>
        <v>0</v>
      </c>
    </row>
    <row r="563" ht="13.85" spans="1:26">
      <c r="A563" s="25"/>
      <c r="F563" s="25"/>
      <c r="G563" s="25"/>
      <c r="H563" s="25"/>
      <c r="I563" s="25"/>
      <c r="J563" s="25"/>
      <c r="K563" s="25"/>
      <c r="L563" s="25"/>
      <c r="M563" s="25"/>
      <c r="N563" s="25"/>
      <c r="O563" s="25"/>
      <c r="P563" s="25"/>
      <c r="Q563" s="25"/>
      <c r="R563" s="25"/>
      <c r="S563" s="25"/>
      <c r="T563" s="25"/>
      <c r="U563" s="25"/>
      <c r="V563" s="25"/>
      <c r="W563" s="25"/>
      <c r="X563" s="68">
        <f t="shared" si="24"/>
        <v>1900</v>
      </c>
      <c r="Y563" s="25">
        <f t="shared" si="25"/>
        <v>1</v>
      </c>
      <c r="Z563" s="68">
        <f t="shared" si="26"/>
        <v>0</v>
      </c>
    </row>
    <row r="564" ht="13.85" spans="1:26">
      <c r="A564" s="25"/>
      <c r="F564" s="25"/>
      <c r="G564" s="25"/>
      <c r="H564" s="25"/>
      <c r="I564" s="25"/>
      <c r="J564" s="25"/>
      <c r="K564" s="25"/>
      <c r="L564" s="25"/>
      <c r="M564" s="25"/>
      <c r="N564" s="25"/>
      <c r="O564" s="25"/>
      <c r="P564" s="25"/>
      <c r="Q564" s="25"/>
      <c r="R564" s="25"/>
      <c r="S564" s="25"/>
      <c r="T564" s="25"/>
      <c r="U564" s="25"/>
      <c r="V564" s="25"/>
      <c r="W564" s="25"/>
      <c r="X564" s="68">
        <f t="shared" si="24"/>
        <v>1900</v>
      </c>
      <c r="Y564" s="25">
        <f t="shared" si="25"/>
        <v>1</v>
      </c>
      <c r="Z564" s="68">
        <f t="shared" si="26"/>
        <v>0</v>
      </c>
    </row>
    <row r="565" ht="13.85" spans="1:26">
      <c r="A565" s="25"/>
      <c r="F565" s="25"/>
      <c r="G565" s="25"/>
      <c r="H565" s="25"/>
      <c r="I565" s="25"/>
      <c r="J565" s="25"/>
      <c r="K565" s="25"/>
      <c r="L565" s="25"/>
      <c r="M565" s="25"/>
      <c r="N565" s="25"/>
      <c r="O565" s="25"/>
      <c r="P565" s="25"/>
      <c r="Q565" s="25"/>
      <c r="R565" s="25"/>
      <c r="S565" s="25"/>
      <c r="T565" s="25"/>
      <c r="U565" s="25"/>
      <c r="V565" s="25"/>
      <c r="W565" s="25"/>
      <c r="X565" s="68">
        <f t="shared" si="24"/>
        <v>1900</v>
      </c>
      <c r="Y565" s="25">
        <f t="shared" si="25"/>
        <v>1</v>
      </c>
      <c r="Z565" s="68">
        <f t="shared" si="26"/>
        <v>0</v>
      </c>
    </row>
    <row r="566" ht="13.85" spans="1:26">
      <c r="A566" s="25"/>
      <c r="F566" s="25"/>
      <c r="G566" s="25"/>
      <c r="H566" s="25"/>
      <c r="I566" s="25"/>
      <c r="J566" s="25"/>
      <c r="K566" s="25"/>
      <c r="L566" s="25"/>
      <c r="M566" s="25"/>
      <c r="N566" s="25"/>
      <c r="O566" s="25"/>
      <c r="P566" s="25"/>
      <c r="Q566" s="25"/>
      <c r="R566" s="25"/>
      <c r="S566" s="25"/>
      <c r="T566" s="25"/>
      <c r="U566" s="25"/>
      <c r="V566" s="25"/>
      <c r="W566" s="25"/>
      <c r="X566" s="68">
        <f t="shared" si="24"/>
        <v>1900</v>
      </c>
      <c r="Y566" s="25">
        <f t="shared" si="25"/>
        <v>1</v>
      </c>
      <c r="Z566" s="68">
        <f t="shared" si="26"/>
        <v>0</v>
      </c>
    </row>
    <row r="567" ht="13.85" spans="1:26">
      <c r="A567" s="25"/>
      <c r="F567" s="25"/>
      <c r="G567" s="25"/>
      <c r="H567" s="25"/>
      <c r="I567" s="25"/>
      <c r="J567" s="25"/>
      <c r="K567" s="25"/>
      <c r="L567" s="25"/>
      <c r="M567" s="25"/>
      <c r="N567" s="25"/>
      <c r="O567" s="25"/>
      <c r="P567" s="25"/>
      <c r="Q567" s="25"/>
      <c r="R567" s="25"/>
      <c r="S567" s="25"/>
      <c r="T567" s="25"/>
      <c r="U567" s="25"/>
      <c r="V567" s="25"/>
      <c r="W567" s="25"/>
      <c r="X567" s="68">
        <f t="shared" si="24"/>
        <v>1900</v>
      </c>
      <c r="Y567" s="25">
        <f t="shared" si="25"/>
        <v>1</v>
      </c>
      <c r="Z567" s="68">
        <f t="shared" si="26"/>
        <v>0</v>
      </c>
    </row>
    <row r="568" ht="13.85" spans="1:26">
      <c r="A568" s="25"/>
      <c r="F568" s="25"/>
      <c r="G568" s="25"/>
      <c r="H568" s="25"/>
      <c r="I568" s="25"/>
      <c r="J568" s="25"/>
      <c r="K568" s="25"/>
      <c r="L568" s="25"/>
      <c r="M568" s="25"/>
      <c r="N568" s="25"/>
      <c r="O568" s="25"/>
      <c r="P568" s="25"/>
      <c r="Q568" s="25"/>
      <c r="R568" s="25"/>
      <c r="S568" s="25"/>
      <c r="T568" s="25"/>
      <c r="U568" s="25"/>
      <c r="V568" s="25"/>
      <c r="W568" s="25"/>
      <c r="X568" s="68">
        <f t="shared" si="24"/>
        <v>1900</v>
      </c>
      <c r="Y568" s="25">
        <f t="shared" si="25"/>
        <v>1</v>
      </c>
      <c r="Z568" s="68">
        <f t="shared" si="26"/>
        <v>0</v>
      </c>
    </row>
    <row r="569" ht="13.85" spans="1:26">
      <c r="A569" s="25"/>
      <c r="F569" s="25"/>
      <c r="G569" s="25"/>
      <c r="H569" s="25"/>
      <c r="I569" s="25"/>
      <c r="J569" s="25"/>
      <c r="K569" s="25"/>
      <c r="L569" s="25"/>
      <c r="M569" s="25"/>
      <c r="N569" s="25"/>
      <c r="O569" s="25"/>
      <c r="P569" s="25"/>
      <c r="Q569" s="25"/>
      <c r="R569" s="25"/>
      <c r="S569" s="25"/>
      <c r="T569" s="25"/>
      <c r="U569" s="25"/>
      <c r="V569" s="25"/>
      <c r="W569" s="25"/>
      <c r="X569" s="68">
        <f t="shared" si="24"/>
        <v>1900</v>
      </c>
      <c r="Y569" s="25">
        <f t="shared" si="25"/>
        <v>1</v>
      </c>
      <c r="Z569" s="68">
        <f t="shared" si="26"/>
        <v>0</v>
      </c>
    </row>
    <row r="570" ht="13.85" spans="1:26">
      <c r="A570" s="25"/>
      <c r="F570" s="25"/>
      <c r="G570" s="25"/>
      <c r="H570" s="25"/>
      <c r="I570" s="25"/>
      <c r="J570" s="25"/>
      <c r="K570" s="25"/>
      <c r="L570" s="25"/>
      <c r="M570" s="25"/>
      <c r="N570" s="25"/>
      <c r="O570" s="25"/>
      <c r="P570" s="25"/>
      <c r="Q570" s="25"/>
      <c r="R570" s="25"/>
      <c r="S570" s="25"/>
      <c r="T570" s="25"/>
      <c r="U570" s="25"/>
      <c r="V570" s="25"/>
      <c r="W570" s="25"/>
      <c r="X570" s="68">
        <f t="shared" si="24"/>
        <v>1900</v>
      </c>
      <c r="Y570" s="25">
        <f t="shared" si="25"/>
        <v>1</v>
      </c>
      <c r="Z570" s="68">
        <f t="shared" si="26"/>
        <v>0</v>
      </c>
    </row>
    <row r="571" ht="13.85" spans="1:26">
      <c r="A571" s="25"/>
      <c r="F571" s="25"/>
      <c r="G571" s="25"/>
      <c r="H571" s="25"/>
      <c r="I571" s="25"/>
      <c r="J571" s="25"/>
      <c r="K571" s="25"/>
      <c r="L571" s="25"/>
      <c r="M571" s="25"/>
      <c r="N571" s="25"/>
      <c r="O571" s="25"/>
      <c r="P571" s="25"/>
      <c r="Q571" s="25"/>
      <c r="R571" s="25"/>
      <c r="S571" s="25"/>
      <c r="T571" s="25"/>
      <c r="U571" s="25"/>
      <c r="V571" s="25"/>
      <c r="W571" s="25"/>
      <c r="X571" s="68">
        <f t="shared" si="24"/>
        <v>1900</v>
      </c>
      <c r="Y571" s="25">
        <f t="shared" si="25"/>
        <v>1</v>
      </c>
      <c r="Z571" s="68">
        <f t="shared" si="26"/>
        <v>0</v>
      </c>
    </row>
    <row r="572" ht="13.85" spans="1:26">
      <c r="A572" s="25"/>
      <c r="F572" s="25"/>
      <c r="G572" s="25"/>
      <c r="H572" s="25"/>
      <c r="I572" s="25"/>
      <c r="J572" s="25"/>
      <c r="K572" s="25"/>
      <c r="L572" s="25"/>
      <c r="M572" s="25"/>
      <c r="N572" s="25"/>
      <c r="O572" s="25"/>
      <c r="P572" s="25"/>
      <c r="Q572" s="25"/>
      <c r="R572" s="25"/>
      <c r="S572" s="25"/>
      <c r="T572" s="25"/>
      <c r="U572" s="25"/>
      <c r="V572" s="25"/>
      <c r="W572" s="25"/>
      <c r="X572" s="68">
        <f t="shared" si="24"/>
        <v>1900</v>
      </c>
      <c r="Y572" s="25">
        <f t="shared" si="25"/>
        <v>1</v>
      </c>
      <c r="Z572" s="68">
        <f t="shared" si="26"/>
        <v>0</v>
      </c>
    </row>
    <row r="573" ht="13.85" spans="1:26">
      <c r="A573" s="25"/>
      <c r="F573" s="25"/>
      <c r="G573" s="25"/>
      <c r="H573" s="25"/>
      <c r="I573" s="25"/>
      <c r="J573" s="25"/>
      <c r="K573" s="25"/>
      <c r="L573" s="25"/>
      <c r="M573" s="25"/>
      <c r="N573" s="25"/>
      <c r="O573" s="25"/>
      <c r="P573" s="25"/>
      <c r="Q573" s="25"/>
      <c r="R573" s="25"/>
      <c r="S573" s="25"/>
      <c r="T573" s="25"/>
      <c r="U573" s="25"/>
      <c r="V573" s="25"/>
      <c r="W573" s="25"/>
      <c r="X573" s="68">
        <f t="shared" si="24"/>
        <v>1900</v>
      </c>
      <c r="Y573" s="25">
        <f t="shared" si="25"/>
        <v>1</v>
      </c>
      <c r="Z573" s="68">
        <f t="shared" si="26"/>
        <v>0</v>
      </c>
    </row>
    <row r="574" ht="13.85" spans="1:26">
      <c r="A574" s="25"/>
      <c r="F574" s="25"/>
      <c r="G574" s="25"/>
      <c r="H574" s="25"/>
      <c r="I574" s="25"/>
      <c r="J574" s="25"/>
      <c r="K574" s="25"/>
      <c r="L574" s="25"/>
      <c r="M574" s="25"/>
      <c r="N574" s="25"/>
      <c r="O574" s="25"/>
      <c r="P574" s="25"/>
      <c r="Q574" s="25"/>
      <c r="R574" s="25"/>
      <c r="S574" s="25"/>
      <c r="T574" s="25"/>
      <c r="U574" s="25"/>
      <c r="V574" s="25"/>
      <c r="W574" s="25"/>
      <c r="X574" s="68">
        <f t="shared" si="24"/>
        <v>1900</v>
      </c>
      <c r="Y574" s="25">
        <f t="shared" si="25"/>
        <v>1</v>
      </c>
      <c r="Z574" s="68">
        <f t="shared" si="26"/>
        <v>0</v>
      </c>
    </row>
    <row r="575" ht="13.85" spans="1:26">
      <c r="A575" s="25"/>
      <c r="F575" s="25"/>
      <c r="G575" s="25"/>
      <c r="H575" s="25"/>
      <c r="I575" s="25"/>
      <c r="J575" s="25"/>
      <c r="K575" s="25"/>
      <c r="L575" s="25"/>
      <c r="M575" s="25"/>
      <c r="N575" s="25"/>
      <c r="O575" s="25"/>
      <c r="P575" s="25"/>
      <c r="Q575" s="25"/>
      <c r="R575" s="25"/>
      <c r="S575" s="25"/>
      <c r="T575" s="25"/>
      <c r="U575" s="25"/>
      <c r="V575" s="25"/>
      <c r="W575" s="25"/>
      <c r="X575" s="68">
        <f t="shared" si="24"/>
        <v>1900</v>
      </c>
      <c r="Y575" s="25">
        <f t="shared" si="25"/>
        <v>1</v>
      </c>
      <c r="Z575" s="68">
        <f t="shared" si="26"/>
        <v>0</v>
      </c>
    </row>
    <row r="576" ht="13.85" spans="1:26">
      <c r="A576" s="25"/>
      <c r="F576" s="25"/>
      <c r="G576" s="25"/>
      <c r="H576" s="25"/>
      <c r="I576" s="25"/>
      <c r="J576" s="25"/>
      <c r="K576" s="25"/>
      <c r="L576" s="25"/>
      <c r="M576" s="25"/>
      <c r="N576" s="25"/>
      <c r="O576" s="25"/>
      <c r="P576" s="25"/>
      <c r="Q576" s="25"/>
      <c r="R576" s="25"/>
      <c r="S576" s="25"/>
      <c r="T576" s="25"/>
      <c r="U576" s="25"/>
      <c r="V576" s="25"/>
      <c r="W576" s="25"/>
      <c r="X576" s="68">
        <f t="shared" si="24"/>
        <v>1900</v>
      </c>
      <c r="Y576" s="25">
        <f t="shared" si="25"/>
        <v>1</v>
      </c>
      <c r="Z576" s="68">
        <f t="shared" si="26"/>
        <v>0</v>
      </c>
    </row>
    <row r="577" ht="13.85" spans="1:26">
      <c r="A577" s="25"/>
      <c r="F577" s="25"/>
      <c r="G577" s="25"/>
      <c r="H577" s="25"/>
      <c r="I577" s="25"/>
      <c r="J577" s="25"/>
      <c r="K577" s="25"/>
      <c r="L577" s="25"/>
      <c r="M577" s="25"/>
      <c r="N577" s="25"/>
      <c r="O577" s="25"/>
      <c r="P577" s="25"/>
      <c r="Q577" s="25"/>
      <c r="R577" s="25"/>
      <c r="S577" s="25"/>
      <c r="T577" s="25"/>
      <c r="U577" s="25"/>
      <c r="V577" s="25"/>
      <c r="W577" s="25"/>
      <c r="X577" s="68">
        <f t="shared" si="24"/>
        <v>1900</v>
      </c>
      <c r="Y577" s="25">
        <f t="shared" si="25"/>
        <v>1</v>
      </c>
      <c r="Z577" s="68">
        <f t="shared" si="26"/>
        <v>0</v>
      </c>
    </row>
    <row r="578" ht="13.85" spans="1:26">
      <c r="A578" s="25"/>
      <c r="F578" s="25"/>
      <c r="G578" s="25"/>
      <c r="H578" s="25"/>
      <c r="I578" s="25"/>
      <c r="J578" s="25"/>
      <c r="K578" s="25"/>
      <c r="L578" s="25"/>
      <c r="M578" s="25"/>
      <c r="N578" s="25"/>
      <c r="O578" s="25"/>
      <c r="P578" s="25"/>
      <c r="Q578" s="25"/>
      <c r="R578" s="25"/>
      <c r="S578" s="25"/>
      <c r="T578" s="25"/>
      <c r="U578" s="25"/>
      <c r="V578" s="25"/>
      <c r="W578" s="25"/>
      <c r="X578" s="68">
        <f t="shared" ref="X578:X641" si="27">YEAR(C578)</f>
        <v>1900</v>
      </c>
      <c r="Y578" s="25">
        <f t="shared" ref="Y578:Y641" si="28">MONTH(C578)</f>
        <v>1</v>
      </c>
      <c r="Z578" s="68">
        <f t="shared" ref="Z578:Z641" si="29">DAY(C578)</f>
        <v>0</v>
      </c>
    </row>
    <row r="579" ht="13.85" spans="1:26">
      <c r="A579" s="25"/>
      <c r="F579" s="25"/>
      <c r="G579" s="25"/>
      <c r="H579" s="25"/>
      <c r="I579" s="25"/>
      <c r="J579" s="25"/>
      <c r="K579" s="25"/>
      <c r="L579" s="25"/>
      <c r="M579" s="25"/>
      <c r="N579" s="25"/>
      <c r="O579" s="25"/>
      <c r="P579" s="25"/>
      <c r="Q579" s="25"/>
      <c r="R579" s="25"/>
      <c r="S579" s="25"/>
      <c r="T579" s="25"/>
      <c r="U579" s="25"/>
      <c r="V579" s="25"/>
      <c r="W579" s="25"/>
      <c r="X579" s="68">
        <f t="shared" si="27"/>
        <v>1900</v>
      </c>
      <c r="Y579" s="25">
        <f t="shared" si="28"/>
        <v>1</v>
      </c>
      <c r="Z579" s="68">
        <f t="shared" si="29"/>
        <v>0</v>
      </c>
    </row>
    <row r="580" ht="13.85" spans="1:26">
      <c r="A580" s="25"/>
      <c r="F580" s="25"/>
      <c r="G580" s="25"/>
      <c r="H580" s="25"/>
      <c r="I580" s="25"/>
      <c r="J580" s="25"/>
      <c r="K580" s="25"/>
      <c r="L580" s="25"/>
      <c r="M580" s="25"/>
      <c r="N580" s="25"/>
      <c r="O580" s="25"/>
      <c r="P580" s="25"/>
      <c r="Q580" s="25"/>
      <c r="R580" s="25"/>
      <c r="S580" s="25"/>
      <c r="T580" s="25"/>
      <c r="U580" s="25"/>
      <c r="V580" s="25"/>
      <c r="W580" s="25"/>
      <c r="X580" s="68">
        <f t="shared" si="27"/>
        <v>1900</v>
      </c>
      <c r="Y580" s="25">
        <f t="shared" si="28"/>
        <v>1</v>
      </c>
      <c r="Z580" s="68">
        <f t="shared" si="29"/>
        <v>0</v>
      </c>
    </row>
    <row r="581" ht="13.85" spans="1:26">
      <c r="A581" s="25"/>
      <c r="F581" s="25"/>
      <c r="G581" s="25"/>
      <c r="H581" s="25"/>
      <c r="I581" s="25"/>
      <c r="J581" s="25"/>
      <c r="K581" s="25"/>
      <c r="L581" s="25"/>
      <c r="M581" s="25"/>
      <c r="N581" s="25"/>
      <c r="O581" s="25"/>
      <c r="P581" s="25"/>
      <c r="Q581" s="25"/>
      <c r="R581" s="25"/>
      <c r="S581" s="25"/>
      <c r="T581" s="25"/>
      <c r="U581" s="25"/>
      <c r="V581" s="25"/>
      <c r="W581" s="25"/>
      <c r="X581" s="68">
        <f t="shared" si="27"/>
        <v>1900</v>
      </c>
      <c r="Y581" s="25">
        <f t="shared" si="28"/>
        <v>1</v>
      </c>
      <c r="Z581" s="68">
        <f t="shared" si="29"/>
        <v>0</v>
      </c>
    </row>
    <row r="582" ht="13.85" spans="1:26">
      <c r="A582" s="25"/>
      <c r="F582" s="25"/>
      <c r="G582" s="25"/>
      <c r="H582" s="25"/>
      <c r="I582" s="25"/>
      <c r="J582" s="25"/>
      <c r="K582" s="25"/>
      <c r="L582" s="25"/>
      <c r="M582" s="25"/>
      <c r="N582" s="25"/>
      <c r="O582" s="25"/>
      <c r="P582" s="25"/>
      <c r="Q582" s="25"/>
      <c r="R582" s="25"/>
      <c r="S582" s="25"/>
      <c r="T582" s="25"/>
      <c r="U582" s="25"/>
      <c r="V582" s="25"/>
      <c r="W582" s="25"/>
      <c r="X582" s="68">
        <f t="shared" si="27"/>
        <v>1900</v>
      </c>
      <c r="Y582" s="25">
        <f t="shared" si="28"/>
        <v>1</v>
      </c>
      <c r="Z582" s="68">
        <f t="shared" si="29"/>
        <v>0</v>
      </c>
    </row>
    <row r="583" ht="13.85" spans="1:26">
      <c r="A583" s="25"/>
      <c r="F583" s="25"/>
      <c r="G583" s="25"/>
      <c r="H583" s="25"/>
      <c r="I583" s="25"/>
      <c r="J583" s="25"/>
      <c r="K583" s="25"/>
      <c r="L583" s="25"/>
      <c r="M583" s="25"/>
      <c r="N583" s="25"/>
      <c r="O583" s="25"/>
      <c r="P583" s="25"/>
      <c r="Q583" s="25"/>
      <c r="R583" s="25"/>
      <c r="S583" s="25"/>
      <c r="T583" s="25"/>
      <c r="U583" s="25"/>
      <c r="V583" s="25"/>
      <c r="W583" s="25"/>
      <c r="X583" s="68">
        <f t="shared" si="27"/>
        <v>1900</v>
      </c>
      <c r="Y583" s="25">
        <f t="shared" si="28"/>
        <v>1</v>
      </c>
      <c r="Z583" s="68">
        <f t="shared" si="29"/>
        <v>0</v>
      </c>
    </row>
    <row r="584" ht="13.85" spans="1:26">
      <c r="A584" s="25"/>
      <c r="F584" s="25"/>
      <c r="G584" s="25"/>
      <c r="H584" s="25"/>
      <c r="I584" s="25"/>
      <c r="J584" s="25"/>
      <c r="K584" s="25"/>
      <c r="L584" s="25"/>
      <c r="M584" s="25"/>
      <c r="N584" s="25"/>
      <c r="O584" s="25"/>
      <c r="P584" s="25"/>
      <c r="Q584" s="25"/>
      <c r="R584" s="25"/>
      <c r="S584" s="25"/>
      <c r="T584" s="25"/>
      <c r="U584" s="25"/>
      <c r="V584" s="25"/>
      <c r="W584" s="25"/>
      <c r="X584" s="68">
        <f t="shared" si="27"/>
        <v>1900</v>
      </c>
      <c r="Y584" s="25">
        <f t="shared" si="28"/>
        <v>1</v>
      </c>
      <c r="Z584" s="68">
        <f t="shared" si="29"/>
        <v>0</v>
      </c>
    </row>
    <row r="585" ht="13.85" spans="1:26">
      <c r="A585" s="25"/>
      <c r="F585" s="25"/>
      <c r="G585" s="25"/>
      <c r="H585" s="25"/>
      <c r="I585" s="25"/>
      <c r="J585" s="25"/>
      <c r="K585" s="25"/>
      <c r="L585" s="25"/>
      <c r="M585" s="25"/>
      <c r="N585" s="25"/>
      <c r="O585" s="25"/>
      <c r="P585" s="25"/>
      <c r="Q585" s="25"/>
      <c r="R585" s="25"/>
      <c r="S585" s="25"/>
      <c r="T585" s="25"/>
      <c r="U585" s="25"/>
      <c r="V585" s="25"/>
      <c r="W585" s="25"/>
      <c r="X585" s="68">
        <f t="shared" si="27"/>
        <v>1900</v>
      </c>
      <c r="Y585" s="25">
        <f t="shared" si="28"/>
        <v>1</v>
      </c>
      <c r="Z585" s="68">
        <f t="shared" si="29"/>
        <v>0</v>
      </c>
    </row>
    <row r="586" ht="13.85" spans="1:26">
      <c r="A586" s="25"/>
      <c r="F586" s="25"/>
      <c r="G586" s="25"/>
      <c r="H586" s="25"/>
      <c r="I586" s="25"/>
      <c r="J586" s="25"/>
      <c r="K586" s="25"/>
      <c r="L586" s="25"/>
      <c r="M586" s="25"/>
      <c r="N586" s="25"/>
      <c r="O586" s="25"/>
      <c r="P586" s="25"/>
      <c r="Q586" s="25"/>
      <c r="R586" s="25"/>
      <c r="S586" s="25"/>
      <c r="T586" s="25"/>
      <c r="U586" s="25"/>
      <c r="V586" s="25"/>
      <c r="W586" s="25"/>
      <c r="X586" s="68">
        <f t="shared" si="27"/>
        <v>1900</v>
      </c>
      <c r="Y586" s="25">
        <f t="shared" si="28"/>
        <v>1</v>
      </c>
      <c r="Z586" s="68">
        <f t="shared" si="29"/>
        <v>0</v>
      </c>
    </row>
    <row r="587" ht="13.85" spans="1:26">
      <c r="A587" s="25"/>
      <c r="F587" s="25"/>
      <c r="G587" s="25"/>
      <c r="H587" s="25"/>
      <c r="I587" s="25"/>
      <c r="J587" s="25"/>
      <c r="K587" s="25"/>
      <c r="L587" s="25"/>
      <c r="M587" s="25"/>
      <c r="N587" s="25"/>
      <c r="O587" s="25"/>
      <c r="P587" s="25"/>
      <c r="Q587" s="25"/>
      <c r="R587" s="25"/>
      <c r="S587" s="25"/>
      <c r="T587" s="25"/>
      <c r="U587" s="25"/>
      <c r="V587" s="25"/>
      <c r="W587" s="25"/>
      <c r="X587" s="68">
        <f t="shared" si="27"/>
        <v>1900</v>
      </c>
      <c r="Y587" s="25">
        <f t="shared" si="28"/>
        <v>1</v>
      </c>
      <c r="Z587" s="68">
        <f t="shared" si="29"/>
        <v>0</v>
      </c>
    </row>
    <row r="588" ht="13.85" spans="1:26">
      <c r="A588" s="25"/>
      <c r="F588" s="25"/>
      <c r="G588" s="25"/>
      <c r="H588" s="25"/>
      <c r="I588" s="25"/>
      <c r="J588" s="25"/>
      <c r="K588" s="25"/>
      <c r="L588" s="25"/>
      <c r="M588" s="25"/>
      <c r="N588" s="25"/>
      <c r="O588" s="25"/>
      <c r="P588" s="25"/>
      <c r="Q588" s="25"/>
      <c r="R588" s="25"/>
      <c r="S588" s="25"/>
      <c r="T588" s="25"/>
      <c r="U588" s="25"/>
      <c r="V588" s="25"/>
      <c r="W588" s="25"/>
      <c r="X588" s="68">
        <f t="shared" si="27"/>
        <v>1900</v>
      </c>
      <c r="Y588" s="25">
        <f t="shared" si="28"/>
        <v>1</v>
      </c>
      <c r="Z588" s="68">
        <f t="shared" si="29"/>
        <v>0</v>
      </c>
    </row>
    <row r="589" ht="13.85" spans="1:26">
      <c r="A589" s="25"/>
      <c r="F589" s="25"/>
      <c r="G589" s="25"/>
      <c r="H589" s="25"/>
      <c r="I589" s="25"/>
      <c r="J589" s="25"/>
      <c r="K589" s="25"/>
      <c r="L589" s="25"/>
      <c r="M589" s="25"/>
      <c r="N589" s="25"/>
      <c r="O589" s="25"/>
      <c r="P589" s="25"/>
      <c r="Q589" s="25"/>
      <c r="R589" s="25"/>
      <c r="S589" s="25"/>
      <c r="T589" s="25"/>
      <c r="U589" s="25"/>
      <c r="V589" s="25"/>
      <c r="W589" s="25"/>
      <c r="X589" s="68">
        <f t="shared" si="27"/>
        <v>1900</v>
      </c>
      <c r="Y589" s="25">
        <f t="shared" si="28"/>
        <v>1</v>
      </c>
      <c r="Z589" s="68">
        <f t="shared" si="29"/>
        <v>0</v>
      </c>
    </row>
    <row r="590" ht="13.85" spans="1:26">
      <c r="A590" s="25"/>
      <c r="F590" s="25"/>
      <c r="G590" s="25"/>
      <c r="H590" s="25"/>
      <c r="I590" s="25"/>
      <c r="J590" s="25"/>
      <c r="K590" s="25"/>
      <c r="L590" s="25"/>
      <c r="M590" s="25"/>
      <c r="N590" s="25"/>
      <c r="O590" s="25"/>
      <c r="P590" s="25"/>
      <c r="Q590" s="25"/>
      <c r="R590" s="25"/>
      <c r="S590" s="25"/>
      <c r="T590" s="25"/>
      <c r="U590" s="25"/>
      <c r="V590" s="25"/>
      <c r="W590" s="25"/>
      <c r="X590" s="68">
        <f t="shared" si="27"/>
        <v>1900</v>
      </c>
      <c r="Y590" s="25">
        <f t="shared" si="28"/>
        <v>1</v>
      </c>
      <c r="Z590" s="68">
        <f t="shared" si="29"/>
        <v>0</v>
      </c>
    </row>
    <row r="591" ht="13.85" spans="1:26">
      <c r="A591" s="25"/>
      <c r="F591" s="25"/>
      <c r="G591" s="25"/>
      <c r="H591" s="25"/>
      <c r="I591" s="25"/>
      <c r="J591" s="25"/>
      <c r="K591" s="25"/>
      <c r="L591" s="25"/>
      <c r="M591" s="25"/>
      <c r="N591" s="25"/>
      <c r="O591" s="25"/>
      <c r="P591" s="25"/>
      <c r="Q591" s="25"/>
      <c r="R591" s="25"/>
      <c r="S591" s="25"/>
      <c r="T591" s="25"/>
      <c r="U591" s="25"/>
      <c r="V591" s="25"/>
      <c r="W591" s="25"/>
      <c r="X591" s="68">
        <f t="shared" si="27"/>
        <v>1900</v>
      </c>
      <c r="Y591" s="25">
        <f t="shared" si="28"/>
        <v>1</v>
      </c>
      <c r="Z591" s="68">
        <f t="shared" si="29"/>
        <v>0</v>
      </c>
    </row>
    <row r="592" ht="13.85" spans="1:26">
      <c r="A592" s="25"/>
      <c r="F592" s="25"/>
      <c r="G592" s="25"/>
      <c r="H592" s="25"/>
      <c r="I592" s="25"/>
      <c r="J592" s="25"/>
      <c r="K592" s="25"/>
      <c r="L592" s="25"/>
      <c r="M592" s="25"/>
      <c r="N592" s="25"/>
      <c r="O592" s="25"/>
      <c r="P592" s="25"/>
      <c r="Q592" s="25"/>
      <c r="R592" s="25"/>
      <c r="S592" s="25"/>
      <c r="T592" s="25"/>
      <c r="U592" s="25"/>
      <c r="V592" s="25"/>
      <c r="W592" s="25"/>
      <c r="X592" s="68">
        <f t="shared" si="27"/>
        <v>1900</v>
      </c>
      <c r="Y592" s="25">
        <f t="shared" si="28"/>
        <v>1</v>
      </c>
      <c r="Z592" s="68">
        <f t="shared" si="29"/>
        <v>0</v>
      </c>
    </row>
    <row r="593" ht="13.85" spans="1:26">
      <c r="A593" s="25"/>
      <c r="F593" s="25"/>
      <c r="G593" s="25"/>
      <c r="H593" s="25"/>
      <c r="I593" s="25"/>
      <c r="J593" s="25"/>
      <c r="K593" s="25"/>
      <c r="L593" s="25"/>
      <c r="M593" s="25"/>
      <c r="N593" s="25"/>
      <c r="O593" s="25"/>
      <c r="P593" s="25"/>
      <c r="Q593" s="25"/>
      <c r="R593" s="25"/>
      <c r="S593" s="25"/>
      <c r="T593" s="25"/>
      <c r="U593" s="25"/>
      <c r="V593" s="25"/>
      <c r="W593" s="25"/>
      <c r="X593" s="68">
        <f t="shared" si="27"/>
        <v>1900</v>
      </c>
      <c r="Y593" s="25">
        <f t="shared" si="28"/>
        <v>1</v>
      </c>
      <c r="Z593" s="68">
        <f t="shared" si="29"/>
        <v>0</v>
      </c>
    </row>
    <row r="594" ht="13.85" spans="1:26">
      <c r="A594" s="25"/>
      <c r="F594" s="25"/>
      <c r="G594" s="25"/>
      <c r="H594" s="25"/>
      <c r="I594" s="25"/>
      <c r="J594" s="25"/>
      <c r="K594" s="25"/>
      <c r="L594" s="25"/>
      <c r="M594" s="25"/>
      <c r="N594" s="25"/>
      <c r="O594" s="25"/>
      <c r="P594" s="25"/>
      <c r="Q594" s="25"/>
      <c r="R594" s="25"/>
      <c r="S594" s="25"/>
      <c r="T594" s="25"/>
      <c r="U594" s="25"/>
      <c r="V594" s="25"/>
      <c r="W594" s="25"/>
      <c r="X594" s="68">
        <f t="shared" si="27"/>
        <v>1900</v>
      </c>
      <c r="Y594" s="25">
        <f t="shared" si="28"/>
        <v>1</v>
      </c>
      <c r="Z594" s="68">
        <f t="shared" si="29"/>
        <v>0</v>
      </c>
    </row>
    <row r="595" ht="13.85" spans="1:26">
      <c r="A595" s="25"/>
      <c r="F595" s="25"/>
      <c r="G595" s="25"/>
      <c r="H595" s="25"/>
      <c r="I595" s="25"/>
      <c r="J595" s="25"/>
      <c r="K595" s="25"/>
      <c r="L595" s="25"/>
      <c r="M595" s="25"/>
      <c r="N595" s="25"/>
      <c r="O595" s="25"/>
      <c r="P595" s="25"/>
      <c r="Q595" s="25"/>
      <c r="R595" s="25"/>
      <c r="S595" s="25"/>
      <c r="T595" s="25"/>
      <c r="U595" s="25"/>
      <c r="V595" s="25"/>
      <c r="W595" s="25"/>
      <c r="X595" s="68">
        <f t="shared" si="27"/>
        <v>1900</v>
      </c>
      <c r="Y595" s="25">
        <f t="shared" si="28"/>
        <v>1</v>
      </c>
      <c r="Z595" s="68">
        <f t="shared" si="29"/>
        <v>0</v>
      </c>
    </row>
    <row r="596" ht="13.85" spans="1:26">
      <c r="A596" s="25"/>
      <c r="F596" s="25"/>
      <c r="G596" s="25"/>
      <c r="H596" s="25"/>
      <c r="I596" s="25"/>
      <c r="J596" s="25"/>
      <c r="K596" s="25"/>
      <c r="L596" s="25"/>
      <c r="M596" s="25"/>
      <c r="N596" s="25"/>
      <c r="O596" s="25"/>
      <c r="P596" s="25"/>
      <c r="Q596" s="25"/>
      <c r="R596" s="25"/>
      <c r="S596" s="25"/>
      <c r="T596" s="25"/>
      <c r="U596" s="25"/>
      <c r="V596" s="25"/>
      <c r="W596" s="25"/>
      <c r="X596" s="68">
        <f t="shared" si="27"/>
        <v>1900</v>
      </c>
      <c r="Y596" s="25">
        <f t="shared" si="28"/>
        <v>1</v>
      </c>
      <c r="Z596" s="68">
        <f t="shared" si="29"/>
        <v>0</v>
      </c>
    </row>
    <row r="597" ht="13.85" spans="1:26">
      <c r="A597" s="25"/>
      <c r="F597" s="25"/>
      <c r="G597" s="25"/>
      <c r="H597" s="25"/>
      <c r="I597" s="25"/>
      <c r="J597" s="25"/>
      <c r="K597" s="25"/>
      <c r="L597" s="25"/>
      <c r="M597" s="25"/>
      <c r="N597" s="25"/>
      <c r="O597" s="25"/>
      <c r="P597" s="25"/>
      <c r="Q597" s="25"/>
      <c r="R597" s="25"/>
      <c r="S597" s="25"/>
      <c r="T597" s="25"/>
      <c r="U597" s="25"/>
      <c r="V597" s="25"/>
      <c r="W597" s="25"/>
      <c r="X597" s="68">
        <f t="shared" si="27"/>
        <v>1900</v>
      </c>
      <c r="Y597" s="25">
        <f t="shared" si="28"/>
        <v>1</v>
      </c>
      <c r="Z597" s="68">
        <f t="shared" si="29"/>
        <v>0</v>
      </c>
    </row>
    <row r="598" ht="13.85" spans="1:26">
      <c r="A598" s="25"/>
      <c r="F598" s="25"/>
      <c r="G598" s="25"/>
      <c r="H598" s="25"/>
      <c r="I598" s="25"/>
      <c r="J598" s="25"/>
      <c r="K598" s="25"/>
      <c r="L598" s="25"/>
      <c r="M598" s="25"/>
      <c r="N598" s="25"/>
      <c r="O598" s="25"/>
      <c r="P598" s="25"/>
      <c r="Q598" s="25"/>
      <c r="R598" s="25"/>
      <c r="S598" s="25"/>
      <c r="T598" s="25"/>
      <c r="U598" s="25"/>
      <c r="V598" s="25"/>
      <c r="W598" s="25"/>
      <c r="X598" s="68">
        <f t="shared" si="27"/>
        <v>1900</v>
      </c>
      <c r="Y598" s="25">
        <f t="shared" si="28"/>
        <v>1</v>
      </c>
      <c r="Z598" s="68">
        <f t="shared" si="29"/>
        <v>0</v>
      </c>
    </row>
    <row r="599" ht="13.85" spans="1:26">
      <c r="A599" s="25"/>
      <c r="F599" s="25"/>
      <c r="G599" s="25"/>
      <c r="H599" s="25"/>
      <c r="I599" s="25"/>
      <c r="J599" s="25"/>
      <c r="K599" s="25"/>
      <c r="L599" s="25"/>
      <c r="M599" s="25"/>
      <c r="N599" s="25"/>
      <c r="O599" s="25"/>
      <c r="P599" s="25"/>
      <c r="Q599" s="25"/>
      <c r="R599" s="25"/>
      <c r="S599" s="25"/>
      <c r="T599" s="25"/>
      <c r="U599" s="25"/>
      <c r="V599" s="25"/>
      <c r="W599" s="25"/>
      <c r="X599" s="68">
        <f t="shared" si="27"/>
        <v>1900</v>
      </c>
      <c r="Y599" s="25">
        <f t="shared" si="28"/>
        <v>1</v>
      </c>
      <c r="Z599" s="68">
        <f t="shared" si="29"/>
        <v>0</v>
      </c>
    </row>
    <row r="600" ht="13.85" spans="1:26">
      <c r="A600" s="25"/>
      <c r="F600" s="25"/>
      <c r="G600" s="25"/>
      <c r="H600" s="25"/>
      <c r="I600" s="25"/>
      <c r="J600" s="25"/>
      <c r="K600" s="25"/>
      <c r="L600" s="25"/>
      <c r="M600" s="25"/>
      <c r="N600" s="25"/>
      <c r="O600" s="25"/>
      <c r="P600" s="25"/>
      <c r="Q600" s="25"/>
      <c r="R600" s="25"/>
      <c r="S600" s="25"/>
      <c r="T600" s="25"/>
      <c r="U600" s="25"/>
      <c r="V600" s="25"/>
      <c r="W600" s="25"/>
      <c r="X600" s="68">
        <f t="shared" si="27"/>
        <v>1900</v>
      </c>
      <c r="Y600" s="25">
        <f t="shared" si="28"/>
        <v>1</v>
      </c>
      <c r="Z600" s="68">
        <f t="shared" si="29"/>
        <v>0</v>
      </c>
    </row>
    <row r="601" ht="13.85" spans="1:26">
      <c r="A601" s="25"/>
      <c r="F601" s="25"/>
      <c r="G601" s="25"/>
      <c r="H601" s="25"/>
      <c r="I601" s="25"/>
      <c r="J601" s="25"/>
      <c r="K601" s="25"/>
      <c r="L601" s="25"/>
      <c r="M601" s="25"/>
      <c r="N601" s="25"/>
      <c r="O601" s="25"/>
      <c r="P601" s="25"/>
      <c r="Q601" s="25"/>
      <c r="R601" s="25"/>
      <c r="S601" s="25"/>
      <c r="T601" s="25"/>
      <c r="U601" s="25"/>
      <c r="V601" s="25"/>
      <c r="W601" s="25"/>
      <c r="X601" s="68">
        <f t="shared" si="27"/>
        <v>1900</v>
      </c>
      <c r="Y601" s="25">
        <f t="shared" si="28"/>
        <v>1</v>
      </c>
      <c r="Z601" s="68">
        <f t="shared" si="29"/>
        <v>0</v>
      </c>
    </row>
    <row r="602" ht="13.85" spans="1:26">
      <c r="A602" s="25"/>
      <c r="F602" s="25"/>
      <c r="G602" s="25"/>
      <c r="H602" s="25"/>
      <c r="I602" s="25"/>
      <c r="J602" s="25"/>
      <c r="K602" s="25"/>
      <c r="L602" s="25"/>
      <c r="M602" s="25"/>
      <c r="N602" s="25"/>
      <c r="O602" s="25"/>
      <c r="P602" s="25"/>
      <c r="Q602" s="25"/>
      <c r="R602" s="25"/>
      <c r="S602" s="25"/>
      <c r="T602" s="25"/>
      <c r="U602" s="25"/>
      <c r="V602" s="25"/>
      <c r="W602" s="25"/>
      <c r="X602" s="68">
        <f t="shared" si="27"/>
        <v>1900</v>
      </c>
      <c r="Y602" s="25">
        <f t="shared" si="28"/>
        <v>1</v>
      </c>
      <c r="Z602" s="68">
        <f t="shared" si="29"/>
        <v>0</v>
      </c>
    </row>
    <row r="603" ht="13.85" spans="1:26">
      <c r="A603" s="25"/>
      <c r="F603" s="25"/>
      <c r="G603" s="25"/>
      <c r="H603" s="25"/>
      <c r="I603" s="25"/>
      <c r="J603" s="25"/>
      <c r="K603" s="25"/>
      <c r="L603" s="25"/>
      <c r="M603" s="25"/>
      <c r="N603" s="25"/>
      <c r="O603" s="25"/>
      <c r="P603" s="25"/>
      <c r="Q603" s="25"/>
      <c r="R603" s="25"/>
      <c r="S603" s="25"/>
      <c r="T603" s="25"/>
      <c r="U603" s="25"/>
      <c r="V603" s="25"/>
      <c r="W603" s="25"/>
      <c r="X603" s="68">
        <f t="shared" si="27"/>
        <v>1900</v>
      </c>
      <c r="Y603" s="25">
        <f t="shared" si="28"/>
        <v>1</v>
      </c>
      <c r="Z603" s="68">
        <f t="shared" si="29"/>
        <v>0</v>
      </c>
    </row>
    <row r="604" ht="13.85" spans="1:26">
      <c r="A604" s="25"/>
      <c r="F604" s="25"/>
      <c r="G604" s="25"/>
      <c r="H604" s="25"/>
      <c r="I604" s="25"/>
      <c r="J604" s="25"/>
      <c r="K604" s="25"/>
      <c r="L604" s="25"/>
      <c r="M604" s="25"/>
      <c r="N604" s="25"/>
      <c r="O604" s="25"/>
      <c r="P604" s="25"/>
      <c r="Q604" s="25"/>
      <c r="R604" s="25"/>
      <c r="S604" s="25"/>
      <c r="T604" s="25"/>
      <c r="U604" s="25"/>
      <c r="V604" s="25"/>
      <c r="W604" s="25"/>
      <c r="X604" s="68">
        <f t="shared" si="27"/>
        <v>1900</v>
      </c>
      <c r="Y604" s="25">
        <f t="shared" si="28"/>
        <v>1</v>
      </c>
      <c r="Z604" s="68">
        <f t="shared" si="29"/>
        <v>0</v>
      </c>
    </row>
    <row r="605" ht="13.85" spans="1:26">
      <c r="A605" s="25"/>
      <c r="F605" s="25"/>
      <c r="G605" s="25"/>
      <c r="H605" s="25"/>
      <c r="I605" s="25"/>
      <c r="J605" s="25"/>
      <c r="K605" s="25"/>
      <c r="L605" s="25"/>
      <c r="M605" s="25"/>
      <c r="N605" s="25"/>
      <c r="O605" s="25"/>
      <c r="P605" s="25"/>
      <c r="Q605" s="25"/>
      <c r="R605" s="25"/>
      <c r="S605" s="25"/>
      <c r="T605" s="25"/>
      <c r="U605" s="25"/>
      <c r="V605" s="25"/>
      <c r="W605" s="25"/>
      <c r="X605" s="68">
        <f t="shared" si="27"/>
        <v>1900</v>
      </c>
      <c r="Y605" s="25">
        <f t="shared" si="28"/>
        <v>1</v>
      </c>
      <c r="Z605" s="68">
        <f t="shared" si="29"/>
        <v>0</v>
      </c>
    </row>
    <row r="606" ht="13.85" spans="1:26">
      <c r="A606" s="25"/>
      <c r="F606" s="25"/>
      <c r="G606" s="25"/>
      <c r="H606" s="25"/>
      <c r="I606" s="25"/>
      <c r="J606" s="25"/>
      <c r="K606" s="25"/>
      <c r="L606" s="25"/>
      <c r="M606" s="25"/>
      <c r="N606" s="25"/>
      <c r="O606" s="25"/>
      <c r="P606" s="25"/>
      <c r="Q606" s="25"/>
      <c r="R606" s="25"/>
      <c r="S606" s="25"/>
      <c r="T606" s="25"/>
      <c r="U606" s="25"/>
      <c r="V606" s="25"/>
      <c r="W606" s="25"/>
      <c r="X606" s="68">
        <f t="shared" si="27"/>
        <v>1900</v>
      </c>
      <c r="Y606" s="25">
        <f t="shared" si="28"/>
        <v>1</v>
      </c>
      <c r="Z606" s="68">
        <f t="shared" si="29"/>
        <v>0</v>
      </c>
    </row>
    <row r="607" ht="13.85" spans="1:26">
      <c r="A607" s="25"/>
      <c r="F607" s="25"/>
      <c r="G607" s="25"/>
      <c r="H607" s="25"/>
      <c r="I607" s="25"/>
      <c r="J607" s="25"/>
      <c r="K607" s="25"/>
      <c r="L607" s="25"/>
      <c r="M607" s="25"/>
      <c r="N607" s="25"/>
      <c r="O607" s="25"/>
      <c r="P607" s="25"/>
      <c r="Q607" s="25"/>
      <c r="R607" s="25"/>
      <c r="S607" s="25"/>
      <c r="T607" s="25"/>
      <c r="U607" s="25"/>
      <c r="V607" s="25"/>
      <c r="W607" s="25"/>
      <c r="X607" s="68">
        <f t="shared" si="27"/>
        <v>1900</v>
      </c>
      <c r="Y607" s="25">
        <f t="shared" si="28"/>
        <v>1</v>
      </c>
      <c r="Z607" s="68">
        <f t="shared" si="29"/>
        <v>0</v>
      </c>
    </row>
    <row r="608" ht="13.85" spans="1:26">
      <c r="A608" s="25"/>
      <c r="F608" s="25"/>
      <c r="G608" s="25"/>
      <c r="H608" s="25"/>
      <c r="I608" s="25"/>
      <c r="J608" s="25"/>
      <c r="K608" s="25"/>
      <c r="L608" s="25"/>
      <c r="M608" s="25"/>
      <c r="N608" s="25"/>
      <c r="O608" s="25"/>
      <c r="P608" s="25"/>
      <c r="Q608" s="25"/>
      <c r="R608" s="25"/>
      <c r="S608" s="25"/>
      <c r="T608" s="25"/>
      <c r="U608" s="25"/>
      <c r="V608" s="25"/>
      <c r="W608" s="25"/>
      <c r="X608" s="68">
        <f t="shared" si="27"/>
        <v>1900</v>
      </c>
      <c r="Y608" s="25">
        <f t="shared" si="28"/>
        <v>1</v>
      </c>
      <c r="Z608" s="68">
        <f t="shared" si="29"/>
        <v>0</v>
      </c>
    </row>
    <row r="609" ht="13.85" spans="1:26">
      <c r="A609" s="25"/>
      <c r="F609" s="25"/>
      <c r="G609" s="25"/>
      <c r="H609" s="25"/>
      <c r="I609" s="25"/>
      <c r="J609" s="25"/>
      <c r="K609" s="25"/>
      <c r="L609" s="25"/>
      <c r="M609" s="25"/>
      <c r="N609" s="25"/>
      <c r="O609" s="25"/>
      <c r="P609" s="25"/>
      <c r="Q609" s="25"/>
      <c r="R609" s="25"/>
      <c r="S609" s="25"/>
      <c r="T609" s="25"/>
      <c r="U609" s="25"/>
      <c r="V609" s="25"/>
      <c r="W609" s="25"/>
      <c r="X609" s="68">
        <f t="shared" si="27"/>
        <v>1900</v>
      </c>
      <c r="Y609" s="25">
        <f t="shared" si="28"/>
        <v>1</v>
      </c>
      <c r="Z609" s="68">
        <f t="shared" si="29"/>
        <v>0</v>
      </c>
    </row>
    <row r="610" ht="13.85" spans="1:26">
      <c r="A610" s="25"/>
      <c r="F610" s="25"/>
      <c r="G610" s="25"/>
      <c r="H610" s="25"/>
      <c r="I610" s="25"/>
      <c r="J610" s="25"/>
      <c r="K610" s="25"/>
      <c r="L610" s="25"/>
      <c r="M610" s="25"/>
      <c r="N610" s="25"/>
      <c r="O610" s="25"/>
      <c r="P610" s="25"/>
      <c r="Q610" s="25"/>
      <c r="R610" s="25"/>
      <c r="S610" s="25"/>
      <c r="T610" s="25"/>
      <c r="U610" s="25"/>
      <c r="V610" s="25"/>
      <c r="W610" s="25"/>
      <c r="X610" s="68">
        <f t="shared" si="27"/>
        <v>1900</v>
      </c>
      <c r="Y610" s="25">
        <f t="shared" si="28"/>
        <v>1</v>
      </c>
      <c r="Z610" s="68">
        <f t="shared" si="29"/>
        <v>0</v>
      </c>
    </row>
    <row r="611" ht="13.85" spans="1:26">
      <c r="A611" s="25"/>
      <c r="F611" s="25"/>
      <c r="G611" s="25"/>
      <c r="H611" s="25"/>
      <c r="I611" s="25"/>
      <c r="J611" s="25"/>
      <c r="K611" s="25"/>
      <c r="L611" s="25"/>
      <c r="M611" s="25"/>
      <c r="N611" s="25"/>
      <c r="O611" s="25"/>
      <c r="P611" s="25"/>
      <c r="Q611" s="25"/>
      <c r="R611" s="25"/>
      <c r="S611" s="25"/>
      <c r="T611" s="25"/>
      <c r="U611" s="25"/>
      <c r="V611" s="25"/>
      <c r="W611" s="25"/>
      <c r="X611" s="68">
        <f t="shared" si="27"/>
        <v>1900</v>
      </c>
      <c r="Y611" s="25">
        <f t="shared" si="28"/>
        <v>1</v>
      </c>
      <c r="Z611" s="68">
        <f t="shared" si="29"/>
        <v>0</v>
      </c>
    </row>
    <row r="612" ht="13.85" spans="1:26">
      <c r="A612" s="25"/>
      <c r="F612" s="25"/>
      <c r="G612" s="25"/>
      <c r="H612" s="25"/>
      <c r="I612" s="25"/>
      <c r="J612" s="25"/>
      <c r="K612" s="25"/>
      <c r="L612" s="25"/>
      <c r="M612" s="25"/>
      <c r="N612" s="25"/>
      <c r="O612" s="25"/>
      <c r="P612" s="25"/>
      <c r="Q612" s="25"/>
      <c r="R612" s="25"/>
      <c r="S612" s="25"/>
      <c r="T612" s="25"/>
      <c r="U612" s="25"/>
      <c r="V612" s="25"/>
      <c r="W612" s="25"/>
      <c r="X612" s="68">
        <f t="shared" si="27"/>
        <v>1900</v>
      </c>
      <c r="Y612" s="25">
        <f t="shared" si="28"/>
        <v>1</v>
      </c>
      <c r="Z612" s="68">
        <f t="shared" si="29"/>
        <v>0</v>
      </c>
    </row>
    <row r="613" ht="13.85" spans="1:26">
      <c r="A613" s="25"/>
      <c r="F613" s="25"/>
      <c r="G613" s="25"/>
      <c r="H613" s="25"/>
      <c r="I613" s="25"/>
      <c r="J613" s="25"/>
      <c r="K613" s="25"/>
      <c r="L613" s="25"/>
      <c r="M613" s="25"/>
      <c r="N613" s="25"/>
      <c r="O613" s="25"/>
      <c r="P613" s="25"/>
      <c r="Q613" s="25"/>
      <c r="R613" s="25"/>
      <c r="S613" s="25"/>
      <c r="T613" s="25"/>
      <c r="U613" s="25"/>
      <c r="V613" s="25"/>
      <c r="W613" s="25"/>
      <c r="X613" s="68">
        <f t="shared" si="27"/>
        <v>1900</v>
      </c>
      <c r="Y613" s="25">
        <f t="shared" si="28"/>
        <v>1</v>
      </c>
      <c r="Z613" s="68">
        <f t="shared" si="29"/>
        <v>0</v>
      </c>
    </row>
    <row r="614" ht="13.85" spans="1:26">
      <c r="A614" s="25"/>
      <c r="F614" s="25"/>
      <c r="G614" s="25"/>
      <c r="H614" s="25"/>
      <c r="I614" s="25"/>
      <c r="J614" s="25"/>
      <c r="K614" s="25"/>
      <c r="L614" s="25"/>
      <c r="M614" s="25"/>
      <c r="N614" s="25"/>
      <c r="O614" s="25"/>
      <c r="P614" s="25"/>
      <c r="Q614" s="25"/>
      <c r="R614" s="25"/>
      <c r="S614" s="25"/>
      <c r="T614" s="25"/>
      <c r="U614" s="25"/>
      <c r="V614" s="25"/>
      <c r="W614" s="25"/>
      <c r="X614" s="68">
        <f t="shared" si="27"/>
        <v>1900</v>
      </c>
      <c r="Y614" s="25">
        <f t="shared" si="28"/>
        <v>1</v>
      </c>
      <c r="Z614" s="68">
        <f t="shared" si="29"/>
        <v>0</v>
      </c>
    </row>
    <row r="615" ht="13.85" spans="1:26">
      <c r="A615" s="25"/>
      <c r="F615" s="25"/>
      <c r="G615" s="25"/>
      <c r="H615" s="25"/>
      <c r="I615" s="25"/>
      <c r="J615" s="25"/>
      <c r="K615" s="25"/>
      <c r="L615" s="25"/>
      <c r="M615" s="25"/>
      <c r="N615" s="25"/>
      <c r="O615" s="25"/>
      <c r="P615" s="25"/>
      <c r="Q615" s="25"/>
      <c r="R615" s="25"/>
      <c r="S615" s="25"/>
      <c r="T615" s="25"/>
      <c r="U615" s="25"/>
      <c r="V615" s="25"/>
      <c r="W615" s="25"/>
      <c r="X615" s="68">
        <f t="shared" si="27"/>
        <v>1900</v>
      </c>
      <c r="Y615" s="25">
        <f t="shared" si="28"/>
        <v>1</v>
      </c>
      <c r="Z615" s="68">
        <f t="shared" si="29"/>
        <v>0</v>
      </c>
    </row>
    <row r="616" ht="13.85" spans="1:26">
      <c r="A616" s="25"/>
      <c r="F616" s="25"/>
      <c r="G616" s="25"/>
      <c r="H616" s="25"/>
      <c r="I616" s="25"/>
      <c r="J616" s="25"/>
      <c r="K616" s="25"/>
      <c r="L616" s="25"/>
      <c r="M616" s="25"/>
      <c r="N616" s="25"/>
      <c r="O616" s="25"/>
      <c r="P616" s="25"/>
      <c r="Q616" s="25"/>
      <c r="R616" s="25"/>
      <c r="S616" s="25"/>
      <c r="T616" s="25"/>
      <c r="U616" s="25"/>
      <c r="V616" s="25"/>
      <c r="W616" s="25"/>
      <c r="X616" s="68">
        <f t="shared" si="27"/>
        <v>1900</v>
      </c>
      <c r="Y616" s="25">
        <f t="shared" si="28"/>
        <v>1</v>
      </c>
      <c r="Z616" s="68">
        <f t="shared" si="29"/>
        <v>0</v>
      </c>
    </row>
    <row r="617" ht="13.85" spans="1:26">
      <c r="A617" s="25"/>
      <c r="F617" s="25"/>
      <c r="G617" s="25"/>
      <c r="H617" s="25"/>
      <c r="I617" s="25"/>
      <c r="J617" s="25"/>
      <c r="K617" s="25"/>
      <c r="L617" s="25"/>
      <c r="M617" s="25"/>
      <c r="N617" s="25"/>
      <c r="O617" s="25"/>
      <c r="P617" s="25"/>
      <c r="Q617" s="25"/>
      <c r="R617" s="25"/>
      <c r="S617" s="25"/>
      <c r="T617" s="25"/>
      <c r="U617" s="25"/>
      <c r="V617" s="25"/>
      <c r="W617" s="25"/>
      <c r="X617" s="68">
        <f t="shared" si="27"/>
        <v>1900</v>
      </c>
      <c r="Y617" s="25">
        <f t="shared" si="28"/>
        <v>1</v>
      </c>
      <c r="Z617" s="68">
        <f t="shared" si="29"/>
        <v>0</v>
      </c>
    </row>
    <row r="618" ht="13.85" spans="1:26">
      <c r="A618" s="25"/>
      <c r="F618" s="25"/>
      <c r="G618" s="25"/>
      <c r="H618" s="25"/>
      <c r="I618" s="25"/>
      <c r="J618" s="25"/>
      <c r="K618" s="25"/>
      <c r="L618" s="25"/>
      <c r="M618" s="25"/>
      <c r="N618" s="25"/>
      <c r="O618" s="25"/>
      <c r="P618" s="25"/>
      <c r="Q618" s="25"/>
      <c r="R618" s="25"/>
      <c r="S618" s="25"/>
      <c r="T618" s="25"/>
      <c r="U618" s="25"/>
      <c r="V618" s="25"/>
      <c r="W618" s="25"/>
      <c r="X618" s="68">
        <f t="shared" si="27"/>
        <v>1900</v>
      </c>
      <c r="Y618" s="25">
        <f t="shared" si="28"/>
        <v>1</v>
      </c>
      <c r="Z618" s="68">
        <f t="shared" si="29"/>
        <v>0</v>
      </c>
    </row>
    <row r="619" ht="13.85" spans="1:26">
      <c r="A619" s="25"/>
      <c r="F619" s="25"/>
      <c r="G619" s="25"/>
      <c r="H619" s="25"/>
      <c r="I619" s="25"/>
      <c r="J619" s="25"/>
      <c r="K619" s="25"/>
      <c r="L619" s="25"/>
      <c r="M619" s="25"/>
      <c r="N619" s="25"/>
      <c r="O619" s="25"/>
      <c r="P619" s="25"/>
      <c r="Q619" s="25"/>
      <c r="R619" s="25"/>
      <c r="S619" s="25"/>
      <c r="T619" s="25"/>
      <c r="U619" s="25"/>
      <c r="V619" s="25"/>
      <c r="W619" s="25"/>
      <c r="X619" s="68">
        <f t="shared" si="27"/>
        <v>1900</v>
      </c>
      <c r="Y619" s="25">
        <f t="shared" si="28"/>
        <v>1</v>
      </c>
      <c r="Z619" s="68">
        <f t="shared" si="29"/>
        <v>0</v>
      </c>
    </row>
    <row r="620" ht="13.85" spans="1:26">
      <c r="A620" s="25"/>
      <c r="F620" s="25"/>
      <c r="G620" s="25"/>
      <c r="H620" s="25"/>
      <c r="I620" s="25"/>
      <c r="J620" s="25"/>
      <c r="K620" s="25"/>
      <c r="L620" s="25"/>
      <c r="M620" s="25"/>
      <c r="N620" s="25"/>
      <c r="O620" s="25"/>
      <c r="P620" s="25"/>
      <c r="Q620" s="25"/>
      <c r="R620" s="25"/>
      <c r="S620" s="25"/>
      <c r="T620" s="25"/>
      <c r="U620" s="25"/>
      <c r="V620" s="25"/>
      <c r="W620" s="25"/>
      <c r="X620" s="68">
        <f t="shared" si="27"/>
        <v>1900</v>
      </c>
      <c r="Y620" s="25">
        <f t="shared" si="28"/>
        <v>1</v>
      </c>
      <c r="Z620" s="68">
        <f t="shared" si="29"/>
        <v>0</v>
      </c>
    </row>
    <row r="621" ht="13.85" spans="1:26">
      <c r="A621" s="25"/>
      <c r="F621" s="25"/>
      <c r="G621" s="25"/>
      <c r="H621" s="25"/>
      <c r="I621" s="25"/>
      <c r="J621" s="25"/>
      <c r="K621" s="25"/>
      <c r="L621" s="25"/>
      <c r="M621" s="25"/>
      <c r="N621" s="25"/>
      <c r="O621" s="25"/>
      <c r="P621" s="25"/>
      <c r="Q621" s="25"/>
      <c r="R621" s="25"/>
      <c r="S621" s="25"/>
      <c r="T621" s="25"/>
      <c r="U621" s="25"/>
      <c r="V621" s="25"/>
      <c r="W621" s="25"/>
      <c r="X621" s="68">
        <f t="shared" si="27"/>
        <v>1900</v>
      </c>
      <c r="Y621" s="25">
        <f t="shared" si="28"/>
        <v>1</v>
      </c>
      <c r="Z621" s="68">
        <f t="shared" si="29"/>
        <v>0</v>
      </c>
    </row>
    <row r="622" ht="13.85" spans="1:26">
      <c r="A622" s="25"/>
      <c r="F622" s="25"/>
      <c r="G622" s="25"/>
      <c r="H622" s="25"/>
      <c r="I622" s="25"/>
      <c r="J622" s="25"/>
      <c r="K622" s="25"/>
      <c r="L622" s="25"/>
      <c r="M622" s="25"/>
      <c r="N622" s="25"/>
      <c r="O622" s="25"/>
      <c r="P622" s="25"/>
      <c r="Q622" s="25"/>
      <c r="R622" s="25"/>
      <c r="S622" s="25"/>
      <c r="T622" s="25"/>
      <c r="U622" s="25"/>
      <c r="V622" s="25"/>
      <c r="W622" s="25"/>
      <c r="X622" s="68">
        <f t="shared" si="27"/>
        <v>1900</v>
      </c>
      <c r="Y622" s="25">
        <f t="shared" si="28"/>
        <v>1</v>
      </c>
      <c r="Z622" s="68">
        <f t="shared" si="29"/>
        <v>0</v>
      </c>
    </row>
    <row r="623" ht="13.85" spans="1:26">
      <c r="A623" s="25"/>
      <c r="F623" s="25"/>
      <c r="G623" s="25"/>
      <c r="H623" s="25"/>
      <c r="I623" s="25"/>
      <c r="J623" s="25"/>
      <c r="K623" s="25"/>
      <c r="L623" s="25"/>
      <c r="M623" s="25"/>
      <c r="N623" s="25"/>
      <c r="O623" s="25"/>
      <c r="P623" s="25"/>
      <c r="Q623" s="25"/>
      <c r="R623" s="25"/>
      <c r="S623" s="25"/>
      <c r="T623" s="25"/>
      <c r="U623" s="25"/>
      <c r="V623" s="25"/>
      <c r="W623" s="25"/>
      <c r="X623" s="68">
        <f t="shared" si="27"/>
        <v>1900</v>
      </c>
      <c r="Y623" s="25">
        <f t="shared" si="28"/>
        <v>1</v>
      </c>
      <c r="Z623" s="68">
        <f t="shared" si="29"/>
        <v>0</v>
      </c>
    </row>
    <row r="624" ht="13.85" spans="1:26">
      <c r="A624" s="25"/>
      <c r="F624" s="25"/>
      <c r="G624" s="25"/>
      <c r="H624" s="25"/>
      <c r="I624" s="25"/>
      <c r="J624" s="25"/>
      <c r="K624" s="25"/>
      <c r="L624" s="25"/>
      <c r="M624" s="25"/>
      <c r="N624" s="25"/>
      <c r="O624" s="25"/>
      <c r="P624" s="25"/>
      <c r="Q624" s="25"/>
      <c r="R624" s="25"/>
      <c r="S624" s="25"/>
      <c r="T624" s="25"/>
      <c r="U624" s="25"/>
      <c r="V624" s="25"/>
      <c r="W624" s="25"/>
      <c r="X624" s="68">
        <f t="shared" si="27"/>
        <v>1900</v>
      </c>
      <c r="Y624" s="25">
        <f t="shared" si="28"/>
        <v>1</v>
      </c>
      <c r="Z624" s="68">
        <f t="shared" si="29"/>
        <v>0</v>
      </c>
    </row>
    <row r="625" ht="13.85" spans="1:26">
      <c r="A625" s="25"/>
      <c r="F625" s="25"/>
      <c r="G625" s="25"/>
      <c r="H625" s="25"/>
      <c r="I625" s="25"/>
      <c r="J625" s="25"/>
      <c r="K625" s="25"/>
      <c r="L625" s="25"/>
      <c r="M625" s="25"/>
      <c r="N625" s="25"/>
      <c r="O625" s="25"/>
      <c r="P625" s="25"/>
      <c r="Q625" s="25"/>
      <c r="R625" s="25"/>
      <c r="S625" s="25"/>
      <c r="T625" s="25"/>
      <c r="U625" s="25"/>
      <c r="V625" s="25"/>
      <c r="W625" s="25"/>
      <c r="X625" s="68">
        <f t="shared" si="27"/>
        <v>1900</v>
      </c>
      <c r="Y625" s="25">
        <f t="shared" si="28"/>
        <v>1</v>
      </c>
      <c r="Z625" s="68">
        <f t="shared" si="29"/>
        <v>0</v>
      </c>
    </row>
    <row r="626" ht="13.85" spans="1:26">
      <c r="A626" s="25"/>
      <c r="F626" s="25"/>
      <c r="G626" s="25"/>
      <c r="H626" s="25"/>
      <c r="I626" s="25"/>
      <c r="J626" s="25"/>
      <c r="K626" s="25"/>
      <c r="L626" s="25"/>
      <c r="M626" s="25"/>
      <c r="N626" s="25"/>
      <c r="O626" s="25"/>
      <c r="P626" s="25"/>
      <c r="Q626" s="25"/>
      <c r="R626" s="25"/>
      <c r="S626" s="25"/>
      <c r="T626" s="25"/>
      <c r="U626" s="25"/>
      <c r="V626" s="25"/>
      <c r="W626" s="25"/>
      <c r="X626" s="68">
        <f t="shared" si="27"/>
        <v>1900</v>
      </c>
      <c r="Y626" s="25">
        <f t="shared" si="28"/>
        <v>1</v>
      </c>
      <c r="Z626" s="68">
        <f t="shared" si="29"/>
        <v>0</v>
      </c>
    </row>
    <row r="627" ht="13.85" spans="1:26">
      <c r="A627" s="25"/>
      <c r="F627" s="25"/>
      <c r="G627" s="25"/>
      <c r="H627" s="25"/>
      <c r="I627" s="25"/>
      <c r="J627" s="25"/>
      <c r="K627" s="25"/>
      <c r="L627" s="25"/>
      <c r="M627" s="25"/>
      <c r="N627" s="25"/>
      <c r="O627" s="25"/>
      <c r="P627" s="25"/>
      <c r="Q627" s="25"/>
      <c r="R627" s="25"/>
      <c r="S627" s="25"/>
      <c r="T627" s="25"/>
      <c r="U627" s="25"/>
      <c r="V627" s="25"/>
      <c r="W627" s="25"/>
      <c r="X627" s="68">
        <f t="shared" si="27"/>
        <v>1900</v>
      </c>
      <c r="Y627" s="25">
        <f t="shared" si="28"/>
        <v>1</v>
      </c>
      <c r="Z627" s="68">
        <f t="shared" si="29"/>
        <v>0</v>
      </c>
    </row>
    <row r="628" ht="13.85" spans="1:26">
      <c r="A628" s="25"/>
      <c r="F628" s="25"/>
      <c r="G628" s="25"/>
      <c r="H628" s="25"/>
      <c r="I628" s="25"/>
      <c r="J628" s="25"/>
      <c r="K628" s="25"/>
      <c r="L628" s="25"/>
      <c r="M628" s="25"/>
      <c r="N628" s="25"/>
      <c r="O628" s="25"/>
      <c r="P628" s="25"/>
      <c r="Q628" s="25"/>
      <c r="R628" s="25"/>
      <c r="S628" s="25"/>
      <c r="T628" s="25"/>
      <c r="U628" s="25"/>
      <c r="V628" s="25"/>
      <c r="W628" s="25"/>
      <c r="X628" s="68">
        <f t="shared" si="27"/>
        <v>1900</v>
      </c>
      <c r="Y628" s="25">
        <f t="shared" si="28"/>
        <v>1</v>
      </c>
      <c r="Z628" s="68">
        <f t="shared" si="29"/>
        <v>0</v>
      </c>
    </row>
    <row r="629" ht="13.85" spans="1:26">
      <c r="A629" s="25"/>
      <c r="F629" s="25"/>
      <c r="G629" s="25"/>
      <c r="H629" s="25"/>
      <c r="I629" s="25"/>
      <c r="J629" s="25"/>
      <c r="K629" s="25"/>
      <c r="L629" s="25"/>
      <c r="M629" s="25"/>
      <c r="N629" s="25"/>
      <c r="O629" s="25"/>
      <c r="P629" s="25"/>
      <c r="Q629" s="25"/>
      <c r="R629" s="25"/>
      <c r="S629" s="25"/>
      <c r="T629" s="25"/>
      <c r="U629" s="25"/>
      <c r="V629" s="25"/>
      <c r="W629" s="25"/>
      <c r="X629" s="68">
        <f t="shared" si="27"/>
        <v>1900</v>
      </c>
      <c r="Y629" s="25">
        <f t="shared" si="28"/>
        <v>1</v>
      </c>
      <c r="Z629" s="68">
        <f t="shared" si="29"/>
        <v>0</v>
      </c>
    </row>
    <row r="630" ht="13.85" spans="1:26">
      <c r="A630" s="25"/>
      <c r="F630" s="25"/>
      <c r="G630" s="25"/>
      <c r="H630" s="25"/>
      <c r="I630" s="25"/>
      <c r="J630" s="25"/>
      <c r="K630" s="25"/>
      <c r="L630" s="25"/>
      <c r="M630" s="25"/>
      <c r="N630" s="25"/>
      <c r="O630" s="25"/>
      <c r="P630" s="25"/>
      <c r="Q630" s="25"/>
      <c r="R630" s="25"/>
      <c r="S630" s="25"/>
      <c r="T630" s="25"/>
      <c r="U630" s="25"/>
      <c r="V630" s="25"/>
      <c r="W630" s="25"/>
      <c r="X630" s="68">
        <f t="shared" si="27"/>
        <v>1900</v>
      </c>
      <c r="Y630" s="25">
        <f t="shared" si="28"/>
        <v>1</v>
      </c>
      <c r="Z630" s="68">
        <f t="shared" si="29"/>
        <v>0</v>
      </c>
    </row>
    <row r="631" ht="13.85" spans="1:26">
      <c r="A631" s="25"/>
      <c r="F631" s="25"/>
      <c r="G631" s="25"/>
      <c r="H631" s="25"/>
      <c r="I631" s="25"/>
      <c r="J631" s="25"/>
      <c r="K631" s="25"/>
      <c r="L631" s="25"/>
      <c r="M631" s="25"/>
      <c r="N631" s="25"/>
      <c r="O631" s="25"/>
      <c r="P631" s="25"/>
      <c r="Q631" s="25"/>
      <c r="R631" s="25"/>
      <c r="S631" s="25"/>
      <c r="T631" s="25"/>
      <c r="U631" s="25"/>
      <c r="V631" s="25"/>
      <c r="W631" s="25"/>
      <c r="X631" s="68">
        <f t="shared" si="27"/>
        <v>1900</v>
      </c>
      <c r="Y631" s="25">
        <f t="shared" si="28"/>
        <v>1</v>
      </c>
      <c r="Z631" s="68">
        <f t="shared" si="29"/>
        <v>0</v>
      </c>
    </row>
    <row r="632" ht="13.85" spans="1:26">
      <c r="A632" s="25"/>
      <c r="F632" s="25"/>
      <c r="G632" s="25"/>
      <c r="H632" s="25"/>
      <c r="I632" s="25"/>
      <c r="J632" s="25"/>
      <c r="K632" s="25"/>
      <c r="L632" s="25"/>
      <c r="M632" s="25"/>
      <c r="N632" s="25"/>
      <c r="O632" s="25"/>
      <c r="P632" s="25"/>
      <c r="Q632" s="25"/>
      <c r="R632" s="25"/>
      <c r="S632" s="25"/>
      <c r="T632" s="25"/>
      <c r="U632" s="25"/>
      <c r="V632" s="25"/>
      <c r="W632" s="25"/>
      <c r="X632" s="68">
        <f t="shared" si="27"/>
        <v>1900</v>
      </c>
      <c r="Y632" s="25">
        <f t="shared" si="28"/>
        <v>1</v>
      </c>
      <c r="Z632" s="68">
        <f t="shared" si="29"/>
        <v>0</v>
      </c>
    </row>
    <row r="633" ht="13.85" spans="1:26">
      <c r="A633" s="25"/>
      <c r="F633" s="25"/>
      <c r="G633" s="25"/>
      <c r="H633" s="25"/>
      <c r="I633" s="25"/>
      <c r="J633" s="25"/>
      <c r="K633" s="25"/>
      <c r="L633" s="25"/>
      <c r="M633" s="25"/>
      <c r="N633" s="25"/>
      <c r="O633" s="25"/>
      <c r="P633" s="25"/>
      <c r="Q633" s="25"/>
      <c r="R633" s="25"/>
      <c r="S633" s="25"/>
      <c r="T633" s="25"/>
      <c r="U633" s="25"/>
      <c r="V633" s="25"/>
      <c r="W633" s="25"/>
      <c r="X633" s="68">
        <f t="shared" si="27"/>
        <v>1900</v>
      </c>
      <c r="Y633" s="25">
        <f t="shared" si="28"/>
        <v>1</v>
      </c>
      <c r="Z633" s="68">
        <f t="shared" si="29"/>
        <v>0</v>
      </c>
    </row>
    <row r="634" ht="13.85" spans="1:26">
      <c r="A634" s="25"/>
      <c r="F634" s="25"/>
      <c r="G634" s="25"/>
      <c r="H634" s="25"/>
      <c r="I634" s="25"/>
      <c r="J634" s="25"/>
      <c r="K634" s="25"/>
      <c r="L634" s="25"/>
      <c r="M634" s="25"/>
      <c r="N634" s="25"/>
      <c r="O634" s="25"/>
      <c r="P634" s="25"/>
      <c r="Q634" s="25"/>
      <c r="R634" s="25"/>
      <c r="S634" s="25"/>
      <c r="T634" s="25"/>
      <c r="U634" s="25"/>
      <c r="V634" s="25"/>
      <c r="W634" s="25"/>
      <c r="X634" s="68">
        <f t="shared" si="27"/>
        <v>1900</v>
      </c>
      <c r="Y634" s="25">
        <f t="shared" si="28"/>
        <v>1</v>
      </c>
      <c r="Z634" s="68">
        <f t="shared" si="29"/>
        <v>0</v>
      </c>
    </row>
    <row r="635" ht="13.85" spans="1:26">
      <c r="A635" s="25"/>
      <c r="F635" s="25"/>
      <c r="G635" s="25"/>
      <c r="H635" s="25"/>
      <c r="I635" s="25"/>
      <c r="J635" s="25"/>
      <c r="K635" s="25"/>
      <c r="L635" s="25"/>
      <c r="M635" s="25"/>
      <c r="N635" s="25"/>
      <c r="O635" s="25"/>
      <c r="P635" s="25"/>
      <c r="Q635" s="25"/>
      <c r="R635" s="25"/>
      <c r="S635" s="25"/>
      <c r="T635" s="25"/>
      <c r="U635" s="25"/>
      <c r="V635" s="25"/>
      <c r="W635" s="25"/>
      <c r="X635" s="68">
        <f t="shared" si="27"/>
        <v>1900</v>
      </c>
      <c r="Y635" s="25">
        <f t="shared" si="28"/>
        <v>1</v>
      </c>
      <c r="Z635" s="68">
        <f t="shared" si="29"/>
        <v>0</v>
      </c>
    </row>
    <row r="636" ht="13.85" spans="1:26">
      <c r="A636" s="25"/>
      <c r="F636" s="25"/>
      <c r="G636" s="25"/>
      <c r="H636" s="25"/>
      <c r="I636" s="25"/>
      <c r="J636" s="25"/>
      <c r="K636" s="25"/>
      <c r="L636" s="25"/>
      <c r="M636" s="25"/>
      <c r="N636" s="25"/>
      <c r="O636" s="25"/>
      <c r="P636" s="25"/>
      <c r="Q636" s="25"/>
      <c r="R636" s="25"/>
      <c r="S636" s="25"/>
      <c r="T636" s="25"/>
      <c r="U636" s="25"/>
      <c r="V636" s="25"/>
      <c r="W636" s="25"/>
      <c r="X636" s="68">
        <f t="shared" si="27"/>
        <v>1900</v>
      </c>
      <c r="Y636" s="25">
        <f t="shared" si="28"/>
        <v>1</v>
      </c>
      <c r="Z636" s="68">
        <f t="shared" si="29"/>
        <v>0</v>
      </c>
    </row>
    <row r="637" ht="13.85" spans="1:26">
      <c r="A637" s="25"/>
      <c r="F637" s="25"/>
      <c r="G637" s="25"/>
      <c r="H637" s="25"/>
      <c r="I637" s="25"/>
      <c r="J637" s="25"/>
      <c r="K637" s="25"/>
      <c r="L637" s="25"/>
      <c r="M637" s="25"/>
      <c r="N637" s="25"/>
      <c r="O637" s="25"/>
      <c r="P637" s="25"/>
      <c r="Q637" s="25"/>
      <c r="R637" s="25"/>
      <c r="S637" s="25"/>
      <c r="T637" s="25"/>
      <c r="U637" s="25"/>
      <c r="V637" s="25"/>
      <c r="W637" s="25"/>
      <c r="X637" s="68">
        <f t="shared" si="27"/>
        <v>1900</v>
      </c>
      <c r="Y637" s="25">
        <f t="shared" si="28"/>
        <v>1</v>
      </c>
      <c r="Z637" s="68">
        <f t="shared" si="29"/>
        <v>0</v>
      </c>
    </row>
    <row r="638" ht="13.85" spans="1:26">
      <c r="A638" s="25"/>
      <c r="F638" s="25"/>
      <c r="G638" s="25"/>
      <c r="H638" s="25"/>
      <c r="I638" s="25"/>
      <c r="J638" s="25"/>
      <c r="K638" s="25"/>
      <c r="L638" s="25"/>
      <c r="M638" s="25"/>
      <c r="N638" s="25"/>
      <c r="O638" s="25"/>
      <c r="P638" s="25"/>
      <c r="Q638" s="25"/>
      <c r="R638" s="25"/>
      <c r="S638" s="25"/>
      <c r="T638" s="25"/>
      <c r="U638" s="25"/>
      <c r="V638" s="25"/>
      <c r="W638" s="25"/>
      <c r="X638" s="68">
        <f t="shared" si="27"/>
        <v>1900</v>
      </c>
      <c r="Y638" s="25">
        <f t="shared" si="28"/>
        <v>1</v>
      </c>
      <c r="Z638" s="68">
        <f t="shared" si="29"/>
        <v>0</v>
      </c>
    </row>
    <row r="639" ht="13.85" spans="1:26">
      <c r="A639" s="25"/>
      <c r="F639" s="25"/>
      <c r="G639" s="25"/>
      <c r="H639" s="25"/>
      <c r="I639" s="25"/>
      <c r="J639" s="25"/>
      <c r="K639" s="25"/>
      <c r="L639" s="25"/>
      <c r="M639" s="25"/>
      <c r="N639" s="25"/>
      <c r="O639" s="25"/>
      <c r="P639" s="25"/>
      <c r="Q639" s="25"/>
      <c r="R639" s="25"/>
      <c r="S639" s="25"/>
      <c r="T639" s="25"/>
      <c r="U639" s="25"/>
      <c r="V639" s="25"/>
      <c r="W639" s="25"/>
      <c r="X639" s="68">
        <f t="shared" si="27"/>
        <v>1900</v>
      </c>
      <c r="Y639" s="25">
        <f t="shared" si="28"/>
        <v>1</v>
      </c>
      <c r="Z639" s="68">
        <f t="shared" si="29"/>
        <v>0</v>
      </c>
    </row>
    <row r="640" ht="13.85" spans="1:26">
      <c r="A640" s="25"/>
      <c r="F640" s="25"/>
      <c r="G640" s="25"/>
      <c r="H640" s="25"/>
      <c r="I640" s="25"/>
      <c r="J640" s="25"/>
      <c r="K640" s="25"/>
      <c r="L640" s="25"/>
      <c r="M640" s="25"/>
      <c r="N640" s="25"/>
      <c r="O640" s="25"/>
      <c r="P640" s="25"/>
      <c r="Q640" s="25"/>
      <c r="R640" s="25"/>
      <c r="S640" s="25"/>
      <c r="T640" s="25"/>
      <c r="U640" s="25"/>
      <c r="V640" s="25"/>
      <c r="W640" s="25"/>
      <c r="X640" s="68">
        <f t="shared" si="27"/>
        <v>1900</v>
      </c>
      <c r="Y640" s="25">
        <f t="shared" si="28"/>
        <v>1</v>
      </c>
      <c r="Z640" s="68">
        <f t="shared" si="29"/>
        <v>0</v>
      </c>
    </row>
    <row r="641" ht="13.85" spans="1:26">
      <c r="A641" s="25"/>
      <c r="F641" s="25"/>
      <c r="G641" s="25"/>
      <c r="H641" s="25"/>
      <c r="I641" s="25"/>
      <c r="J641" s="25"/>
      <c r="K641" s="25"/>
      <c r="L641" s="25"/>
      <c r="M641" s="25"/>
      <c r="N641" s="25"/>
      <c r="O641" s="25"/>
      <c r="P641" s="25"/>
      <c r="Q641" s="25"/>
      <c r="R641" s="25"/>
      <c r="S641" s="25"/>
      <c r="T641" s="25"/>
      <c r="U641" s="25"/>
      <c r="V641" s="25"/>
      <c r="W641" s="25"/>
      <c r="X641" s="68">
        <f t="shared" si="27"/>
        <v>1900</v>
      </c>
      <c r="Y641" s="25">
        <f t="shared" si="28"/>
        <v>1</v>
      </c>
      <c r="Z641" s="68">
        <f t="shared" si="29"/>
        <v>0</v>
      </c>
    </row>
    <row r="642" ht="13.85" spans="1:26">
      <c r="A642" s="25"/>
      <c r="F642" s="25"/>
      <c r="G642" s="25"/>
      <c r="H642" s="25"/>
      <c r="I642" s="25"/>
      <c r="J642" s="25"/>
      <c r="K642" s="25"/>
      <c r="L642" s="25"/>
      <c r="M642" s="25"/>
      <c r="N642" s="25"/>
      <c r="O642" s="25"/>
      <c r="P642" s="25"/>
      <c r="Q642" s="25"/>
      <c r="R642" s="25"/>
      <c r="S642" s="25"/>
      <c r="T642" s="25"/>
      <c r="U642" s="25"/>
      <c r="V642" s="25"/>
      <c r="W642" s="25"/>
      <c r="X642" s="68">
        <f t="shared" ref="X642:X705" si="30">YEAR(C642)</f>
        <v>1900</v>
      </c>
      <c r="Y642" s="25">
        <f t="shared" ref="Y642:Y705" si="31">MONTH(C642)</f>
        <v>1</v>
      </c>
      <c r="Z642" s="68">
        <f t="shared" ref="Z642:Z705" si="32">DAY(C642)</f>
        <v>0</v>
      </c>
    </row>
    <row r="643" ht="13.85" spans="1:26">
      <c r="A643" s="25"/>
      <c r="F643" s="25"/>
      <c r="G643" s="25"/>
      <c r="H643" s="25"/>
      <c r="I643" s="25"/>
      <c r="J643" s="25"/>
      <c r="K643" s="25"/>
      <c r="L643" s="25"/>
      <c r="M643" s="25"/>
      <c r="N643" s="25"/>
      <c r="O643" s="25"/>
      <c r="P643" s="25"/>
      <c r="Q643" s="25"/>
      <c r="R643" s="25"/>
      <c r="S643" s="25"/>
      <c r="T643" s="25"/>
      <c r="U643" s="25"/>
      <c r="V643" s="25"/>
      <c r="W643" s="25"/>
      <c r="X643" s="68">
        <f t="shared" si="30"/>
        <v>1900</v>
      </c>
      <c r="Y643" s="25">
        <f t="shared" si="31"/>
        <v>1</v>
      </c>
      <c r="Z643" s="68">
        <f t="shared" si="32"/>
        <v>0</v>
      </c>
    </row>
    <row r="644" ht="13.85" spans="1:26">
      <c r="A644" s="25"/>
      <c r="F644" s="25"/>
      <c r="G644" s="25"/>
      <c r="H644" s="25"/>
      <c r="I644" s="25"/>
      <c r="J644" s="25"/>
      <c r="K644" s="25"/>
      <c r="L644" s="25"/>
      <c r="M644" s="25"/>
      <c r="N644" s="25"/>
      <c r="O644" s="25"/>
      <c r="P644" s="25"/>
      <c r="Q644" s="25"/>
      <c r="R644" s="25"/>
      <c r="S644" s="25"/>
      <c r="T644" s="25"/>
      <c r="U644" s="25"/>
      <c r="V644" s="25"/>
      <c r="W644" s="25"/>
      <c r="X644" s="68">
        <f t="shared" si="30"/>
        <v>1900</v>
      </c>
      <c r="Y644" s="25">
        <f t="shared" si="31"/>
        <v>1</v>
      </c>
      <c r="Z644" s="68">
        <f t="shared" si="32"/>
        <v>0</v>
      </c>
    </row>
    <row r="645" ht="13.85" spans="1:26">
      <c r="A645" s="25"/>
      <c r="F645" s="25"/>
      <c r="G645" s="25"/>
      <c r="H645" s="25"/>
      <c r="I645" s="25"/>
      <c r="J645" s="25"/>
      <c r="K645" s="25"/>
      <c r="L645" s="25"/>
      <c r="M645" s="25"/>
      <c r="N645" s="25"/>
      <c r="O645" s="25"/>
      <c r="P645" s="25"/>
      <c r="Q645" s="25"/>
      <c r="R645" s="25"/>
      <c r="S645" s="25"/>
      <c r="T645" s="25"/>
      <c r="U645" s="25"/>
      <c r="V645" s="25"/>
      <c r="W645" s="25"/>
      <c r="X645" s="68">
        <f t="shared" si="30"/>
        <v>1900</v>
      </c>
      <c r="Y645" s="25">
        <f t="shared" si="31"/>
        <v>1</v>
      </c>
      <c r="Z645" s="68">
        <f t="shared" si="32"/>
        <v>0</v>
      </c>
    </row>
    <row r="646" ht="13.85" spans="1:26">
      <c r="A646" s="25"/>
      <c r="F646" s="25"/>
      <c r="G646" s="25"/>
      <c r="H646" s="25"/>
      <c r="I646" s="25"/>
      <c r="J646" s="25"/>
      <c r="K646" s="25"/>
      <c r="L646" s="25"/>
      <c r="M646" s="25"/>
      <c r="N646" s="25"/>
      <c r="O646" s="25"/>
      <c r="P646" s="25"/>
      <c r="Q646" s="25"/>
      <c r="R646" s="25"/>
      <c r="S646" s="25"/>
      <c r="T646" s="25"/>
      <c r="U646" s="25"/>
      <c r="V646" s="25"/>
      <c r="W646" s="25"/>
      <c r="X646" s="68">
        <f t="shared" si="30"/>
        <v>1900</v>
      </c>
      <c r="Y646" s="25">
        <f t="shared" si="31"/>
        <v>1</v>
      </c>
      <c r="Z646" s="68">
        <f t="shared" si="32"/>
        <v>0</v>
      </c>
    </row>
    <row r="647" ht="13.85" spans="1:26">
      <c r="A647" s="25"/>
      <c r="F647" s="25"/>
      <c r="G647" s="25"/>
      <c r="H647" s="25"/>
      <c r="I647" s="25"/>
      <c r="J647" s="25"/>
      <c r="K647" s="25"/>
      <c r="L647" s="25"/>
      <c r="M647" s="25"/>
      <c r="N647" s="25"/>
      <c r="O647" s="25"/>
      <c r="P647" s="25"/>
      <c r="Q647" s="25"/>
      <c r="R647" s="25"/>
      <c r="S647" s="25"/>
      <c r="T647" s="25"/>
      <c r="U647" s="25"/>
      <c r="V647" s="25"/>
      <c r="W647" s="25"/>
      <c r="X647" s="68">
        <f t="shared" si="30"/>
        <v>1900</v>
      </c>
      <c r="Y647" s="25">
        <f t="shared" si="31"/>
        <v>1</v>
      </c>
      <c r="Z647" s="68">
        <f t="shared" si="32"/>
        <v>0</v>
      </c>
    </row>
    <row r="648" ht="13.85" spans="1:26">
      <c r="A648" s="25"/>
      <c r="F648" s="25"/>
      <c r="G648" s="25"/>
      <c r="H648" s="25"/>
      <c r="I648" s="25"/>
      <c r="J648" s="25"/>
      <c r="K648" s="25"/>
      <c r="L648" s="25"/>
      <c r="M648" s="25"/>
      <c r="N648" s="25"/>
      <c r="O648" s="25"/>
      <c r="P648" s="25"/>
      <c r="Q648" s="25"/>
      <c r="R648" s="25"/>
      <c r="S648" s="25"/>
      <c r="T648" s="25"/>
      <c r="U648" s="25"/>
      <c r="V648" s="25"/>
      <c r="W648" s="25"/>
      <c r="X648" s="68">
        <f t="shared" si="30"/>
        <v>1900</v>
      </c>
      <c r="Y648" s="25">
        <f t="shared" si="31"/>
        <v>1</v>
      </c>
      <c r="Z648" s="68">
        <f t="shared" si="32"/>
        <v>0</v>
      </c>
    </row>
    <row r="649" ht="13.85" spans="1:26">
      <c r="A649" s="25"/>
      <c r="F649" s="25"/>
      <c r="G649" s="25"/>
      <c r="H649" s="25"/>
      <c r="I649" s="25"/>
      <c r="J649" s="25"/>
      <c r="K649" s="25"/>
      <c r="L649" s="25"/>
      <c r="M649" s="25"/>
      <c r="N649" s="25"/>
      <c r="O649" s="25"/>
      <c r="P649" s="25"/>
      <c r="Q649" s="25"/>
      <c r="R649" s="25"/>
      <c r="S649" s="25"/>
      <c r="T649" s="25"/>
      <c r="U649" s="25"/>
      <c r="V649" s="25"/>
      <c r="W649" s="25"/>
      <c r="X649" s="68">
        <f t="shared" si="30"/>
        <v>1900</v>
      </c>
      <c r="Y649" s="25">
        <f t="shared" si="31"/>
        <v>1</v>
      </c>
      <c r="Z649" s="68">
        <f t="shared" si="32"/>
        <v>0</v>
      </c>
    </row>
    <row r="650" ht="13.85" spans="1:26">
      <c r="A650" s="25"/>
      <c r="F650" s="25"/>
      <c r="G650" s="25"/>
      <c r="H650" s="25"/>
      <c r="I650" s="25"/>
      <c r="J650" s="25"/>
      <c r="K650" s="25"/>
      <c r="L650" s="25"/>
      <c r="M650" s="25"/>
      <c r="N650" s="25"/>
      <c r="O650" s="25"/>
      <c r="P650" s="25"/>
      <c r="Q650" s="25"/>
      <c r="R650" s="25"/>
      <c r="S650" s="25"/>
      <c r="T650" s="25"/>
      <c r="U650" s="25"/>
      <c r="V650" s="25"/>
      <c r="W650" s="25"/>
      <c r="X650" s="68">
        <f t="shared" si="30"/>
        <v>1900</v>
      </c>
      <c r="Y650" s="25">
        <f t="shared" si="31"/>
        <v>1</v>
      </c>
      <c r="Z650" s="68">
        <f t="shared" si="32"/>
        <v>0</v>
      </c>
    </row>
    <row r="651" ht="13.85" spans="1:26">
      <c r="A651" s="25"/>
      <c r="F651" s="25"/>
      <c r="G651" s="25"/>
      <c r="H651" s="25"/>
      <c r="I651" s="25"/>
      <c r="J651" s="25"/>
      <c r="K651" s="25"/>
      <c r="L651" s="25"/>
      <c r="M651" s="25"/>
      <c r="N651" s="25"/>
      <c r="O651" s="25"/>
      <c r="P651" s="25"/>
      <c r="Q651" s="25"/>
      <c r="R651" s="25"/>
      <c r="S651" s="25"/>
      <c r="T651" s="25"/>
      <c r="U651" s="25"/>
      <c r="V651" s="25"/>
      <c r="W651" s="25"/>
      <c r="X651" s="68">
        <f t="shared" si="30"/>
        <v>1900</v>
      </c>
      <c r="Y651" s="25">
        <f t="shared" si="31"/>
        <v>1</v>
      </c>
      <c r="Z651" s="68">
        <f t="shared" si="32"/>
        <v>0</v>
      </c>
    </row>
    <row r="652" ht="13.85" spans="1:26">
      <c r="A652" s="25"/>
      <c r="F652" s="25"/>
      <c r="G652" s="25"/>
      <c r="H652" s="25"/>
      <c r="I652" s="25"/>
      <c r="J652" s="25"/>
      <c r="K652" s="25"/>
      <c r="L652" s="25"/>
      <c r="M652" s="25"/>
      <c r="N652" s="25"/>
      <c r="O652" s="25"/>
      <c r="P652" s="25"/>
      <c r="Q652" s="25"/>
      <c r="R652" s="25"/>
      <c r="S652" s="25"/>
      <c r="T652" s="25"/>
      <c r="U652" s="25"/>
      <c r="V652" s="25"/>
      <c r="W652" s="25"/>
      <c r="X652" s="68">
        <f t="shared" si="30"/>
        <v>1900</v>
      </c>
      <c r="Y652" s="25">
        <f t="shared" si="31"/>
        <v>1</v>
      </c>
      <c r="Z652" s="68">
        <f t="shared" si="32"/>
        <v>0</v>
      </c>
    </row>
    <row r="653" ht="13.85" spans="1:26">
      <c r="A653" s="25"/>
      <c r="F653" s="25"/>
      <c r="G653" s="25"/>
      <c r="H653" s="25"/>
      <c r="I653" s="25"/>
      <c r="J653" s="25"/>
      <c r="K653" s="25"/>
      <c r="L653" s="25"/>
      <c r="M653" s="25"/>
      <c r="N653" s="25"/>
      <c r="O653" s="25"/>
      <c r="P653" s="25"/>
      <c r="Q653" s="25"/>
      <c r="R653" s="25"/>
      <c r="S653" s="25"/>
      <c r="T653" s="25"/>
      <c r="U653" s="25"/>
      <c r="V653" s="25"/>
      <c r="W653" s="25"/>
      <c r="X653" s="68">
        <f t="shared" si="30"/>
        <v>1900</v>
      </c>
      <c r="Y653" s="25">
        <f t="shared" si="31"/>
        <v>1</v>
      </c>
      <c r="Z653" s="68">
        <f t="shared" si="32"/>
        <v>0</v>
      </c>
    </row>
    <row r="654" ht="13.85" spans="1:26">
      <c r="A654" s="25"/>
      <c r="F654" s="25"/>
      <c r="G654" s="25"/>
      <c r="H654" s="25"/>
      <c r="I654" s="25"/>
      <c r="J654" s="25"/>
      <c r="K654" s="25"/>
      <c r="L654" s="25"/>
      <c r="M654" s="25"/>
      <c r="N654" s="25"/>
      <c r="O654" s="25"/>
      <c r="P654" s="25"/>
      <c r="Q654" s="25"/>
      <c r="R654" s="25"/>
      <c r="S654" s="25"/>
      <c r="T654" s="25"/>
      <c r="U654" s="25"/>
      <c r="V654" s="25"/>
      <c r="W654" s="25"/>
      <c r="X654" s="68">
        <f t="shared" si="30"/>
        <v>1900</v>
      </c>
      <c r="Y654" s="25">
        <f t="shared" si="31"/>
        <v>1</v>
      </c>
      <c r="Z654" s="68">
        <f t="shared" si="32"/>
        <v>0</v>
      </c>
    </row>
    <row r="655" ht="13.85" spans="1:26">
      <c r="A655" s="25"/>
      <c r="F655" s="25"/>
      <c r="G655" s="25"/>
      <c r="H655" s="25"/>
      <c r="I655" s="25"/>
      <c r="J655" s="25"/>
      <c r="K655" s="25"/>
      <c r="L655" s="25"/>
      <c r="M655" s="25"/>
      <c r="N655" s="25"/>
      <c r="O655" s="25"/>
      <c r="P655" s="25"/>
      <c r="Q655" s="25"/>
      <c r="R655" s="25"/>
      <c r="S655" s="25"/>
      <c r="T655" s="25"/>
      <c r="U655" s="25"/>
      <c r="V655" s="25"/>
      <c r="W655" s="25"/>
      <c r="X655" s="68">
        <f t="shared" si="30"/>
        <v>1900</v>
      </c>
      <c r="Y655" s="25">
        <f t="shared" si="31"/>
        <v>1</v>
      </c>
      <c r="Z655" s="68">
        <f t="shared" si="32"/>
        <v>0</v>
      </c>
    </row>
    <row r="656" ht="13.85" spans="1:26">
      <c r="A656" s="25"/>
      <c r="F656" s="25"/>
      <c r="G656" s="25"/>
      <c r="H656" s="25"/>
      <c r="I656" s="25"/>
      <c r="J656" s="25"/>
      <c r="K656" s="25"/>
      <c r="L656" s="25"/>
      <c r="M656" s="25"/>
      <c r="N656" s="25"/>
      <c r="O656" s="25"/>
      <c r="P656" s="25"/>
      <c r="Q656" s="25"/>
      <c r="R656" s="25"/>
      <c r="S656" s="25"/>
      <c r="T656" s="25"/>
      <c r="U656" s="25"/>
      <c r="V656" s="25"/>
      <c r="W656" s="25"/>
      <c r="X656" s="68">
        <f t="shared" si="30"/>
        <v>1900</v>
      </c>
      <c r="Y656" s="25">
        <f t="shared" si="31"/>
        <v>1</v>
      </c>
      <c r="Z656" s="68">
        <f t="shared" si="32"/>
        <v>0</v>
      </c>
    </row>
    <row r="657" ht="13.85" spans="1:26">
      <c r="A657" s="25"/>
      <c r="F657" s="25"/>
      <c r="G657" s="25"/>
      <c r="H657" s="25"/>
      <c r="I657" s="25"/>
      <c r="J657" s="25"/>
      <c r="K657" s="25"/>
      <c r="L657" s="25"/>
      <c r="M657" s="25"/>
      <c r="N657" s="25"/>
      <c r="O657" s="25"/>
      <c r="P657" s="25"/>
      <c r="Q657" s="25"/>
      <c r="R657" s="25"/>
      <c r="S657" s="25"/>
      <c r="T657" s="25"/>
      <c r="U657" s="25"/>
      <c r="V657" s="25"/>
      <c r="W657" s="25"/>
      <c r="X657" s="68">
        <f t="shared" si="30"/>
        <v>1900</v>
      </c>
      <c r="Y657" s="25">
        <f t="shared" si="31"/>
        <v>1</v>
      </c>
      <c r="Z657" s="68">
        <f t="shared" si="32"/>
        <v>0</v>
      </c>
    </row>
    <row r="658" ht="13.85" spans="1:26">
      <c r="A658" s="25"/>
      <c r="F658" s="25"/>
      <c r="G658" s="25"/>
      <c r="H658" s="25"/>
      <c r="I658" s="25"/>
      <c r="J658" s="25"/>
      <c r="K658" s="25"/>
      <c r="L658" s="25"/>
      <c r="M658" s="25"/>
      <c r="N658" s="25"/>
      <c r="O658" s="25"/>
      <c r="P658" s="25"/>
      <c r="Q658" s="25"/>
      <c r="R658" s="25"/>
      <c r="S658" s="25"/>
      <c r="T658" s="25"/>
      <c r="U658" s="25"/>
      <c r="V658" s="25"/>
      <c r="W658" s="25"/>
      <c r="X658" s="68">
        <f t="shared" si="30"/>
        <v>1900</v>
      </c>
      <c r="Y658" s="25">
        <f t="shared" si="31"/>
        <v>1</v>
      </c>
      <c r="Z658" s="68">
        <f t="shared" si="32"/>
        <v>0</v>
      </c>
    </row>
    <row r="659" ht="13.85" spans="1:26">
      <c r="A659" s="25"/>
      <c r="F659" s="25"/>
      <c r="G659" s="25"/>
      <c r="H659" s="25"/>
      <c r="I659" s="25"/>
      <c r="J659" s="25"/>
      <c r="K659" s="25"/>
      <c r="L659" s="25"/>
      <c r="M659" s="25"/>
      <c r="N659" s="25"/>
      <c r="O659" s="25"/>
      <c r="P659" s="25"/>
      <c r="Q659" s="25"/>
      <c r="R659" s="25"/>
      <c r="S659" s="25"/>
      <c r="T659" s="25"/>
      <c r="U659" s="25"/>
      <c r="V659" s="25"/>
      <c r="W659" s="25"/>
      <c r="X659" s="68">
        <f t="shared" si="30"/>
        <v>1900</v>
      </c>
      <c r="Y659" s="25">
        <f t="shared" si="31"/>
        <v>1</v>
      </c>
      <c r="Z659" s="68">
        <f t="shared" si="32"/>
        <v>0</v>
      </c>
    </row>
    <row r="660" ht="13.85" spans="1:26">
      <c r="A660" s="25"/>
      <c r="F660" s="25"/>
      <c r="G660" s="25"/>
      <c r="H660" s="25"/>
      <c r="I660" s="25"/>
      <c r="J660" s="25"/>
      <c r="K660" s="25"/>
      <c r="L660" s="25"/>
      <c r="M660" s="25"/>
      <c r="N660" s="25"/>
      <c r="O660" s="25"/>
      <c r="P660" s="25"/>
      <c r="Q660" s="25"/>
      <c r="R660" s="25"/>
      <c r="S660" s="25"/>
      <c r="T660" s="25"/>
      <c r="U660" s="25"/>
      <c r="V660" s="25"/>
      <c r="W660" s="25"/>
      <c r="X660" s="68">
        <f t="shared" si="30"/>
        <v>1900</v>
      </c>
      <c r="Y660" s="25">
        <f t="shared" si="31"/>
        <v>1</v>
      </c>
      <c r="Z660" s="68">
        <f t="shared" si="32"/>
        <v>0</v>
      </c>
    </row>
    <row r="661" ht="13.85" spans="1:26">
      <c r="A661" s="25"/>
      <c r="F661" s="25"/>
      <c r="G661" s="25"/>
      <c r="H661" s="25"/>
      <c r="I661" s="25"/>
      <c r="J661" s="25"/>
      <c r="K661" s="25"/>
      <c r="L661" s="25"/>
      <c r="M661" s="25"/>
      <c r="N661" s="25"/>
      <c r="O661" s="25"/>
      <c r="P661" s="25"/>
      <c r="Q661" s="25"/>
      <c r="R661" s="25"/>
      <c r="S661" s="25"/>
      <c r="T661" s="25"/>
      <c r="U661" s="25"/>
      <c r="V661" s="25"/>
      <c r="W661" s="25"/>
      <c r="X661" s="68">
        <f t="shared" si="30"/>
        <v>1900</v>
      </c>
      <c r="Y661" s="25">
        <f t="shared" si="31"/>
        <v>1</v>
      </c>
      <c r="Z661" s="68">
        <f t="shared" si="32"/>
        <v>0</v>
      </c>
    </row>
    <row r="662" ht="13.85" spans="1:26">
      <c r="A662" s="25"/>
      <c r="F662" s="25"/>
      <c r="G662" s="25"/>
      <c r="H662" s="25"/>
      <c r="I662" s="25"/>
      <c r="J662" s="25"/>
      <c r="K662" s="25"/>
      <c r="L662" s="25"/>
      <c r="M662" s="25"/>
      <c r="N662" s="25"/>
      <c r="O662" s="25"/>
      <c r="P662" s="25"/>
      <c r="Q662" s="25"/>
      <c r="R662" s="25"/>
      <c r="S662" s="25"/>
      <c r="T662" s="25"/>
      <c r="U662" s="25"/>
      <c r="V662" s="25"/>
      <c r="W662" s="25"/>
      <c r="X662" s="68">
        <f t="shared" si="30"/>
        <v>1900</v>
      </c>
      <c r="Y662" s="25">
        <f t="shared" si="31"/>
        <v>1</v>
      </c>
      <c r="Z662" s="68">
        <f t="shared" si="32"/>
        <v>0</v>
      </c>
    </row>
    <row r="663" ht="13.85" spans="1:26">
      <c r="A663" s="25"/>
      <c r="F663" s="25"/>
      <c r="G663" s="25"/>
      <c r="H663" s="25"/>
      <c r="I663" s="25"/>
      <c r="J663" s="25"/>
      <c r="K663" s="25"/>
      <c r="L663" s="25"/>
      <c r="M663" s="25"/>
      <c r="N663" s="25"/>
      <c r="O663" s="25"/>
      <c r="P663" s="25"/>
      <c r="Q663" s="25"/>
      <c r="R663" s="25"/>
      <c r="S663" s="25"/>
      <c r="T663" s="25"/>
      <c r="U663" s="25"/>
      <c r="V663" s="25"/>
      <c r="W663" s="25"/>
      <c r="X663" s="68">
        <f t="shared" si="30"/>
        <v>1900</v>
      </c>
      <c r="Y663" s="25">
        <f t="shared" si="31"/>
        <v>1</v>
      </c>
      <c r="Z663" s="68">
        <f t="shared" si="32"/>
        <v>0</v>
      </c>
    </row>
    <row r="664" ht="13.85" spans="1:26">
      <c r="A664" s="25"/>
      <c r="F664" s="25"/>
      <c r="G664" s="25"/>
      <c r="H664" s="25"/>
      <c r="I664" s="25"/>
      <c r="J664" s="25"/>
      <c r="K664" s="25"/>
      <c r="L664" s="25"/>
      <c r="M664" s="25"/>
      <c r="N664" s="25"/>
      <c r="O664" s="25"/>
      <c r="P664" s="25"/>
      <c r="Q664" s="25"/>
      <c r="R664" s="25"/>
      <c r="S664" s="25"/>
      <c r="T664" s="25"/>
      <c r="U664" s="25"/>
      <c r="V664" s="25"/>
      <c r="W664" s="25"/>
      <c r="X664" s="68">
        <f t="shared" si="30"/>
        <v>1900</v>
      </c>
      <c r="Y664" s="25">
        <f t="shared" si="31"/>
        <v>1</v>
      </c>
      <c r="Z664" s="68">
        <f t="shared" si="32"/>
        <v>0</v>
      </c>
    </row>
    <row r="665" ht="13.85" spans="1:26">
      <c r="A665" s="25"/>
      <c r="F665" s="25"/>
      <c r="G665" s="25"/>
      <c r="H665" s="25"/>
      <c r="I665" s="25"/>
      <c r="J665" s="25"/>
      <c r="K665" s="25"/>
      <c r="L665" s="25"/>
      <c r="M665" s="25"/>
      <c r="N665" s="25"/>
      <c r="O665" s="25"/>
      <c r="P665" s="25"/>
      <c r="Q665" s="25"/>
      <c r="R665" s="25"/>
      <c r="S665" s="25"/>
      <c r="T665" s="25"/>
      <c r="U665" s="25"/>
      <c r="V665" s="25"/>
      <c r="W665" s="25"/>
      <c r="X665" s="68">
        <f t="shared" si="30"/>
        <v>1900</v>
      </c>
      <c r="Y665" s="25">
        <f t="shared" si="31"/>
        <v>1</v>
      </c>
      <c r="Z665" s="68">
        <f t="shared" si="32"/>
        <v>0</v>
      </c>
    </row>
    <row r="666" ht="13.85" spans="1:26">
      <c r="A666" s="25"/>
      <c r="F666" s="25"/>
      <c r="G666" s="25"/>
      <c r="H666" s="25"/>
      <c r="I666" s="25"/>
      <c r="J666" s="25"/>
      <c r="K666" s="25"/>
      <c r="L666" s="25"/>
      <c r="M666" s="25"/>
      <c r="N666" s="25"/>
      <c r="O666" s="25"/>
      <c r="P666" s="25"/>
      <c r="Q666" s="25"/>
      <c r="R666" s="25"/>
      <c r="S666" s="25"/>
      <c r="T666" s="25"/>
      <c r="U666" s="25"/>
      <c r="V666" s="25"/>
      <c r="W666" s="25"/>
      <c r="X666" s="68">
        <f t="shared" si="30"/>
        <v>1900</v>
      </c>
      <c r="Y666" s="25">
        <f t="shared" si="31"/>
        <v>1</v>
      </c>
      <c r="Z666" s="68">
        <f t="shared" si="32"/>
        <v>0</v>
      </c>
    </row>
    <row r="667" ht="13.85" spans="1:26">
      <c r="A667" s="25"/>
      <c r="F667" s="25"/>
      <c r="G667" s="25"/>
      <c r="H667" s="25"/>
      <c r="I667" s="25"/>
      <c r="J667" s="25"/>
      <c r="K667" s="25"/>
      <c r="L667" s="25"/>
      <c r="M667" s="25"/>
      <c r="N667" s="25"/>
      <c r="O667" s="25"/>
      <c r="P667" s="25"/>
      <c r="Q667" s="25"/>
      <c r="R667" s="25"/>
      <c r="S667" s="25"/>
      <c r="T667" s="25"/>
      <c r="U667" s="25"/>
      <c r="V667" s="25"/>
      <c r="W667" s="25"/>
      <c r="X667" s="68">
        <f t="shared" si="30"/>
        <v>1900</v>
      </c>
      <c r="Y667" s="25">
        <f t="shared" si="31"/>
        <v>1</v>
      </c>
      <c r="Z667" s="68">
        <f t="shared" si="32"/>
        <v>0</v>
      </c>
    </row>
    <row r="668" ht="13.85" spans="1:26">
      <c r="A668" s="25"/>
      <c r="F668" s="25"/>
      <c r="G668" s="25"/>
      <c r="H668" s="25"/>
      <c r="I668" s="25"/>
      <c r="J668" s="25"/>
      <c r="K668" s="25"/>
      <c r="L668" s="25"/>
      <c r="M668" s="25"/>
      <c r="N668" s="25"/>
      <c r="O668" s="25"/>
      <c r="P668" s="25"/>
      <c r="Q668" s="25"/>
      <c r="R668" s="25"/>
      <c r="S668" s="25"/>
      <c r="T668" s="25"/>
      <c r="U668" s="25"/>
      <c r="V668" s="25"/>
      <c r="W668" s="25"/>
      <c r="X668" s="68">
        <f t="shared" si="30"/>
        <v>1900</v>
      </c>
      <c r="Y668" s="25">
        <f t="shared" si="31"/>
        <v>1</v>
      </c>
      <c r="Z668" s="68">
        <f t="shared" si="32"/>
        <v>0</v>
      </c>
    </row>
    <row r="669" ht="13.85" spans="1:26">
      <c r="A669" s="25"/>
      <c r="F669" s="25"/>
      <c r="G669" s="25"/>
      <c r="H669" s="25"/>
      <c r="I669" s="25"/>
      <c r="J669" s="25"/>
      <c r="K669" s="25"/>
      <c r="L669" s="25"/>
      <c r="M669" s="25"/>
      <c r="N669" s="25"/>
      <c r="O669" s="25"/>
      <c r="P669" s="25"/>
      <c r="Q669" s="25"/>
      <c r="R669" s="25"/>
      <c r="S669" s="25"/>
      <c r="T669" s="25"/>
      <c r="U669" s="25"/>
      <c r="V669" s="25"/>
      <c r="W669" s="25"/>
      <c r="X669" s="68">
        <f t="shared" si="30"/>
        <v>1900</v>
      </c>
      <c r="Y669" s="25">
        <f t="shared" si="31"/>
        <v>1</v>
      </c>
      <c r="Z669" s="68">
        <f t="shared" si="32"/>
        <v>0</v>
      </c>
    </row>
    <row r="670" ht="13.85" spans="1:26">
      <c r="A670" s="25"/>
      <c r="F670" s="25"/>
      <c r="G670" s="25"/>
      <c r="H670" s="25"/>
      <c r="I670" s="25"/>
      <c r="J670" s="25"/>
      <c r="K670" s="25"/>
      <c r="L670" s="25"/>
      <c r="M670" s="25"/>
      <c r="N670" s="25"/>
      <c r="O670" s="25"/>
      <c r="P670" s="25"/>
      <c r="Q670" s="25"/>
      <c r="R670" s="25"/>
      <c r="S670" s="25"/>
      <c r="T670" s="25"/>
      <c r="U670" s="25"/>
      <c r="V670" s="25"/>
      <c r="W670" s="25"/>
      <c r="X670" s="68">
        <f t="shared" si="30"/>
        <v>1900</v>
      </c>
      <c r="Y670" s="25">
        <f t="shared" si="31"/>
        <v>1</v>
      </c>
      <c r="Z670" s="68">
        <f t="shared" si="32"/>
        <v>0</v>
      </c>
    </row>
    <row r="671" ht="13.85" spans="1:26">
      <c r="A671" s="25"/>
      <c r="F671" s="25"/>
      <c r="G671" s="25"/>
      <c r="H671" s="25"/>
      <c r="I671" s="25"/>
      <c r="J671" s="25"/>
      <c r="K671" s="25"/>
      <c r="L671" s="25"/>
      <c r="M671" s="25"/>
      <c r="N671" s="25"/>
      <c r="O671" s="25"/>
      <c r="P671" s="25"/>
      <c r="Q671" s="25"/>
      <c r="R671" s="25"/>
      <c r="S671" s="25"/>
      <c r="T671" s="25"/>
      <c r="U671" s="25"/>
      <c r="V671" s="25"/>
      <c r="W671" s="25"/>
      <c r="X671" s="68">
        <f t="shared" si="30"/>
        <v>1900</v>
      </c>
      <c r="Y671" s="25">
        <f t="shared" si="31"/>
        <v>1</v>
      </c>
      <c r="Z671" s="68">
        <f t="shared" si="32"/>
        <v>0</v>
      </c>
    </row>
    <row r="672" ht="13.85" spans="1:26">
      <c r="A672" s="25"/>
      <c r="F672" s="25"/>
      <c r="G672" s="25"/>
      <c r="H672" s="25"/>
      <c r="I672" s="25"/>
      <c r="J672" s="25"/>
      <c r="K672" s="25"/>
      <c r="L672" s="25"/>
      <c r="M672" s="25"/>
      <c r="N672" s="25"/>
      <c r="O672" s="25"/>
      <c r="P672" s="25"/>
      <c r="Q672" s="25"/>
      <c r="R672" s="25"/>
      <c r="S672" s="25"/>
      <c r="T672" s="25"/>
      <c r="U672" s="25"/>
      <c r="V672" s="25"/>
      <c r="W672" s="25"/>
      <c r="X672" s="68">
        <f t="shared" si="30"/>
        <v>1900</v>
      </c>
      <c r="Y672" s="25">
        <f t="shared" si="31"/>
        <v>1</v>
      </c>
      <c r="Z672" s="68">
        <f t="shared" si="32"/>
        <v>0</v>
      </c>
    </row>
    <row r="673" ht="13.85" spans="1:26">
      <c r="A673" s="25"/>
      <c r="F673" s="25"/>
      <c r="G673" s="25"/>
      <c r="H673" s="25"/>
      <c r="I673" s="25"/>
      <c r="J673" s="25"/>
      <c r="K673" s="25"/>
      <c r="L673" s="25"/>
      <c r="M673" s="25"/>
      <c r="N673" s="25"/>
      <c r="O673" s="25"/>
      <c r="P673" s="25"/>
      <c r="Q673" s="25"/>
      <c r="R673" s="25"/>
      <c r="S673" s="25"/>
      <c r="T673" s="25"/>
      <c r="U673" s="25"/>
      <c r="V673" s="25"/>
      <c r="W673" s="25"/>
      <c r="X673" s="68">
        <f t="shared" si="30"/>
        <v>1900</v>
      </c>
      <c r="Y673" s="25">
        <f t="shared" si="31"/>
        <v>1</v>
      </c>
      <c r="Z673" s="68">
        <f t="shared" si="32"/>
        <v>0</v>
      </c>
    </row>
    <row r="674" ht="13.85" spans="1:26">
      <c r="A674" s="25"/>
      <c r="F674" s="25"/>
      <c r="G674" s="25"/>
      <c r="H674" s="25"/>
      <c r="I674" s="25"/>
      <c r="J674" s="25"/>
      <c r="K674" s="25"/>
      <c r="L674" s="25"/>
      <c r="M674" s="25"/>
      <c r="N674" s="25"/>
      <c r="O674" s="25"/>
      <c r="P674" s="25"/>
      <c r="Q674" s="25"/>
      <c r="R674" s="25"/>
      <c r="S674" s="25"/>
      <c r="T674" s="25"/>
      <c r="U674" s="25"/>
      <c r="V674" s="25"/>
      <c r="W674" s="25"/>
      <c r="X674" s="68">
        <f t="shared" si="30"/>
        <v>1900</v>
      </c>
      <c r="Y674" s="25">
        <f t="shared" si="31"/>
        <v>1</v>
      </c>
      <c r="Z674" s="68">
        <f t="shared" si="32"/>
        <v>0</v>
      </c>
    </row>
    <row r="675" ht="13.85" spans="1:26">
      <c r="A675" s="25"/>
      <c r="F675" s="25"/>
      <c r="G675" s="25"/>
      <c r="H675" s="25"/>
      <c r="I675" s="25"/>
      <c r="J675" s="25"/>
      <c r="K675" s="25"/>
      <c r="L675" s="25"/>
      <c r="M675" s="25"/>
      <c r="N675" s="25"/>
      <c r="O675" s="25"/>
      <c r="P675" s="25"/>
      <c r="Q675" s="25"/>
      <c r="R675" s="25"/>
      <c r="S675" s="25"/>
      <c r="T675" s="25"/>
      <c r="U675" s="25"/>
      <c r="V675" s="25"/>
      <c r="W675" s="25"/>
      <c r="X675" s="68">
        <f t="shared" si="30"/>
        <v>1900</v>
      </c>
      <c r="Y675" s="25">
        <f t="shared" si="31"/>
        <v>1</v>
      </c>
      <c r="Z675" s="68">
        <f t="shared" si="32"/>
        <v>0</v>
      </c>
    </row>
    <row r="676" ht="13.85" spans="1:26">
      <c r="A676" s="25"/>
      <c r="F676" s="25"/>
      <c r="G676" s="25"/>
      <c r="H676" s="25"/>
      <c r="I676" s="25"/>
      <c r="J676" s="25"/>
      <c r="K676" s="25"/>
      <c r="L676" s="25"/>
      <c r="M676" s="25"/>
      <c r="N676" s="25"/>
      <c r="O676" s="25"/>
      <c r="P676" s="25"/>
      <c r="Q676" s="25"/>
      <c r="R676" s="25"/>
      <c r="S676" s="25"/>
      <c r="T676" s="25"/>
      <c r="U676" s="25"/>
      <c r="V676" s="25"/>
      <c r="W676" s="25"/>
      <c r="X676" s="68">
        <f t="shared" si="30"/>
        <v>1900</v>
      </c>
      <c r="Y676" s="25">
        <f t="shared" si="31"/>
        <v>1</v>
      </c>
      <c r="Z676" s="68">
        <f t="shared" si="32"/>
        <v>0</v>
      </c>
    </row>
    <row r="677" ht="13.85" spans="1:26">
      <c r="A677" s="25"/>
      <c r="F677" s="25"/>
      <c r="G677" s="25"/>
      <c r="H677" s="25"/>
      <c r="I677" s="25"/>
      <c r="J677" s="25"/>
      <c r="K677" s="25"/>
      <c r="L677" s="25"/>
      <c r="M677" s="25"/>
      <c r="N677" s="25"/>
      <c r="O677" s="25"/>
      <c r="P677" s="25"/>
      <c r="Q677" s="25"/>
      <c r="R677" s="25"/>
      <c r="S677" s="25"/>
      <c r="T677" s="25"/>
      <c r="U677" s="25"/>
      <c r="V677" s="25"/>
      <c r="W677" s="25"/>
      <c r="X677" s="68">
        <f t="shared" si="30"/>
        <v>1900</v>
      </c>
      <c r="Y677" s="25">
        <f t="shared" si="31"/>
        <v>1</v>
      </c>
      <c r="Z677" s="68">
        <f t="shared" si="32"/>
        <v>0</v>
      </c>
    </row>
    <row r="678" ht="13.85" spans="1:26">
      <c r="A678" s="25"/>
      <c r="F678" s="25"/>
      <c r="G678" s="25"/>
      <c r="H678" s="25"/>
      <c r="I678" s="25"/>
      <c r="J678" s="25"/>
      <c r="K678" s="25"/>
      <c r="L678" s="25"/>
      <c r="M678" s="25"/>
      <c r="N678" s="25"/>
      <c r="O678" s="25"/>
      <c r="P678" s="25"/>
      <c r="Q678" s="25"/>
      <c r="R678" s="25"/>
      <c r="S678" s="25"/>
      <c r="T678" s="25"/>
      <c r="U678" s="25"/>
      <c r="V678" s="25"/>
      <c r="W678" s="25"/>
      <c r="X678" s="68">
        <f t="shared" si="30"/>
        <v>1900</v>
      </c>
      <c r="Y678" s="25">
        <f t="shared" si="31"/>
        <v>1</v>
      </c>
      <c r="Z678" s="68">
        <f t="shared" si="32"/>
        <v>0</v>
      </c>
    </row>
    <row r="679" ht="13.85" spans="1:26">
      <c r="A679" s="25"/>
      <c r="F679" s="25"/>
      <c r="G679" s="25"/>
      <c r="H679" s="25"/>
      <c r="I679" s="25"/>
      <c r="J679" s="25"/>
      <c r="K679" s="25"/>
      <c r="L679" s="25"/>
      <c r="M679" s="25"/>
      <c r="N679" s="25"/>
      <c r="O679" s="25"/>
      <c r="P679" s="25"/>
      <c r="Q679" s="25"/>
      <c r="R679" s="25"/>
      <c r="S679" s="25"/>
      <c r="T679" s="25"/>
      <c r="U679" s="25"/>
      <c r="V679" s="25"/>
      <c r="W679" s="25"/>
      <c r="X679" s="68">
        <f t="shared" si="30"/>
        <v>1900</v>
      </c>
      <c r="Y679" s="25">
        <f t="shared" si="31"/>
        <v>1</v>
      </c>
      <c r="Z679" s="68">
        <f t="shared" si="32"/>
        <v>0</v>
      </c>
    </row>
    <row r="680" ht="13.85" spans="1:26">
      <c r="A680" s="25"/>
      <c r="F680" s="25"/>
      <c r="G680" s="25"/>
      <c r="H680" s="25"/>
      <c r="I680" s="25"/>
      <c r="J680" s="25"/>
      <c r="K680" s="25"/>
      <c r="L680" s="25"/>
      <c r="M680" s="25"/>
      <c r="N680" s="25"/>
      <c r="O680" s="25"/>
      <c r="P680" s="25"/>
      <c r="Q680" s="25"/>
      <c r="R680" s="25"/>
      <c r="S680" s="25"/>
      <c r="T680" s="25"/>
      <c r="U680" s="25"/>
      <c r="V680" s="25"/>
      <c r="W680" s="25"/>
      <c r="X680" s="68">
        <f t="shared" si="30"/>
        <v>1900</v>
      </c>
      <c r="Y680" s="25">
        <f t="shared" si="31"/>
        <v>1</v>
      </c>
      <c r="Z680" s="68">
        <f t="shared" si="32"/>
        <v>0</v>
      </c>
    </row>
    <row r="681" ht="13.85" spans="1:26">
      <c r="A681" s="25"/>
      <c r="F681" s="25"/>
      <c r="G681" s="25"/>
      <c r="H681" s="25"/>
      <c r="I681" s="25"/>
      <c r="J681" s="25"/>
      <c r="K681" s="25"/>
      <c r="L681" s="25"/>
      <c r="M681" s="25"/>
      <c r="N681" s="25"/>
      <c r="O681" s="25"/>
      <c r="P681" s="25"/>
      <c r="Q681" s="25"/>
      <c r="R681" s="25"/>
      <c r="S681" s="25"/>
      <c r="T681" s="25"/>
      <c r="U681" s="25"/>
      <c r="V681" s="25"/>
      <c r="W681" s="25"/>
      <c r="X681" s="68">
        <f t="shared" si="30"/>
        <v>1900</v>
      </c>
      <c r="Y681" s="25">
        <f t="shared" si="31"/>
        <v>1</v>
      </c>
      <c r="Z681" s="68">
        <f t="shared" si="32"/>
        <v>0</v>
      </c>
    </row>
    <row r="682" ht="13.85" spans="1:26">
      <c r="A682" s="25"/>
      <c r="F682" s="25"/>
      <c r="G682" s="25"/>
      <c r="H682" s="25"/>
      <c r="I682" s="25"/>
      <c r="J682" s="25"/>
      <c r="K682" s="25"/>
      <c r="L682" s="25"/>
      <c r="M682" s="25"/>
      <c r="N682" s="25"/>
      <c r="O682" s="25"/>
      <c r="P682" s="25"/>
      <c r="Q682" s="25"/>
      <c r="R682" s="25"/>
      <c r="S682" s="25"/>
      <c r="T682" s="25"/>
      <c r="U682" s="25"/>
      <c r="V682" s="25"/>
      <c r="W682" s="25"/>
      <c r="X682" s="68">
        <f t="shared" si="30"/>
        <v>1900</v>
      </c>
      <c r="Y682" s="25">
        <f t="shared" si="31"/>
        <v>1</v>
      </c>
      <c r="Z682" s="68">
        <f t="shared" si="32"/>
        <v>0</v>
      </c>
    </row>
    <row r="683" ht="13.85" spans="1:26">
      <c r="A683" s="25"/>
      <c r="F683" s="25"/>
      <c r="G683" s="25"/>
      <c r="H683" s="25"/>
      <c r="I683" s="25"/>
      <c r="J683" s="25"/>
      <c r="K683" s="25"/>
      <c r="L683" s="25"/>
      <c r="M683" s="25"/>
      <c r="N683" s="25"/>
      <c r="O683" s="25"/>
      <c r="P683" s="25"/>
      <c r="Q683" s="25"/>
      <c r="R683" s="25"/>
      <c r="S683" s="25"/>
      <c r="T683" s="25"/>
      <c r="U683" s="25"/>
      <c r="V683" s="25"/>
      <c r="W683" s="25"/>
      <c r="X683" s="68">
        <f t="shared" si="30"/>
        <v>1900</v>
      </c>
      <c r="Y683" s="25">
        <f t="shared" si="31"/>
        <v>1</v>
      </c>
      <c r="Z683" s="68">
        <f t="shared" si="32"/>
        <v>0</v>
      </c>
    </row>
    <row r="684" ht="13.85" spans="1:26">
      <c r="A684" s="25"/>
      <c r="F684" s="25"/>
      <c r="G684" s="25"/>
      <c r="H684" s="25"/>
      <c r="I684" s="25"/>
      <c r="J684" s="25"/>
      <c r="K684" s="25"/>
      <c r="L684" s="25"/>
      <c r="M684" s="25"/>
      <c r="N684" s="25"/>
      <c r="O684" s="25"/>
      <c r="P684" s="25"/>
      <c r="Q684" s="25"/>
      <c r="R684" s="25"/>
      <c r="S684" s="25"/>
      <c r="T684" s="25"/>
      <c r="U684" s="25"/>
      <c r="V684" s="25"/>
      <c r="W684" s="25"/>
      <c r="X684" s="68">
        <f t="shared" si="30"/>
        <v>1900</v>
      </c>
      <c r="Y684" s="25">
        <f t="shared" si="31"/>
        <v>1</v>
      </c>
      <c r="Z684" s="68">
        <f t="shared" si="32"/>
        <v>0</v>
      </c>
    </row>
    <row r="685" ht="13.85" spans="1:26">
      <c r="A685" s="25"/>
      <c r="F685" s="25"/>
      <c r="G685" s="25"/>
      <c r="H685" s="25"/>
      <c r="I685" s="25"/>
      <c r="J685" s="25"/>
      <c r="K685" s="25"/>
      <c r="L685" s="25"/>
      <c r="M685" s="25"/>
      <c r="N685" s="25"/>
      <c r="O685" s="25"/>
      <c r="P685" s="25"/>
      <c r="Q685" s="25"/>
      <c r="R685" s="25"/>
      <c r="S685" s="25"/>
      <c r="T685" s="25"/>
      <c r="U685" s="25"/>
      <c r="V685" s="25"/>
      <c r="W685" s="25"/>
      <c r="X685" s="68">
        <f t="shared" si="30"/>
        <v>1900</v>
      </c>
      <c r="Y685" s="25">
        <f t="shared" si="31"/>
        <v>1</v>
      </c>
      <c r="Z685" s="68">
        <f t="shared" si="32"/>
        <v>0</v>
      </c>
    </row>
    <row r="686" ht="13.85" spans="1:26">
      <c r="A686" s="25"/>
      <c r="F686" s="25"/>
      <c r="G686" s="25"/>
      <c r="H686" s="25"/>
      <c r="I686" s="25"/>
      <c r="J686" s="25"/>
      <c r="K686" s="25"/>
      <c r="L686" s="25"/>
      <c r="M686" s="25"/>
      <c r="N686" s="25"/>
      <c r="O686" s="25"/>
      <c r="P686" s="25"/>
      <c r="Q686" s="25"/>
      <c r="R686" s="25"/>
      <c r="S686" s="25"/>
      <c r="T686" s="25"/>
      <c r="U686" s="25"/>
      <c r="V686" s="25"/>
      <c r="W686" s="25"/>
      <c r="X686" s="68">
        <f t="shared" si="30"/>
        <v>1900</v>
      </c>
      <c r="Y686" s="25">
        <f t="shared" si="31"/>
        <v>1</v>
      </c>
      <c r="Z686" s="68">
        <f t="shared" si="32"/>
        <v>0</v>
      </c>
    </row>
    <row r="687" ht="13.85" spans="1:26">
      <c r="A687" s="25"/>
      <c r="F687" s="25"/>
      <c r="G687" s="25"/>
      <c r="H687" s="25"/>
      <c r="I687" s="25"/>
      <c r="J687" s="25"/>
      <c r="K687" s="25"/>
      <c r="L687" s="25"/>
      <c r="M687" s="25"/>
      <c r="N687" s="25"/>
      <c r="O687" s="25"/>
      <c r="P687" s="25"/>
      <c r="Q687" s="25"/>
      <c r="R687" s="25"/>
      <c r="S687" s="25"/>
      <c r="T687" s="25"/>
      <c r="U687" s="25"/>
      <c r="V687" s="25"/>
      <c r="W687" s="25"/>
      <c r="X687" s="68">
        <f t="shared" si="30"/>
        <v>1900</v>
      </c>
      <c r="Y687" s="25">
        <f t="shared" si="31"/>
        <v>1</v>
      </c>
      <c r="Z687" s="68">
        <f t="shared" si="32"/>
        <v>0</v>
      </c>
    </row>
    <row r="688" ht="13.85" spans="1:26">
      <c r="A688" s="25"/>
      <c r="F688" s="25"/>
      <c r="G688" s="25"/>
      <c r="H688" s="25"/>
      <c r="I688" s="25"/>
      <c r="J688" s="25"/>
      <c r="K688" s="25"/>
      <c r="L688" s="25"/>
      <c r="M688" s="25"/>
      <c r="N688" s="25"/>
      <c r="O688" s="25"/>
      <c r="P688" s="25"/>
      <c r="Q688" s="25"/>
      <c r="R688" s="25"/>
      <c r="S688" s="25"/>
      <c r="T688" s="25"/>
      <c r="U688" s="25"/>
      <c r="V688" s="25"/>
      <c r="W688" s="25"/>
      <c r="X688" s="68">
        <f t="shared" si="30"/>
        <v>1900</v>
      </c>
      <c r="Y688" s="25">
        <f t="shared" si="31"/>
        <v>1</v>
      </c>
      <c r="Z688" s="68">
        <f t="shared" si="32"/>
        <v>0</v>
      </c>
    </row>
    <row r="689" ht="13.85" spans="1:26">
      <c r="A689" s="25"/>
      <c r="F689" s="25"/>
      <c r="G689" s="25"/>
      <c r="H689" s="25"/>
      <c r="I689" s="25"/>
      <c r="J689" s="25"/>
      <c r="K689" s="25"/>
      <c r="L689" s="25"/>
      <c r="M689" s="25"/>
      <c r="N689" s="25"/>
      <c r="O689" s="25"/>
      <c r="P689" s="25"/>
      <c r="Q689" s="25"/>
      <c r="R689" s="25"/>
      <c r="S689" s="25"/>
      <c r="T689" s="25"/>
      <c r="U689" s="25"/>
      <c r="V689" s="25"/>
      <c r="W689" s="25"/>
      <c r="X689" s="68">
        <f t="shared" si="30"/>
        <v>1900</v>
      </c>
      <c r="Y689" s="25">
        <f t="shared" si="31"/>
        <v>1</v>
      </c>
      <c r="Z689" s="68">
        <f t="shared" si="32"/>
        <v>0</v>
      </c>
    </row>
    <row r="690" ht="13.85" spans="1:26">
      <c r="A690" s="25"/>
      <c r="F690" s="25"/>
      <c r="G690" s="25"/>
      <c r="H690" s="25"/>
      <c r="I690" s="25"/>
      <c r="J690" s="25"/>
      <c r="K690" s="25"/>
      <c r="L690" s="25"/>
      <c r="M690" s="25"/>
      <c r="N690" s="25"/>
      <c r="O690" s="25"/>
      <c r="P690" s="25"/>
      <c r="Q690" s="25"/>
      <c r="R690" s="25"/>
      <c r="S690" s="25"/>
      <c r="T690" s="25"/>
      <c r="U690" s="25"/>
      <c r="V690" s="25"/>
      <c r="W690" s="25"/>
      <c r="X690" s="68">
        <f t="shared" si="30"/>
        <v>1900</v>
      </c>
      <c r="Y690" s="25">
        <f t="shared" si="31"/>
        <v>1</v>
      </c>
      <c r="Z690" s="68">
        <f t="shared" si="32"/>
        <v>0</v>
      </c>
    </row>
    <row r="691" ht="13.85" spans="1:26">
      <c r="A691" s="25"/>
      <c r="F691" s="25"/>
      <c r="G691" s="25"/>
      <c r="H691" s="25"/>
      <c r="I691" s="25"/>
      <c r="J691" s="25"/>
      <c r="K691" s="25"/>
      <c r="L691" s="25"/>
      <c r="M691" s="25"/>
      <c r="N691" s="25"/>
      <c r="O691" s="25"/>
      <c r="P691" s="25"/>
      <c r="Q691" s="25"/>
      <c r="R691" s="25"/>
      <c r="S691" s="25"/>
      <c r="T691" s="25"/>
      <c r="U691" s="25"/>
      <c r="V691" s="25"/>
      <c r="W691" s="25"/>
      <c r="X691" s="68">
        <f t="shared" si="30"/>
        <v>1900</v>
      </c>
      <c r="Y691" s="25">
        <f t="shared" si="31"/>
        <v>1</v>
      </c>
      <c r="Z691" s="68">
        <f t="shared" si="32"/>
        <v>0</v>
      </c>
    </row>
    <row r="692" ht="13.85" spans="1:26">
      <c r="A692" s="25"/>
      <c r="F692" s="25"/>
      <c r="G692" s="25"/>
      <c r="H692" s="25"/>
      <c r="I692" s="25"/>
      <c r="J692" s="25"/>
      <c r="K692" s="25"/>
      <c r="L692" s="25"/>
      <c r="M692" s="25"/>
      <c r="N692" s="25"/>
      <c r="O692" s="25"/>
      <c r="P692" s="25"/>
      <c r="Q692" s="25"/>
      <c r="R692" s="25"/>
      <c r="S692" s="25"/>
      <c r="T692" s="25"/>
      <c r="U692" s="25"/>
      <c r="V692" s="25"/>
      <c r="W692" s="25"/>
      <c r="X692" s="68">
        <f t="shared" si="30"/>
        <v>1900</v>
      </c>
      <c r="Y692" s="25">
        <f t="shared" si="31"/>
        <v>1</v>
      </c>
      <c r="Z692" s="68">
        <f t="shared" si="32"/>
        <v>0</v>
      </c>
    </row>
    <row r="693" ht="13.85" spans="1:26">
      <c r="A693" s="25"/>
      <c r="F693" s="25"/>
      <c r="G693" s="25"/>
      <c r="H693" s="25"/>
      <c r="I693" s="25"/>
      <c r="J693" s="25"/>
      <c r="K693" s="25"/>
      <c r="L693" s="25"/>
      <c r="M693" s="25"/>
      <c r="N693" s="25"/>
      <c r="O693" s="25"/>
      <c r="P693" s="25"/>
      <c r="Q693" s="25"/>
      <c r="R693" s="25"/>
      <c r="S693" s="25"/>
      <c r="T693" s="25"/>
      <c r="U693" s="25"/>
      <c r="V693" s="25"/>
      <c r="W693" s="25"/>
      <c r="X693" s="68">
        <f t="shared" si="30"/>
        <v>1900</v>
      </c>
      <c r="Y693" s="25">
        <f t="shared" si="31"/>
        <v>1</v>
      </c>
      <c r="Z693" s="68">
        <f t="shared" si="32"/>
        <v>0</v>
      </c>
    </row>
    <row r="694" ht="13.85" spans="1:26">
      <c r="A694" s="25"/>
      <c r="F694" s="25"/>
      <c r="G694" s="25"/>
      <c r="H694" s="25"/>
      <c r="I694" s="25"/>
      <c r="J694" s="25"/>
      <c r="K694" s="25"/>
      <c r="L694" s="25"/>
      <c r="M694" s="25"/>
      <c r="N694" s="25"/>
      <c r="O694" s="25"/>
      <c r="P694" s="25"/>
      <c r="Q694" s="25"/>
      <c r="R694" s="25"/>
      <c r="S694" s="25"/>
      <c r="T694" s="25"/>
      <c r="U694" s="25"/>
      <c r="V694" s="25"/>
      <c r="W694" s="25"/>
      <c r="X694" s="68">
        <f t="shared" si="30"/>
        <v>1900</v>
      </c>
      <c r="Y694" s="25">
        <f t="shared" si="31"/>
        <v>1</v>
      </c>
      <c r="Z694" s="68">
        <f t="shared" si="32"/>
        <v>0</v>
      </c>
    </row>
    <row r="695" ht="13.85" spans="1:26">
      <c r="A695" s="25"/>
      <c r="F695" s="25"/>
      <c r="G695" s="25"/>
      <c r="H695" s="25"/>
      <c r="I695" s="25"/>
      <c r="J695" s="25"/>
      <c r="K695" s="25"/>
      <c r="L695" s="25"/>
      <c r="M695" s="25"/>
      <c r="N695" s="25"/>
      <c r="O695" s="25"/>
      <c r="P695" s="25"/>
      <c r="Q695" s="25"/>
      <c r="R695" s="25"/>
      <c r="S695" s="25"/>
      <c r="T695" s="25"/>
      <c r="U695" s="25"/>
      <c r="V695" s="25"/>
      <c r="W695" s="25"/>
      <c r="X695" s="68">
        <f t="shared" si="30"/>
        <v>1900</v>
      </c>
      <c r="Y695" s="25">
        <f t="shared" si="31"/>
        <v>1</v>
      </c>
      <c r="Z695" s="68">
        <f t="shared" si="32"/>
        <v>0</v>
      </c>
    </row>
    <row r="696" ht="13.85" spans="1:26">
      <c r="A696" s="25"/>
      <c r="F696" s="25"/>
      <c r="G696" s="25"/>
      <c r="H696" s="25"/>
      <c r="I696" s="25"/>
      <c r="J696" s="25"/>
      <c r="K696" s="25"/>
      <c r="L696" s="25"/>
      <c r="M696" s="25"/>
      <c r="N696" s="25"/>
      <c r="O696" s="25"/>
      <c r="P696" s="25"/>
      <c r="Q696" s="25"/>
      <c r="R696" s="25"/>
      <c r="S696" s="25"/>
      <c r="T696" s="25"/>
      <c r="U696" s="25"/>
      <c r="V696" s="25"/>
      <c r="W696" s="25"/>
      <c r="X696" s="68">
        <f t="shared" si="30"/>
        <v>1900</v>
      </c>
      <c r="Y696" s="25">
        <f t="shared" si="31"/>
        <v>1</v>
      </c>
      <c r="Z696" s="68">
        <f t="shared" si="32"/>
        <v>0</v>
      </c>
    </row>
    <row r="697" ht="13.85" spans="1:26">
      <c r="A697" s="25"/>
      <c r="F697" s="25"/>
      <c r="G697" s="25"/>
      <c r="H697" s="25"/>
      <c r="I697" s="25"/>
      <c r="J697" s="25"/>
      <c r="K697" s="25"/>
      <c r="L697" s="25"/>
      <c r="M697" s="25"/>
      <c r="N697" s="25"/>
      <c r="O697" s="25"/>
      <c r="P697" s="25"/>
      <c r="Q697" s="25"/>
      <c r="R697" s="25"/>
      <c r="S697" s="25"/>
      <c r="T697" s="25"/>
      <c r="U697" s="25"/>
      <c r="V697" s="25"/>
      <c r="W697" s="25"/>
      <c r="X697" s="68">
        <f t="shared" si="30"/>
        <v>1900</v>
      </c>
      <c r="Y697" s="25">
        <f t="shared" si="31"/>
        <v>1</v>
      </c>
      <c r="Z697" s="68">
        <f t="shared" si="32"/>
        <v>0</v>
      </c>
    </row>
    <row r="698" ht="13.85" spans="1:26">
      <c r="A698" s="25"/>
      <c r="F698" s="25"/>
      <c r="G698" s="25"/>
      <c r="H698" s="25"/>
      <c r="I698" s="25"/>
      <c r="J698" s="25"/>
      <c r="K698" s="25"/>
      <c r="L698" s="25"/>
      <c r="M698" s="25"/>
      <c r="N698" s="25"/>
      <c r="O698" s="25"/>
      <c r="P698" s="25"/>
      <c r="Q698" s="25"/>
      <c r="R698" s="25"/>
      <c r="S698" s="25"/>
      <c r="T698" s="25"/>
      <c r="U698" s="25"/>
      <c r="V698" s="25"/>
      <c r="W698" s="25"/>
      <c r="X698" s="68">
        <f t="shared" si="30"/>
        <v>1900</v>
      </c>
      <c r="Y698" s="25">
        <f t="shared" si="31"/>
        <v>1</v>
      </c>
      <c r="Z698" s="68">
        <f t="shared" si="32"/>
        <v>0</v>
      </c>
    </row>
    <row r="699" ht="13.85" spans="1:26">
      <c r="A699" s="25"/>
      <c r="F699" s="25"/>
      <c r="G699" s="25"/>
      <c r="H699" s="25"/>
      <c r="I699" s="25"/>
      <c r="J699" s="25"/>
      <c r="K699" s="25"/>
      <c r="L699" s="25"/>
      <c r="M699" s="25"/>
      <c r="N699" s="25"/>
      <c r="O699" s="25"/>
      <c r="P699" s="25"/>
      <c r="Q699" s="25"/>
      <c r="R699" s="25"/>
      <c r="S699" s="25"/>
      <c r="T699" s="25"/>
      <c r="U699" s="25"/>
      <c r="V699" s="25"/>
      <c r="W699" s="25"/>
      <c r="X699" s="68">
        <f t="shared" si="30"/>
        <v>1900</v>
      </c>
      <c r="Y699" s="25">
        <f t="shared" si="31"/>
        <v>1</v>
      </c>
      <c r="Z699" s="68">
        <f t="shared" si="32"/>
        <v>0</v>
      </c>
    </row>
    <row r="700" ht="13.85" spans="1:26">
      <c r="A700" s="25"/>
      <c r="F700" s="25"/>
      <c r="G700" s="25"/>
      <c r="H700" s="25"/>
      <c r="I700" s="25"/>
      <c r="J700" s="25"/>
      <c r="K700" s="25"/>
      <c r="L700" s="25"/>
      <c r="M700" s="25"/>
      <c r="N700" s="25"/>
      <c r="O700" s="25"/>
      <c r="P700" s="25"/>
      <c r="Q700" s="25"/>
      <c r="R700" s="25"/>
      <c r="S700" s="25"/>
      <c r="T700" s="25"/>
      <c r="U700" s="25"/>
      <c r="V700" s="25"/>
      <c r="W700" s="25"/>
      <c r="X700" s="68">
        <f t="shared" si="30"/>
        <v>1900</v>
      </c>
      <c r="Y700" s="25">
        <f t="shared" si="31"/>
        <v>1</v>
      </c>
      <c r="Z700" s="68">
        <f t="shared" si="32"/>
        <v>0</v>
      </c>
    </row>
    <row r="701" ht="13.85" spans="1:26">
      <c r="A701" s="25"/>
      <c r="F701" s="25"/>
      <c r="G701" s="25"/>
      <c r="H701" s="25"/>
      <c r="I701" s="25"/>
      <c r="J701" s="25"/>
      <c r="K701" s="25"/>
      <c r="L701" s="25"/>
      <c r="M701" s="25"/>
      <c r="N701" s="25"/>
      <c r="O701" s="25"/>
      <c r="P701" s="25"/>
      <c r="Q701" s="25"/>
      <c r="R701" s="25"/>
      <c r="S701" s="25"/>
      <c r="T701" s="25"/>
      <c r="U701" s="25"/>
      <c r="V701" s="25"/>
      <c r="W701" s="25"/>
      <c r="X701" s="68">
        <f t="shared" si="30"/>
        <v>1900</v>
      </c>
      <c r="Y701" s="25">
        <f t="shared" si="31"/>
        <v>1</v>
      </c>
      <c r="Z701" s="68">
        <f t="shared" si="32"/>
        <v>0</v>
      </c>
    </row>
    <row r="702" ht="13.85" spans="1:26">
      <c r="A702" s="25"/>
      <c r="F702" s="25"/>
      <c r="G702" s="25"/>
      <c r="H702" s="25"/>
      <c r="I702" s="25"/>
      <c r="J702" s="25"/>
      <c r="K702" s="25"/>
      <c r="L702" s="25"/>
      <c r="M702" s="25"/>
      <c r="N702" s="25"/>
      <c r="O702" s="25"/>
      <c r="P702" s="25"/>
      <c r="Q702" s="25"/>
      <c r="R702" s="25"/>
      <c r="S702" s="25"/>
      <c r="T702" s="25"/>
      <c r="U702" s="25"/>
      <c r="V702" s="25"/>
      <c r="W702" s="25"/>
      <c r="X702" s="68">
        <f t="shared" si="30"/>
        <v>1900</v>
      </c>
      <c r="Y702" s="25">
        <f t="shared" si="31"/>
        <v>1</v>
      </c>
      <c r="Z702" s="68">
        <f t="shared" si="32"/>
        <v>0</v>
      </c>
    </row>
    <row r="703" ht="13.85" spans="1:26">
      <c r="A703" s="25"/>
      <c r="F703" s="25"/>
      <c r="G703" s="25"/>
      <c r="H703" s="25"/>
      <c r="I703" s="25"/>
      <c r="J703" s="25"/>
      <c r="K703" s="25"/>
      <c r="L703" s="25"/>
      <c r="M703" s="25"/>
      <c r="N703" s="25"/>
      <c r="O703" s="25"/>
      <c r="P703" s="25"/>
      <c r="Q703" s="25"/>
      <c r="R703" s="25"/>
      <c r="S703" s="25"/>
      <c r="T703" s="25"/>
      <c r="U703" s="25"/>
      <c r="V703" s="25"/>
      <c r="W703" s="25"/>
      <c r="X703" s="68">
        <f t="shared" si="30"/>
        <v>1900</v>
      </c>
      <c r="Y703" s="25">
        <f t="shared" si="31"/>
        <v>1</v>
      </c>
      <c r="Z703" s="68">
        <f t="shared" si="32"/>
        <v>0</v>
      </c>
    </row>
    <row r="704" ht="13.85" spans="1:26">
      <c r="A704" s="25"/>
      <c r="F704" s="25"/>
      <c r="G704" s="25"/>
      <c r="H704" s="25"/>
      <c r="I704" s="25"/>
      <c r="J704" s="25"/>
      <c r="K704" s="25"/>
      <c r="L704" s="25"/>
      <c r="M704" s="25"/>
      <c r="N704" s="25"/>
      <c r="O704" s="25"/>
      <c r="P704" s="25"/>
      <c r="Q704" s="25"/>
      <c r="R704" s="25"/>
      <c r="S704" s="25"/>
      <c r="T704" s="25"/>
      <c r="U704" s="25"/>
      <c r="V704" s="25"/>
      <c r="W704" s="25"/>
      <c r="X704" s="68">
        <f t="shared" si="30"/>
        <v>1900</v>
      </c>
      <c r="Y704" s="25">
        <f t="shared" si="31"/>
        <v>1</v>
      </c>
      <c r="Z704" s="68">
        <f t="shared" si="32"/>
        <v>0</v>
      </c>
    </row>
    <row r="705" ht="13.85" spans="1:26">
      <c r="A705" s="25"/>
      <c r="F705" s="25"/>
      <c r="G705" s="25"/>
      <c r="H705" s="25"/>
      <c r="I705" s="25"/>
      <c r="J705" s="25"/>
      <c r="K705" s="25"/>
      <c r="L705" s="25"/>
      <c r="M705" s="25"/>
      <c r="N705" s="25"/>
      <c r="O705" s="25"/>
      <c r="P705" s="25"/>
      <c r="Q705" s="25"/>
      <c r="R705" s="25"/>
      <c r="S705" s="25"/>
      <c r="T705" s="25"/>
      <c r="U705" s="25"/>
      <c r="V705" s="25"/>
      <c r="W705" s="25"/>
      <c r="X705" s="68">
        <f t="shared" si="30"/>
        <v>1900</v>
      </c>
      <c r="Y705" s="25">
        <f t="shared" si="31"/>
        <v>1</v>
      </c>
      <c r="Z705" s="68">
        <f t="shared" si="32"/>
        <v>0</v>
      </c>
    </row>
    <row r="706" ht="13.85" spans="1:26">
      <c r="A706" s="25"/>
      <c r="F706" s="25"/>
      <c r="G706" s="25"/>
      <c r="H706" s="25"/>
      <c r="I706" s="25"/>
      <c r="J706" s="25"/>
      <c r="K706" s="25"/>
      <c r="L706" s="25"/>
      <c r="M706" s="25"/>
      <c r="N706" s="25"/>
      <c r="O706" s="25"/>
      <c r="P706" s="25"/>
      <c r="Q706" s="25"/>
      <c r="R706" s="25"/>
      <c r="S706" s="25"/>
      <c r="T706" s="25"/>
      <c r="U706" s="25"/>
      <c r="V706" s="25"/>
      <c r="W706" s="25"/>
      <c r="X706" s="68">
        <f t="shared" ref="X706:X769" si="33">YEAR(C706)</f>
        <v>1900</v>
      </c>
      <c r="Y706" s="25">
        <f t="shared" ref="Y706:Y769" si="34">MONTH(C706)</f>
        <v>1</v>
      </c>
      <c r="Z706" s="68">
        <f t="shared" ref="Z706:Z769" si="35">DAY(C706)</f>
        <v>0</v>
      </c>
    </row>
    <row r="707" ht="13.85" spans="1:26">
      <c r="A707" s="25"/>
      <c r="F707" s="25"/>
      <c r="G707" s="25"/>
      <c r="H707" s="25"/>
      <c r="I707" s="25"/>
      <c r="J707" s="25"/>
      <c r="K707" s="25"/>
      <c r="L707" s="25"/>
      <c r="M707" s="25"/>
      <c r="N707" s="25"/>
      <c r="O707" s="25"/>
      <c r="P707" s="25"/>
      <c r="Q707" s="25"/>
      <c r="R707" s="25"/>
      <c r="S707" s="25"/>
      <c r="T707" s="25"/>
      <c r="U707" s="25"/>
      <c r="V707" s="25"/>
      <c r="W707" s="25"/>
      <c r="X707" s="68">
        <f t="shared" si="33"/>
        <v>1900</v>
      </c>
      <c r="Y707" s="25">
        <f t="shared" si="34"/>
        <v>1</v>
      </c>
      <c r="Z707" s="68">
        <f t="shared" si="35"/>
        <v>0</v>
      </c>
    </row>
    <row r="708" ht="13.85" spans="1:26">
      <c r="A708" s="25"/>
      <c r="F708" s="25"/>
      <c r="G708" s="25"/>
      <c r="H708" s="25"/>
      <c r="I708" s="25"/>
      <c r="J708" s="25"/>
      <c r="K708" s="25"/>
      <c r="L708" s="25"/>
      <c r="M708" s="25"/>
      <c r="N708" s="25"/>
      <c r="O708" s="25"/>
      <c r="P708" s="25"/>
      <c r="Q708" s="25"/>
      <c r="R708" s="25"/>
      <c r="S708" s="25"/>
      <c r="T708" s="25"/>
      <c r="U708" s="25"/>
      <c r="V708" s="25"/>
      <c r="W708" s="25"/>
      <c r="X708" s="68">
        <f t="shared" si="33"/>
        <v>1900</v>
      </c>
      <c r="Y708" s="25">
        <f t="shared" si="34"/>
        <v>1</v>
      </c>
      <c r="Z708" s="68">
        <f t="shared" si="35"/>
        <v>0</v>
      </c>
    </row>
    <row r="709" ht="13.85" spans="1:26">
      <c r="A709" s="25"/>
      <c r="F709" s="25"/>
      <c r="G709" s="25"/>
      <c r="H709" s="25"/>
      <c r="I709" s="25"/>
      <c r="J709" s="25"/>
      <c r="K709" s="25"/>
      <c r="L709" s="25"/>
      <c r="M709" s="25"/>
      <c r="N709" s="25"/>
      <c r="O709" s="25"/>
      <c r="P709" s="25"/>
      <c r="Q709" s="25"/>
      <c r="R709" s="25"/>
      <c r="S709" s="25"/>
      <c r="T709" s="25"/>
      <c r="U709" s="25"/>
      <c r="V709" s="25"/>
      <c r="W709" s="25"/>
      <c r="X709" s="68">
        <f t="shared" si="33"/>
        <v>1900</v>
      </c>
      <c r="Y709" s="25">
        <f t="shared" si="34"/>
        <v>1</v>
      </c>
      <c r="Z709" s="68">
        <f t="shared" si="35"/>
        <v>0</v>
      </c>
    </row>
    <row r="710" ht="13.85" spans="1:26">
      <c r="A710" s="25"/>
      <c r="F710" s="25"/>
      <c r="G710" s="25"/>
      <c r="H710" s="25"/>
      <c r="I710" s="25"/>
      <c r="J710" s="25"/>
      <c r="K710" s="25"/>
      <c r="L710" s="25"/>
      <c r="M710" s="25"/>
      <c r="N710" s="25"/>
      <c r="O710" s="25"/>
      <c r="P710" s="25"/>
      <c r="Q710" s="25"/>
      <c r="R710" s="25"/>
      <c r="S710" s="25"/>
      <c r="T710" s="25"/>
      <c r="U710" s="25"/>
      <c r="V710" s="25"/>
      <c r="W710" s="25"/>
      <c r="X710" s="68">
        <f t="shared" si="33"/>
        <v>1900</v>
      </c>
      <c r="Y710" s="25">
        <f t="shared" si="34"/>
        <v>1</v>
      </c>
      <c r="Z710" s="68">
        <f t="shared" si="35"/>
        <v>0</v>
      </c>
    </row>
    <row r="711" ht="13.85" spans="1:26">
      <c r="A711" s="25"/>
      <c r="F711" s="25"/>
      <c r="G711" s="25"/>
      <c r="H711" s="25"/>
      <c r="I711" s="25"/>
      <c r="J711" s="25"/>
      <c r="K711" s="25"/>
      <c r="L711" s="25"/>
      <c r="M711" s="25"/>
      <c r="N711" s="25"/>
      <c r="O711" s="25"/>
      <c r="P711" s="25"/>
      <c r="Q711" s="25"/>
      <c r="R711" s="25"/>
      <c r="S711" s="25"/>
      <c r="T711" s="25"/>
      <c r="U711" s="25"/>
      <c r="V711" s="25"/>
      <c r="W711" s="25"/>
      <c r="X711" s="68">
        <f t="shared" si="33"/>
        <v>1900</v>
      </c>
      <c r="Y711" s="25">
        <f t="shared" si="34"/>
        <v>1</v>
      </c>
      <c r="Z711" s="68">
        <f t="shared" si="35"/>
        <v>0</v>
      </c>
    </row>
    <row r="712" ht="13.85" spans="1:26">
      <c r="A712" s="25"/>
      <c r="F712" s="25"/>
      <c r="G712" s="25"/>
      <c r="H712" s="25"/>
      <c r="I712" s="25"/>
      <c r="J712" s="25"/>
      <c r="K712" s="25"/>
      <c r="L712" s="25"/>
      <c r="M712" s="25"/>
      <c r="N712" s="25"/>
      <c r="O712" s="25"/>
      <c r="P712" s="25"/>
      <c r="Q712" s="25"/>
      <c r="R712" s="25"/>
      <c r="S712" s="25"/>
      <c r="T712" s="25"/>
      <c r="U712" s="25"/>
      <c r="V712" s="25"/>
      <c r="W712" s="25"/>
      <c r="X712" s="68">
        <f t="shared" si="33"/>
        <v>1900</v>
      </c>
      <c r="Y712" s="25">
        <f t="shared" si="34"/>
        <v>1</v>
      </c>
      <c r="Z712" s="68">
        <f t="shared" si="35"/>
        <v>0</v>
      </c>
    </row>
    <row r="713" ht="13.85" spans="1:26">
      <c r="A713" s="25"/>
      <c r="F713" s="25"/>
      <c r="G713" s="25"/>
      <c r="H713" s="25"/>
      <c r="I713" s="25"/>
      <c r="J713" s="25"/>
      <c r="K713" s="25"/>
      <c r="L713" s="25"/>
      <c r="M713" s="25"/>
      <c r="N713" s="25"/>
      <c r="O713" s="25"/>
      <c r="P713" s="25"/>
      <c r="Q713" s="25"/>
      <c r="R713" s="25"/>
      <c r="S713" s="25"/>
      <c r="T713" s="25"/>
      <c r="U713" s="25"/>
      <c r="V713" s="25"/>
      <c r="W713" s="25"/>
      <c r="X713" s="68">
        <f t="shared" si="33"/>
        <v>1900</v>
      </c>
      <c r="Y713" s="25">
        <f t="shared" si="34"/>
        <v>1</v>
      </c>
      <c r="Z713" s="68">
        <f t="shared" si="35"/>
        <v>0</v>
      </c>
    </row>
    <row r="714" ht="13.85" spans="1:26">
      <c r="A714" s="25"/>
      <c r="F714" s="25"/>
      <c r="G714" s="25"/>
      <c r="H714" s="25"/>
      <c r="I714" s="25"/>
      <c r="J714" s="25"/>
      <c r="K714" s="25"/>
      <c r="L714" s="25"/>
      <c r="M714" s="25"/>
      <c r="N714" s="25"/>
      <c r="O714" s="25"/>
      <c r="P714" s="25"/>
      <c r="Q714" s="25"/>
      <c r="R714" s="25"/>
      <c r="S714" s="25"/>
      <c r="T714" s="25"/>
      <c r="U714" s="25"/>
      <c r="V714" s="25"/>
      <c r="W714" s="25"/>
      <c r="X714" s="68">
        <f t="shared" si="33"/>
        <v>1900</v>
      </c>
      <c r="Y714" s="25">
        <f t="shared" si="34"/>
        <v>1</v>
      </c>
      <c r="Z714" s="68">
        <f t="shared" si="35"/>
        <v>0</v>
      </c>
    </row>
    <row r="715" ht="13.85" spans="1:26">
      <c r="A715" s="25"/>
      <c r="F715" s="25"/>
      <c r="G715" s="25"/>
      <c r="H715" s="25"/>
      <c r="I715" s="25"/>
      <c r="J715" s="25"/>
      <c r="K715" s="25"/>
      <c r="L715" s="25"/>
      <c r="M715" s="25"/>
      <c r="N715" s="25"/>
      <c r="O715" s="25"/>
      <c r="P715" s="25"/>
      <c r="Q715" s="25"/>
      <c r="R715" s="25"/>
      <c r="S715" s="25"/>
      <c r="T715" s="25"/>
      <c r="U715" s="25"/>
      <c r="V715" s="25"/>
      <c r="W715" s="25"/>
      <c r="X715" s="68">
        <f t="shared" si="33"/>
        <v>1900</v>
      </c>
      <c r="Y715" s="25">
        <f t="shared" si="34"/>
        <v>1</v>
      </c>
      <c r="Z715" s="68">
        <f t="shared" si="35"/>
        <v>0</v>
      </c>
    </row>
    <row r="716" ht="13.85" spans="1:26">
      <c r="A716" s="25"/>
      <c r="F716" s="25"/>
      <c r="G716" s="25"/>
      <c r="H716" s="25"/>
      <c r="I716" s="25"/>
      <c r="J716" s="25"/>
      <c r="K716" s="25"/>
      <c r="L716" s="25"/>
      <c r="M716" s="25"/>
      <c r="N716" s="25"/>
      <c r="O716" s="25"/>
      <c r="P716" s="25"/>
      <c r="Q716" s="25"/>
      <c r="R716" s="25"/>
      <c r="S716" s="25"/>
      <c r="T716" s="25"/>
      <c r="U716" s="25"/>
      <c r="V716" s="25"/>
      <c r="W716" s="25"/>
      <c r="X716" s="68">
        <f t="shared" si="33"/>
        <v>1900</v>
      </c>
      <c r="Y716" s="25">
        <f t="shared" si="34"/>
        <v>1</v>
      </c>
      <c r="Z716" s="68">
        <f t="shared" si="35"/>
        <v>0</v>
      </c>
    </row>
    <row r="717" ht="13.85" spans="1:26">
      <c r="A717" s="25"/>
      <c r="F717" s="25"/>
      <c r="G717" s="25"/>
      <c r="H717" s="25"/>
      <c r="I717" s="25"/>
      <c r="J717" s="25"/>
      <c r="K717" s="25"/>
      <c r="L717" s="25"/>
      <c r="M717" s="25"/>
      <c r="N717" s="25"/>
      <c r="O717" s="25"/>
      <c r="P717" s="25"/>
      <c r="Q717" s="25"/>
      <c r="R717" s="25"/>
      <c r="S717" s="25"/>
      <c r="T717" s="25"/>
      <c r="U717" s="25"/>
      <c r="V717" s="25"/>
      <c r="W717" s="25"/>
      <c r="X717" s="68">
        <f t="shared" si="33"/>
        <v>1900</v>
      </c>
      <c r="Y717" s="25">
        <f t="shared" si="34"/>
        <v>1</v>
      </c>
      <c r="Z717" s="68">
        <f t="shared" si="35"/>
        <v>0</v>
      </c>
    </row>
    <row r="718" ht="13.85" spans="1:26">
      <c r="A718" s="25"/>
      <c r="F718" s="25"/>
      <c r="G718" s="25"/>
      <c r="H718" s="25"/>
      <c r="I718" s="25"/>
      <c r="J718" s="25"/>
      <c r="K718" s="25"/>
      <c r="L718" s="25"/>
      <c r="M718" s="25"/>
      <c r="N718" s="25"/>
      <c r="O718" s="25"/>
      <c r="P718" s="25"/>
      <c r="Q718" s="25"/>
      <c r="R718" s="25"/>
      <c r="S718" s="25"/>
      <c r="T718" s="25"/>
      <c r="U718" s="25"/>
      <c r="V718" s="25"/>
      <c r="W718" s="25"/>
      <c r="X718" s="68">
        <f t="shared" si="33"/>
        <v>1900</v>
      </c>
      <c r="Y718" s="25">
        <f t="shared" si="34"/>
        <v>1</v>
      </c>
      <c r="Z718" s="68">
        <f t="shared" si="35"/>
        <v>0</v>
      </c>
    </row>
    <row r="719" ht="13.85" spans="1:26">
      <c r="A719" s="25"/>
      <c r="F719" s="25"/>
      <c r="G719" s="25"/>
      <c r="H719" s="25"/>
      <c r="I719" s="25"/>
      <c r="J719" s="25"/>
      <c r="K719" s="25"/>
      <c r="L719" s="25"/>
      <c r="M719" s="25"/>
      <c r="N719" s="25"/>
      <c r="O719" s="25"/>
      <c r="P719" s="25"/>
      <c r="Q719" s="25"/>
      <c r="R719" s="25"/>
      <c r="S719" s="25"/>
      <c r="T719" s="25"/>
      <c r="U719" s="25"/>
      <c r="V719" s="25"/>
      <c r="W719" s="25"/>
      <c r="X719" s="68">
        <f t="shared" si="33"/>
        <v>1900</v>
      </c>
      <c r="Y719" s="25">
        <f t="shared" si="34"/>
        <v>1</v>
      </c>
      <c r="Z719" s="68">
        <f t="shared" si="35"/>
        <v>0</v>
      </c>
    </row>
    <row r="720" ht="13.85" spans="1:26">
      <c r="A720" s="25"/>
      <c r="F720" s="25"/>
      <c r="G720" s="25"/>
      <c r="H720" s="25"/>
      <c r="I720" s="25"/>
      <c r="J720" s="25"/>
      <c r="K720" s="25"/>
      <c r="L720" s="25"/>
      <c r="M720" s="25"/>
      <c r="N720" s="25"/>
      <c r="O720" s="25"/>
      <c r="P720" s="25"/>
      <c r="Q720" s="25"/>
      <c r="R720" s="25"/>
      <c r="S720" s="25"/>
      <c r="T720" s="25"/>
      <c r="U720" s="25"/>
      <c r="V720" s="25"/>
      <c r="W720" s="25"/>
      <c r="X720" s="68">
        <f t="shared" si="33"/>
        <v>1900</v>
      </c>
      <c r="Y720" s="25">
        <f t="shared" si="34"/>
        <v>1</v>
      </c>
      <c r="Z720" s="68">
        <f t="shared" si="35"/>
        <v>0</v>
      </c>
    </row>
    <row r="721" ht="13.85" spans="1:26">
      <c r="A721" s="25"/>
      <c r="F721" s="25"/>
      <c r="G721" s="25"/>
      <c r="H721" s="25"/>
      <c r="I721" s="25"/>
      <c r="J721" s="25"/>
      <c r="K721" s="25"/>
      <c r="L721" s="25"/>
      <c r="M721" s="25"/>
      <c r="N721" s="25"/>
      <c r="O721" s="25"/>
      <c r="P721" s="25"/>
      <c r="Q721" s="25"/>
      <c r="R721" s="25"/>
      <c r="S721" s="25"/>
      <c r="T721" s="25"/>
      <c r="U721" s="25"/>
      <c r="V721" s="25"/>
      <c r="W721" s="25"/>
      <c r="X721" s="68">
        <f t="shared" si="33"/>
        <v>1900</v>
      </c>
      <c r="Y721" s="25">
        <f t="shared" si="34"/>
        <v>1</v>
      </c>
      <c r="Z721" s="68">
        <f t="shared" si="35"/>
        <v>0</v>
      </c>
    </row>
    <row r="722" ht="13.85" spans="1:26">
      <c r="A722" s="25"/>
      <c r="F722" s="25"/>
      <c r="G722" s="25"/>
      <c r="H722" s="25"/>
      <c r="I722" s="25"/>
      <c r="J722" s="25"/>
      <c r="K722" s="25"/>
      <c r="L722" s="25"/>
      <c r="M722" s="25"/>
      <c r="N722" s="25"/>
      <c r="O722" s="25"/>
      <c r="P722" s="25"/>
      <c r="Q722" s="25"/>
      <c r="R722" s="25"/>
      <c r="S722" s="25"/>
      <c r="T722" s="25"/>
      <c r="U722" s="25"/>
      <c r="V722" s="25"/>
      <c r="W722" s="25"/>
      <c r="X722" s="68">
        <f t="shared" si="33"/>
        <v>1900</v>
      </c>
      <c r="Y722" s="25">
        <f t="shared" si="34"/>
        <v>1</v>
      </c>
      <c r="Z722" s="68">
        <f t="shared" si="35"/>
        <v>0</v>
      </c>
    </row>
    <row r="723" ht="13.85" spans="1:26">
      <c r="A723" s="25"/>
      <c r="F723" s="25"/>
      <c r="G723" s="25"/>
      <c r="H723" s="25"/>
      <c r="I723" s="25"/>
      <c r="J723" s="25"/>
      <c r="K723" s="25"/>
      <c r="L723" s="25"/>
      <c r="M723" s="25"/>
      <c r="N723" s="25"/>
      <c r="O723" s="25"/>
      <c r="P723" s="25"/>
      <c r="Q723" s="25"/>
      <c r="R723" s="25"/>
      <c r="S723" s="25"/>
      <c r="T723" s="25"/>
      <c r="U723" s="25"/>
      <c r="V723" s="25"/>
      <c r="W723" s="25"/>
      <c r="X723" s="68">
        <f t="shared" si="33"/>
        <v>1900</v>
      </c>
      <c r="Y723" s="25">
        <f t="shared" si="34"/>
        <v>1</v>
      </c>
      <c r="Z723" s="68">
        <f t="shared" si="35"/>
        <v>0</v>
      </c>
    </row>
    <row r="724" ht="13.85" spans="1:26">
      <c r="A724" s="25"/>
      <c r="F724" s="25"/>
      <c r="G724" s="25"/>
      <c r="H724" s="25"/>
      <c r="I724" s="25"/>
      <c r="J724" s="25"/>
      <c r="K724" s="25"/>
      <c r="L724" s="25"/>
      <c r="M724" s="25"/>
      <c r="N724" s="25"/>
      <c r="O724" s="25"/>
      <c r="P724" s="25"/>
      <c r="Q724" s="25"/>
      <c r="R724" s="25"/>
      <c r="S724" s="25"/>
      <c r="T724" s="25"/>
      <c r="U724" s="25"/>
      <c r="V724" s="25"/>
      <c r="W724" s="25"/>
      <c r="X724" s="68">
        <f t="shared" si="33"/>
        <v>1900</v>
      </c>
      <c r="Y724" s="25">
        <f t="shared" si="34"/>
        <v>1</v>
      </c>
      <c r="Z724" s="68">
        <f t="shared" si="35"/>
        <v>0</v>
      </c>
    </row>
    <row r="725" ht="13.85" spans="1:26">
      <c r="A725" s="25"/>
      <c r="F725" s="25"/>
      <c r="G725" s="25"/>
      <c r="H725" s="25"/>
      <c r="I725" s="25"/>
      <c r="J725" s="25"/>
      <c r="K725" s="25"/>
      <c r="L725" s="25"/>
      <c r="M725" s="25"/>
      <c r="N725" s="25"/>
      <c r="O725" s="25"/>
      <c r="P725" s="25"/>
      <c r="Q725" s="25"/>
      <c r="R725" s="25"/>
      <c r="S725" s="25"/>
      <c r="T725" s="25"/>
      <c r="U725" s="25"/>
      <c r="V725" s="25"/>
      <c r="W725" s="25"/>
      <c r="X725" s="68">
        <f t="shared" si="33"/>
        <v>1900</v>
      </c>
      <c r="Y725" s="25">
        <f t="shared" si="34"/>
        <v>1</v>
      </c>
      <c r="Z725" s="68">
        <f t="shared" si="35"/>
        <v>0</v>
      </c>
    </row>
    <row r="726" ht="13.85" spans="1:26">
      <c r="A726" s="25"/>
      <c r="F726" s="25"/>
      <c r="G726" s="25"/>
      <c r="H726" s="25"/>
      <c r="I726" s="25"/>
      <c r="J726" s="25"/>
      <c r="K726" s="25"/>
      <c r="L726" s="25"/>
      <c r="M726" s="25"/>
      <c r="N726" s="25"/>
      <c r="O726" s="25"/>
      <c r="P726" s="25"/>
      <c r="Q726" s="25"/>
      <c r="R726" s="25"/>
      <c r="S726" s="25"/>
      <c r="T726" s="25"/>
      <c r="U726" s="25"/>
      <c r="V726" s="25"/>
      <c r="W726" s="25"/>
      <c r="X726" s="68">
        <f t="shared" si="33"/>
        <v>1900</v>
      </c>
      <c r="Y726" s="25">
        <f t="shared" si="34"/>
        <v>1</v>
      </c>
      <c r="Z726" s="68">
        <f t="shared" si="35"/>
        <v>0</v>
      </c>
    </row>
    <row r="727" ht="13.85" spans="1:26">
      <c r="A727" s="25"/>
      <c r="F727" s="25"/>
      <c r="G727" s="25"/>
      <c r="H727" s="25"/>
      <c r="I727" s="25"/>
      <c r="J727" s="25"/>
      <c r="K727" s="25"/>
      <c r="L727" s="25"/>
      <c r="M727" s="25"/>
      <c r="N727" s="25"/>
      <c r="O727" s="25"/>
      <c r="P727" s="25"/>
      <c r="Q727" s="25"/>
      <c r="R727" s="25"/>
      <c r="S727" s="25"/>
      <c r="T727" s="25"/>
      <c r="U727" s="25"/>
      <c r="V727" s="25"/>
      <c r="W727" s="25"/>
      <c r="X727" s="68">
        <f t="shared" si="33"/>
        <v>1900</v>
      </c>
      <c r="Y727" s="25">
        <f t="shared" si="34"/>
        <v>1</v>
      </c>
      <c r="Z727" s="68">
        <f t="shared" si="35"/>
        <v>0</v>
      </c>
    </row>
    <row r="728" ht="13.85" spans="1:26">
      <c r="A728" s="25"/>
      <c r="F728" s="25"/>
      <c r="G728" s="25"/>
      <c r="H728" s="25"/>
      <c r="I728" s="25"/>
      <c r="J728" s="25"/>
      <c r="K728" s="25"/>
      <c r="L728" s="25"/>
      <c r="M728" s="25"/>
      <c r="N728" s="25"/>
      <c r="O728" s="25"/>
      <c r="P728" s="25"/>
      <c r="Q728" s="25"/>
      <c r="R728" s="25"/>
      <c r="S728" s="25"/>
      <c r="T728" s="25"/>
      <c r="U728" s="25"/>
      <c r="V728" s="25"/>
      <c r="W728" s="25"/>
      <c r="X728" s="68">
        <f t="shared" si="33"/>
        <v>1900</v>
      </c>
      <c r="Y728" s="25">
        <f t="shared" si="34"/>
        <v>1</v>
      </c>
      <c r="Z728" s="68">
        <f t="shared" si="35"/>
        <v>0</v>
      </c>
    </row>
    <row r="729" ht="13.85" spans="1:26">
      <c r="A729" s="25"/>
      <c r="F729" s="25"/>
      <c r="G729" s="25"/>
      <c r="H729" s="25"/>
      <c r="I729" s="25"/>
      <c r="J729" s="25"/>
      <c r="K729" s="25"/>
      <c r="L729" s="25"/>
      <c r="M729" s="25"/>
      <c r="N729" s="25"/>
      <c r="O729" s="25"/>
      <c r="P729" s="25"/>
      <c r="Q729" s="25"/>
      <c r="R729" s="25"/>
      <c r="S729" s="25"/>
      <c r="T729" s="25"/>
      <c r="U729" s="25"/>
      <c r="V729" s="25"/>
      <c r="W729" s="25"/>
      <c r="X729" s="68">
        <f t="shared" si="33"/>
        <v>1900</v>
      </c>
      <c r="Y729" s="25">
        <f t="shared" si="34"/>
        <v>1</v>
      </c>
      <c r="Z729" s="68">
        <f t="shared" si="35"/>
        <v>0</v>
      </c>
    </row>
    <row r="730" ht="13.85" spans="1:26">
      <c r="A730" s="25"/>
      <c r="F730" s="25"/>
      <c r="G730" s="25"/>
      <c r="H730" s="25"/>
      <c r="I730" s="25"/>
      <c r="J730" s="25"/>
      <c r="K730" s="25"/>
      <c r="L730" s="25"/>
      <c r="M730" s="25"/>
      <c r="N730" s="25"/>
      <c r="O730" s="25"/>
      <c r="P730" s="25"/>
      <c r="Q730" s="25"/>
      <c r="R730" s="25"/>
      <c r="S730" s="25"/>
      <c r="T730" s="25"/>
      <c r="U730" s="25"/>
      <c r="V730" s="25"/>
      <c r="W730" s="25"/>
      <c r="X730" s="68">
        <f t="shared" si="33"/>
        <v>1900</v>
      </c>
      <c r="Y730" s="25">
        <f t="shared" si="34"/>
        <v>1</v>
      </c>
      <c r="Z730" s="68">
        <f t="shared" si="35"/>
        <v>0</v>
      </c>
    </row>
    <row r="731" ht="13.85" spans="1:26">
      <c r="A731" s="25"/>
      <c r="F731" s="25"/>
      <c r="G731" s="25"/>
      <c r="H731" s="25"/>
      <c r="I731" s="25"/>
      <c r="J731" s="25"/>
      <c r="K731" s="25"/>
      <c r="L731" s="25"/>
      <c r="M731" s="25"/>
      <c r="N731" s="25"/>
      <c r="O731" s="25"/>
      <c r="P731" s="25"/>
      <c r="Q731" s="25"/>
      <c r="R731" s="25"/>
      <c r="S731" s="25"/>
      <c r="T731" s="25"/>
      <c r="U731" s="25"/>
      <c r="V731" s="25"/>
      <c r="W731" s="25"/>
      <c r="X731" s="68">
        <f t="shared" si="33"/>
        <v>1900</v>
      </c>
      <c r="Y731" s="25">
        <f t="shared" si="34"/>
        <v>1</v>
      </c>
      <c r="Z731" s="68">
        <f t="shared" si="35"/>
        <v>0</v>
      </c>
    </row>
    <row r="732" ht="13.85" spans="1:26">
      <c r="A732" s="25"/>
      <c r="F732" s="25"/>
      <c r="G732" s="25"/>
      <c r="H732" s="25"/>
      <c r="I732" s="25"/>
      <c r="J732" s="25"/>
      <c r="K732" s="25"/>
      <c r="L732" s="25"/>
      <c r="M732" s="25"/>
      <c r="N732" s="25"/>
      <c r="O732" s="25"/>
      <c r="P732" s="25"/>
      <c r="Q732" s="25"/>
      <c r="R732" s="25"/>
      <c r="S732" s="25"/>
      <c r="T732" s="25"/>
      <c r="U732" s="25"/>
      <c r="V732" s="25"/>
      <c r="W732" s="25"/>
      <c r="X732" s="68">
        <f t="shared" si="33"/>
        <v>1900</v>
      </c>
      <c r="Y732" s="25">
        <f t="shared" si="34"/>
        <v>1</v>
      </c>
      <c r="Z732" s="68">
        <f t="shared" si="35"/>
        <v>0</v>
      </c>
    </row>
    <row r="733" ht="13.85" spans="1:26">
      <c r="A733" s="25"/>
      <c r="F733" s="25"/>
      <c r="G733" s="25"/>
      <c r="H733" s="25"/>
      <c r="I733" s="25"/>
      <c r="J733" s="25"/>
      <c r="K733" s="25"/>
      <c r="L733" s="25"/>
      <c r="M733" s="25"/>
      <c r="N733" s="25"/>
      <c r="O733" s="25"/>
      <c r="P733" s="25"/>
      <c r="Q733" s="25"/>
      <c r="R733" s="25"/>
      <c r="S733" s="25"/>
      <c r="T733" s="25"/>
      <c r="U733" s="25"/>
      <c r="V733" s="25"/>
      <c r="W733" s="25"/>
      <c r="X733" s="68">
        <f t="shared" si="33"/>
        <v>1900</v>
      </c>
      <c r="Y733" s="25">
        <f t="shared" si="34"/>
        <v>1</v>
      </c>
      <c r="Z733" s="68">
        <f t="shared" si="35"/>
        <v>0</v>
      </c>
    </row>
    <row r="734" ht="13.85" spans="1:26">
      <c r="A734" s="25"/>
      <c r="F734" s="25"/>
      <c r="G734" s="25"/>
      <c r="H734" s="25"/>
      <c r="I734" s="25"/>
      <c r="J734" s="25"/>
      <c r="K734" s="25"/>
      <c r="L734" s="25"/>
      <c r="M734" s="25"/>
      <c r="N734" s="25"/>
      <c r="O734" s="25"/>
      <c r="P734" s="25"/>
      <c r="Q734" s="25"/>
      <c r="R734" s="25"/>
      <c r="S734" s="25"/>
      <c r="T734" s="25"/>
      <c r="U734" s="25"/>
      <c r="V734" s="25"/>
      <c r="W734" s="25"/>
      <c r="X734" s="68">
        <f t="shared" si="33"/>
        <v>1900</v>
      </c>
      <c r="Y734" s="25">
        <f t="shared" si="34"/>
        <v>1</v>
      </c>
      <c r="Z734" s="68">
        <f t="shared" si="35"/>
        <v>0</v>
      </c>
    </row>
    <row r="735" ht="13.85" spans="1:26">
      <c r="A735" s="25"/>
      <c r="F735" s="25"/>
      <c r="G735" s="25"/>
      <c r="H735" s="25"/>
      <c r="I735" s="25"/>
      <c r="J735" s="25"/>
      <c r="K735" s="25"/>
      <c r="L735" s="25"/>
      <c r="M735" s="25"/>
      <c r="N735" s="25"/>
      <c r="O735" s="25"/>
      <c r="P735" s="25"/>
      <c r="Q735" s="25"/>
      <c r="R735" s="25"/>
      <c r="S735" s="25"/>
      <c r="T735" s="25"/>
      <c r="U735" s="25"/>
      <c r="V735" s="25"/>
      <c r="W735" s="25"/>
      <c r="X735" s="68">
        <f t="shared" si="33"/>
        <v>1900</v>
      </c>
      <c r="Y735" s="25">
        <f t="shared" si="34"/>
        <v>1</v>
      </c>
      <c r="Z735" s="68">
        <f t="shared" si="35"/>
        <v>0</v>
      </c>
    </row>
    <row r="736" ht="13.85" spans="1:26">
      <c r="A736" s="25"/>
      <c r="F736" s="25"/>
      <c r="G736" s="25"/>
      <c r="H736" s="25"/>
      <c r="I736" s="25"/>
      <c r="J736" s="25"/>
      <c r="K736" s="25"/>
      <c r="L736" s="25"/>
      <c r="M736" s="25"/>
      <c r="N736" s="25"/>
      <c r="O736" s="25"/>
      <c r="P736" s="25"/>
      <c r="Q736" s="25"/>
      <c r="R736" s="25"/>
      <c r="S736" s="25"/>
      <c r="T736" s="25"/>
      <c r="U736" s="25"/>
      <c r="V736" s="25"/>
      <c r="W736" s="25"/>
      <c r="X736" s="68">
        <f t="shared" si="33"/>
        <v>1900</v>
      </c>
      <c r="Y736" s="25">
        <f t="shared" si="34"/>
        <v>1</v>
      </c>
      <c r="Z736" s="68">
        <f t="shared" si="35"/>
        <v>0</v>
      </c>
    </row>
    <row r="737" ht="13.85" spans="1:26">
      <c r="A737" s="25"/>
      <c r="F737" s="25"/>
      <c r="G737" s="25"/>
      <c r="H737" s="25"/>
      <c r="I737" s="25"/>
      <c r="J737" s="25"/>
      <c r="K737" s="25"/>
      <c r="L737" s="25"/>
      <c r="M737" s="25"/>
      <c r="N737" s="25"/>
      <c r="O737" s="25"/>
      <c r="P737" s="25"/>
      <c r="Q737" s="25"/>
      <c r="R737" s="25"/>
      <c r="S737" s="25"/>
      <c r="T737" s="25"/>
      <c r="U737" s="25"/>
      <c r="V737" s="25"/>
      <c r="W737" s="25"/>
      <c r="X737" s="68">
        <f t="shared" si="33"/>
        <v>1900</v>
      </c>
      <c r="Y737" s="25">
        <f t="shared" si="34"/>
        <v>1</v>
      </c>
      <c r="Z737" s="68">
        <f t="shared" si="35"/>
        <v>0</v>
      </c>
    </row>
    <row r="738" ht="13.85" spans="1:26">
      <c r="A738" s="25"/>
      <c r="F738" s="25"/>
      <c r="G738" s="25"/>
      <c r="H738" s="25"/>
      <c r="I738" s="25"/>
      <c r="J738" s="25"/>
      <c r="K738" s="25"/>
      <c r="L738" s="25"/>
      <c r="M738" s="25"/>
      <c r="N738" s="25"/>
      <c r="O738" s="25"/>
      <c r="P738" s="25"/>
      <c r="Q738" s="25"/>
      <c r="R738" s="25"/>
      <c r="S738" s="25"/>
      <c r="T738" s="25"/>
      <c r="U738" s="25"/>
      <c r="V738" s="25"/>
      <c r="W738" s="25"/>
      <c r="X738" s="68">
        <f t="shared" si="33"/>
        <v>1900</v>
      </c>
      <c r="Y738" s="25">
        <f t="shared" si="34"/>
        <v>1</v>
      </c>
      <c r="Z738" s="68">
        <f t="shared" si="35"/>
        <v>0</v>
      </c>
    </row>
    <row r="739" ht="13.85" spans="1:26">
      <c r="A739" s="25"/>
      <c r="F739" s="25"/>
      <c r="G739" s="25"/>
      <c r="H739" s="25"/>
      <c r="I739" s="25"/>
      <c r="J739" s="25"/>
      <c r="K739" s="25"/>
      <c r="L739" s="25"/>
      <c r="M739" s="25"/>
      <c r="N739" s="25"/>
      <c r="O739" s="25"/>
      <c r="P739" s="25"/>
      <c r="Q739" s="25"/>
      <c r="R739" s="25"/>
      <c r="S739" s="25"/>
      <c r="T739" s="25"/>
      <c r="U739" s="25"/>
      <c r="V739" s="25"/>
      <c r="W739" s="25"/>
      <c r="X739" s="68">
        <f t="shared" si="33"/>
        <v>1900</v>
      </c>
      <c r="Y739" s="25">
        <f t="shared" si="34"/>
        <v>1</v>
      </c>
      <c r="Z739" s="68">
        <f t="shared" si="35"/>
        <v>0</v>
      </c>
    </row>
    <row r="740" ht="13.85" spans="1:26">
      <c r="A740" s="25"/>
      <c r="F740" s="25"/>
      <c r="G740" s="25"/>
      <c r="H740" s="25"/>
      <c r="I740" s="25"/>
      <c r="J740" s="25"/>
      <c r="K740" s="25"/>
      <c r="L740" s="25"/>
      <c r="M740" s="25"/>
      <c r="N740" s="25"/>
      <c r="O740" s="25"/>
      <c r="P740" s="25"/>
      <c r="Q740" s="25"/>
      <c r="R740" s="25"/>
      <c r="S740" s="25"/>
      <c r="T740" s="25"/>
      <c r="U740" s="25"/>
      <c r="V740" s="25"/>
      <c r="W740" s="25"/>
      <c r="X740" s="68">
        <f t="shared" si="33"/>
        <v>1900</v>
      </c>
      <c r="Y740" s="25">
        <f t="shared" si="34"/>
        <v>1</v>
      </c>
      <c r="Z740" s="68">
        <f t="shared" si="35"/>
        <v>0</v>
      </c>
    </row>
    <row r="741" ht="13.85" spans="1:26">
      <c r="A741" s="25"/>
      <c r="F741" s="25"/>
      <c r="G741" s="25"/>
      <c r="H741" s="25"/>
      <c r="I741" s="25"/>
      <c r="J741" s="25"/>
      <c r="K741" s="25"/>
      <c r="L741" s="25"/>
      <c r="M741" s="25"/>
      <c r="N741" s="25"/>
      <c r="O741" s="25"/>
      <c r="P741" s="25"/>
      <c r="Q741" s="25"/>
      <c r="R741" s="25"/>
      <c r="S741" s="25"/>
      <c r="T741" s="25"/>
      <c r="U741" s="25"/>
      <c r="V741" s="25"/>
      <c r="W741" s="25"/>
      <c r="X741" s="68">
        <f t="shared" si="33"/>
        <v>1900</v>
      </c>
      <c r="Y741" s="25">
        <f t="shared" si="34"/>
        <v>1</v>
      </c>
      <c r="Z741" s="68">
        <f t="shared" si="35"/>
        <v>0</v>
      </c>
    </row>
    <row r="742" ht="13.85" spans="1:26">
      <c r="A742" s="25"/>
      <c r="F742" s="25"/>
      <c r="G742" s="25"/>
      <c r="H742" s="25"/>
      <c r="I742" s="25"/>
      <c r="J742" s="25"/>
      <c r="K742" s="25"/>
      <c r="L742" s="25"/>
      <c r="M742" s="25"/>
      <c r="N742" s="25"/>
      <c r="O742" s="25"/>
      <c r="P742" s="25"/>
      <c r="Q742" s="25"/>
      <c r="R742" s="25"/>
      <c r="S742" s="25"/>
      <c r="T742" s="25"/>
      <c r="U742" s="25"/>
      <c r="V742" s="25"/>
      <c r="W742" s="25"/>
      <c r="X742" s="68">
        <f t="shared" si="33"/>
        <v>1900</v>
      </c>
      <c r="Y742" s="25">
        <f t="shared" si="34"/>
        <v>1</v>
      </c>
      <c r="Z742" s="68">
        <f t="shared" si="35"/>
        <v>0</v>
      </c>
    </row>
    <row r="743" ht="13.85" spans="1:26">
      <c r="A743" s="25"/>
      <c r="F743" s="25"/>
      <c r="G743" s="25"/>
      <c r="H743" s="25"/>
      <c r="I743" s="25"/>
      <c r="J743" s="25"/>
      <c r="K743" s="25"/>
      <c r="L743" s="25"/>
      <c r="M743" s="25"/>
      <c r="N743" s="25"/>
      <c r="O743" s="25"/>
      <c r="P743" s="25"/>
      <c r="Q743" s="25"/>
      <c r="R743" s="25"/>
      <c r="S743" s="25"/>
      <c r="T743" s="25"/>
      <c r="U743" s="25"/>
      <c r="V743" s="25"/>
      <c r="W743" s="25"/>
      <c r="X743" s="68">
        <f t="shared" si="33"/>
        <v>1900</v>
      </c>
      <c r="Y743" s="25">
        <f t="shared" si="34"/>
        <v>1</v>
      </c>
      <c r="Z743" s="68">
        <f t="shared" si="35"/>
        <v>0</v>
      </c>
    </row>
    <row r="744" ht="13.85" spans="1:26">
      <c r="A744" s="25"/>
      <c r="F744" s="25"/>
      <c r="G744" s="25"/>
      <c r="H744" s="25"/>
      <c r="I744" s="25"/>
      <c r="J744" s="25"/>
      <c r="K744" s="25"/>
      <c r="L744" s="25"/>
      <c r="M744" s="25"/>
      <c r="N744" s="25"/>
      <c r="O744" s="25"/>
      <c r="P744" s="25"/>
      <c r="Q744" s="25"/>
      <c r="R744" s="25"/>
      <c r="S744" s="25"/>
      <c r="T744" s="25"/>
      <c r="U744" s="25"/>
      <c r="V744" s="25"/>
      <c r="W744" s="25"/>
      <c r="X744" s="68">
        <f t="shared" si="33"/>
        <v>1900</v>
      </c>
      <c r="Y744" s="25">
        <f t="shared" si="34"/>
        <v>1</v>
      </c>
      <c r="Z744" s="68">
        <f t="shared" si="35"/>
        <v>0</v>
      </c>
    </row>
    <row r="745" ht="13.85" spans="1:26">
      <c r="A745" s="25"/>
      <c r="F745" s="25"/>
      <c r="G745" s="25"/>
      <c r="H745" s="25"/>
      <c r="I745" s="25"/>
      <c r="J745" s="25"/>
      <c r="K745" s="25"/>
      <c r="L745" s="25"/>
      <c r="M745" s="25"/>
      <c r="N745" s="25"/>
      <c r="O745" s="25"/>
      <c r="P745" s="25"/>
      <c r="Q745" s="25"/>
      <c r="R745" s="25"/>
      <c r="S745" s="25"/>
      <c r="T745" s="25"/>
      <c r="U745" s="25"/>
      <c r="V745" s="25"/>
      <c r="W745" s="25"/>
      <c r="X745" s="68">
        <f t="shared" si="33"/>
        <v>1900</v>
      </c>
      <c r="Y745" s="25">
        <f t="shared" si="34"/>
        <v>1</v>
      </c>
      <c r="Z745" s="68">
        <f t="shared" si="35"/>
        <v>0</v>
      </c>
    </row>
    <row r="746" ht="13.85" spans="1:26">
      <c r="A746" s="25"/>
      <c r="F746" s="25"/>
      <c r="G746" s="25"/>
      <c r="H746" s="25"/>
      <c r="I746" s="25"/>
      <c r="J746" s="25"/>
      <c r="K746" s="25"/>
      <c r="L746" s="25"/>
      <c r="M746" s="25"/>
      <c r="N746" s="25"/>
      <c r="O746" s="25"/>
      <c r="P746" s="25"/>
      <c r="Q746" s="25"/>
      <c r="R746" s="25"/>
      <c r="S746" s="25"/>
      <c r="T746" s="25"/>
      <c r="U746" s="25"/>
      <c r="V746" s="25"/>
      <c r="W746" s="25"/>
      <c r="X746" s="68">
        <f t="shared" si="33"/>
        <v>1900</v>
      </c>
      <c r="Y746" s="25">
        <f t="shared" si="34"/>
        <v>1</v>
      </c>
      <c r="Z746" s="68">
        <f t="shared" si="35"/>
        <v>0</v>
      </c>
    </row>
    <row r="747" ht="13.85" spans="1:26">
      <c r="A747" s="25"/>
      <c r="F747" s="25"/>
      <c r="G747" s="25"/>
      <c r="H747" s="25"/>
      <c r="I747" s="25"/>
      <c r="J747" s="25"/>
      <c r="K747" s="25"/>
      <c r="L747" s="25"/>
      <c r="M747" s="25"/>
      <c r="N747" s="25"/>
      <c r="O747" s="25"/>
      <c r="P747" s="25"/>
      <c r="Q747" s="25"/>
      <c r="R747" s="25"/>
      <c r="S747" s="25"/>
      <c r="T747" s="25"/>
      <c r="U747" s="25"/>
      <c r="V747" s="25"/>
      <c r="W747" s="25"/>
      <c r="X747" s="68">
        <f t="shared" si="33"/>
        <v>1900</v>
      </c>
      <c r="Y747" s="25">
        <f t="shared" si="34"/>
        <v>1</v>
      </c>
      <c r="Z747" s="68">
        <f t="shared" si="35"/>
        <v>0</v>
      </c>
    </row>
    <row r="748" ht="13.85" spans="1:26">
      <c r="A748" s="25"/>
      <c r="F748" s="25"/>
      <c r="G748" s="25"/>
      <c r="H748" s="25"/>
      <c r="I748" s="25"/>
      <c r="J748" s="25"/>
      <c r="K748" s="25"/>
      <c r="L748" s="25"/>
      <c r="M748" s="25"/>
      <c r="N748" s="25"/>
      <c r="O748" s="25"/>
      <c r="P748" s="25"/>
      <c r="Q748" s="25"/>
      <c r="R748" s="25"/>
      <c r="S748" s="25"/>
      <c r="T748" s="25"/>
      <c r="U748" s="25"/>
      <c r="V748" s="25"/>
      <c r="W748" s="25"/>
      <c r="X748" s="68">
        <f t="shared" si="33"/>
        <v>1900</v>
      </c>
      <c r="Y748" s="25">
        <f t="shared" si="34"/>
        <v>1</v>
      </c>
      <c r="Z748" s="68">
        <f t="shared" si="35"/>
        <v>0</v>
      </c>
    </row>
    <row r="749" ht="13.85" spans="1:26">
      <c r="A749" s="25"/>
      <c r="F749" s="25"/>
      <c r="G749" s="25"/>
      <c r="H749" s="25"/>
      <c r="I749" s="25"/>
      <c r="J749" s="25"/>
      <c r="K749" s="25"/>
      <c r="L749" s="25"/>
      <c r="M749" s="25"/>
      <c r="N749" s="25"/>
      <c r="O749" s="25"/>
      <c r="P749" s="25"/>
      <c r="Q749" s="25"/>
      <c r="R749" s="25"/>
      <c r="S749" s="25"/>
      <c r="T749" s="25"/>
      <c r="U749" s="25"/>
      <c r="V749" s="25"/>
      <c r="W749" s="25"/>
      <c r="X749" s="68">
        <f t="shared" si="33"/>
        <v>1900</v>
      </c>
      <c r="Y749" s="25">
        <f t="shared" si="34"/>
        <v>1</v>
      </c>
      <c r="Z749" s="68">
        <f t="shared" si="35"/>
        <v>0</v>
      </c>
    </row>
    <row r="750" ht="13.85" spans="1:26">
      <c r="A750" s="25"/>
      <c r="F750" s="25"/>
      <c r="G750" s="25"/>
      <c r="H750" s="25"/>
      <c r="I750" s="25"/>
      <c r="J750" s="25"/>
      <c r="K750" s="25"/>
      <c r="L750" s="25"/>
      <c r="M750" s="25"/>
      <c r="N750" s="25"/>
      <c r="O750" s="25"/>
      <c r="P750" s="25"/>
      <c r="Q750" s="25"/>
      <c r="R750" s="25"/>
      <c r="S750" s="25"/>
      <c r="T750" s="25"/>
      <c r="U750" s="25"/>
      <c r="V750" s="25"/>
      <c r="W750" s="25"/>
      <c r="X750" s="68">
        <f t="shared" si="33"/>
        <v>1900</v>
      </c>
      <c r="Y750" s="25">
        <f t="shared" si="34"/>
        <v>1</v>
      </c>
      <c r="Z750" s="68">
        <f t="shared" si="35"/>
        <v>0</v>
      </c>
    </row>
    <row r="751" ht="13.85" spans="1:26">
      <c r="A751" s="25"/>
      <c r="F751" s="25"/>
      <c r="G751" s="25"/>
      <c r="H751" s="25"/>
      <c r="I751" s="25"/>
      <c r="J751" s="25"/>
      <c r="K751" s="25"/>
      <c r="L751" s="25"/>
      <c r="M751" s="25"/>
      <c r="N751" s="25"/>
      <c r="O751" s="25"/>
      <c r="P751" s="25"/>
      <c r="Q751" s="25"/>
      <c r="R751" s="25"/>
      <c r="S751" s="25"/>
      <c r="T751" s="25"/>
      <c r="U751" s="25"/>
      <c r="V751" s="25"/>
      <c r="W751" s="25"/>
      <c r="X751" s="68">
        <f t="shared" si="33"/>
        <v>1900</v>
      </c>
      <c r="Y751" s="25">
        <f t="shared" si="34"/>
        <v>1</v>
      </c>
      <c r="Z751" s="68">
        <f t="shared" si="35"/>
        <v>0</v>
      </c>
    </row>
    <row r="752" ht="13.85" spans="1:26">
      <c r="A752" s="25"/>
      <c r="F752" s="25"/>
      <c r="G752" s="25"/>
      <c r="H752" s="25"/>
      <c r="I752" s="25"/>
      <c r="J752" s="25"/>
      <c r="K752" s="25"/>
      <c r="L752" s="25"/>
      <c r="M752" s="25"/>
      <c r="N752" s="25"/>
      <c r="O752" s="25"/>
      <c r="P752" s="25"/>
      <c r="Q752" s="25"/>
      <c r="R752" s="25"/>
      <c r="S752" s="25"/>
      <c r="T752" s="25"/>
      <c r="U752" s="25"/>
      <c r="V752" s="25"/>
      <c r="W752" s="25"/>
      <c r="X752" s="68">
        <f t="shared" si="33"/>
        <v>1900</v>
      </c>
      <c r="Y752" s="25">
        <f t="shared" si="34"/>
        <v>1</v>
      </c>
      <c r="Z752" s="68">
        <f t="shared" si="35"/>
        <v>0</v>
      </c>
    </row>
    <row r="753" ht="13.85" spans="1:26">
      <c r="A753" s="25"/>
      <c r="F753" s="25"/>
      <c r="G753" s="25"/>
      <c r="H753" s="25"/>
      <c r="I753" s="25"/>
      <c r="J753" s="25"/>
      <c r="K753" s="25"/>
      <c r="L753" s="25"/>
      <c r="M753" s="25"/>
      <c r="N753" s="25"/>
      <c r="O753" s="25"/>
      <c r="P753" s="25"/>
      <c r="Q753" s="25"/>
      <c r="R753" s="25"/>
      <c r="S753" s="25"/>
      <c r="T753" s="25"/>
      <c r="U753" s="25"/>
      <c r="V753" s="25"/>
      <c r="W753" s="25"/>
      <c r="X753" s="68">
        <f t="shared" si="33"/>
        <v>1900</v>
      </c>
      <c r="Y753" s="25">
        <f t="shared" si="34"/>
        <v>1</v>
      </c>
      <c r="Z753" s="68">
        <f t="shared" si="35"/>
        <v>0</v>
      </c>
    </row>
    <row r="754" ht="13.85" spans="1:26">
      <c r="A754" s="25"/>
      <c r="F754" s="25"/>
      <c r="G754" s="25"/>
      <c r="H754" s="25"/>
      <c r="I754" s="25"/>
      <c r="J754" s="25"/>
      <c r="K754" s="25"/>
      <c r="L754" s="25"/>
      <c r="M754" s="25"/>
      <c r="N754" s="25"/>
      <c r="O754" s="25"/>
      <c r="P754" s="25"/>
      <c r="Q754" s="25"/>
      <c r="R754" s="25"/>
      <c r="S754" s="25"/>
      <c r="T754" s="25"/>
      <c r="U754" s="25"/>
      <c r="V754" s="25"/>
      <c r="W754" s="25"/>
      <c r="X754" s="68">
        <f t="shared" si="33"/>
        <v>1900</v>
      </c>
      <c r="Y754" s="25">
        <f t="shared" si="34"/>
        <v>1</v>
      </c>
      <c r="Z754" s="68">
        <f t="shared" si="35"/>
        <v>0</v>
      </c>
    </row>
    <row r="755" ht="13.85" spans="1:26">
      <c r="A755" s="25"/>
      <c r="F755" s="25"/>
      <c r="G755" s="25"/>
      <c r="H755" s="25"/>
      <c r="I755" s="25"/>
      <c r="J755" s="25"/>
      <c r="K755" s="25"/>
      <c r="L755" s="25"/>
      <c r="M755" s="25"/>
      <c r="N755" s="25"/>
      <c r="O755" s="25"/>
      <c r="P755" s="25"/>
      <c r="Q755" s="25"/>
      <c r="R755" s="25"/>
      <c r="S755" s="25"/>
      <c r="T755" s="25"/>
      <c r="U755" s="25"/>
      <c r="V755" s="25"/>
      <c r="W755" s="25"/>
      <c r="X755" s="68">
        <f t="shared" si="33"/>
        <v>1900</v>
      </c>
      <c r="Y755" s="25">
        <f t="shared" si="34"/>
        <v>1</v>
      </c>
      <c r="Z755" s="68">
        <f t="shared" si="35"/>
        <v>0</v>
      </c>
    </row>
    <row r="756" ht="13.85" spans="1:26">
      <c r="A756" s="25"/>
      <c r="F756" s="25"/>
      <c r="G756" s="25"/>
      <c r="H756" s="25"/>
      <c r="I756" s="25"/>
      <c r="J756" s="25"/>
      <c r="K756" s="25"/>
      <c r="L756" s="25"/>
      <c r="M756" s="25"/>
      <c r="N756" s="25"/>
      <c r="O756" s="25"/>
      <c r="P756" s="25"/>
      <c r="Q756" s="25"/>
      <c r="R756" s="25"/>
      <c r="S756" s="25"/>
      <c r="T756" s="25"/>
      <c r="U756" s="25"/>
      <c r="V756" s="25"/>
      <c r="W756" s="25"/>
      <c r="X756" s="68">
        <f t="shared" si="33"/>
        <v>1900</v>
      </c>
      <c r="Y756" s="25">
        <f t="shared" si="34"/>
        <v>1</v>
      </c>
      <c r="Z756" s="68">
        <f t="shared" si="35"/>
        <v>0</v>
      </c>
    </row>
    <row r="757" ht="13.85" spans="1:26">
      <c r="A757" s="25"/>
      <c r="F757" s="25"/>
      <c r="G757" s="25"/>
      <c r="H757" s="25"/>
      <c r="I757" s="25"/>
      <c r="J757" s="25"/>
      <c r="K757" s="25"/>
      <c r="L757" s="25"/>
      <c r="M757" s="25"/>
      <c r="N757" s="25"/>
      <c r="O757" s="25"/>
      <c r="P757" s="25"/>
      <c r="Q757" s="25"/>
      <c r="R757" s="25"/>
      <c r="S757" s="25"/>
      <c r="T757" s="25"/>
      <c r="U757" s="25"/>
      <c r="V757" s="25"/>
      <c r="W757" s="25"/>
      <c r="X757" s="68">
        <f t="shared" si="33"/>
        <v>1900</v>
      </c>
      <c r="Y757" s="25">
        <f t="shared" si="34"/>
        <v>1</v>
      </c>
      <c r="Z757" s="68">
        <f t="shared" si="35"/>
        <v>0</v>
      </c>
    </row>
    <row r="758" ht="13.85" spans="1:26">
      <c r="A758" s="25"/>
      <c r="F758" s="25"/>
      <c r="G758" s="25"/>
      <c r="H758" s="25"/>
      <c r="I758" s="25"/>
      <c r="J758" s="25"/>
      <c r="K758" s="25"/>
      <c r="L758" s="25"/>
      <c r="M758" s="25"/>
      <c r="N758" s="25"/>
      <c r="O758" s="25"/>
      <c r="P758" s="25"/>
      <c r="Q758" s="25"/>
      <c r="R758" s="25"/>
      <c r="S758" s="25"/>
      <c r="T758" s="25"/>
      <c r="U758" s="25"/>
      <c r="V758" s="25"/>
      <c r="W758" s="25"/>
      <c r="X758" s="68">
        <f t="shared" si="33"/>
        <v>1900</v>
      </c>
      <c r="Y758" s="25">
        <f t="shared" si="34"/>
        <v>1</v>
      </c>
      <c r="Z758" s="68">
        <f t="shared" si="35"/>
        <v>0</v>
      </c>
    </row>
    <row r="759" ht="13.85" spans="1:26">
      <c r="A759" s="25"/>
      <c r="F759" s="25"/>
      <c r="G759" s="25"/>
      <c r="H759" s="25"/>
      <c r="I759" s="25"/>
      <c r="J759" s="25"/>
      <c r="K759" s="25"/>
      <c r="L759" s="25"/>
      <c r="M759" s="25"/>
      <c r="N759" s="25"/>
      <c r="O759" s="25"/>
      <c r="P759" s="25"/>
      <c r="Q759" s="25"/>
      <c r="R759" s="25"/>
      <c r="S759" s="25"/>
      <c r="T759" s="25"/>
      <c r="U759" s="25"/>
      <c r="V759" s="25"/>
      <c r="W759" s="25"/>
      <c r="X759" s="68">
        <f t="shared" si="33"/>
        <v>1900</v>
      </c>
      <c r="Y759" s="25">
        <f t="shared" si="34"/>
        <v>1</v>
      </c>
      <c r="Z759" s="68">
        <f t="shared" si="35"/>
        <v>0</v>
      </c>
    </row>
    <row r="760" ht="13.85" spans="1:26">
      <c r="A760" s="25"/>
      <c r="F760" s="25"/>
      <c r="G760" s="25"/>
      <c r="H760" s="25"/>
      <c r="I760" s="25"/>
      <c r="J760" s="25"/>
      <c r="K760" s="25"/>
      <c r="L760" s="25"/>
      <c r="M760" s="25"/>
      <c r="N760" s="25"/>
      <c r="O760" s="25"/>
      <c r="P760" s="25"/>
      <c r="Q760" s="25"/>
      <c r="R760" s="25"/>
      <c r="S760" s="25"/>
      <c r="T760" s="25"/>
      <c r="U760" s="25"/>
      <c r="V760" s="25"/>
      <c r="W760" s="25"/>
      <c r="X760" s="68">
        <f t="shared" si="33"/>
        <v>1900</v>
      </c>
      <c r="Y760" s="25">
        <f t="shared" si="34"/>
        <v>1</v>
      </c>
      <c r="Z760" s="68">
        <f t="shared" si="35"/>
        <v>0</v>
      </c>
    </row>
    <row r="761" ht="13.85" spans="1:26">
      <c r="A761" s="25"/>
      <c r="F761" s="25"/>
      <c r="G761" s="25"/>
      <c r="H761" s="25"/>
      <c r="I761" s="25"/>
      <c r="J761" s="25"/>
      <c r="K761" s="25"/>
      <c r="L761" s="25"/>
      <c r="M761" s="25"/>
      <c r="N761" s="25"/>
      <c r="O761" s="25"/>
      <c r="P761" s="25"/>
      <c r="Q761" s="25"/>
      <c r="R761" s="25"/>
      <c r="S761" s="25"/>
      <c r="T761" s="25"/>
      <c r="U761" s="25"/>
      <c r="V761" s="25"/>
      <c r="W761" s="25"/>
      <c r="X761" s="68">
        <f t="shared" si="33"/>
        <v>1900</v>
      </c>
      <c r="Y761" s="25">
        <f t="shared" si="34"/>
        <v>1</v>
      </c>
      <c r="Z761" s="68">
        <f t="shared" si="35"/>
        <v>0</v>
      </c>
    </row>
    <row r="762" ht="13.85" spans="1:26">
      <c r="A762" s="25"/>
      <c r="F762" s="25"/>
      <c r="G762" s="25"/>
      <c r="H762" s="25"/>
      <c r="I762" s="25"/>
      <c r="J762" s="25"/>
      <c r="K762" s="25"/>
      <c r="L762" s="25"/>
      <c r="M762" s="25"/>
      <c r="N762" s="25"/>
      <c r="O762" s="25"/>
      <c r="P762" s="25"/>
      <c r="Q762" s="25"/>
      <c r="R762" s="25"/>
      <c r="S762" s="25"/>
      <c r="T762" s="25"/>
      <c r="U762" s="25"/>
      <c r="V762" s="25"/>
      <c r="W762" s="25"/>
      <c r="X762" s="68">
        <f t="shared" si="33"/>
        <v>1900</v>
      </c>
      <c r="Y762" s="25">
        <f t="shared" si="34"/>
        <v>1</v>
      </c>
      <c r="Z762" s="68">
        <f t="shared" si="35"/>
        <v>0</v>
      </c>
    </row>
    <row r="763" ht="13.85" spans="1:26">
      <c r="A763" s="25"/>
      <c r="F763" s="25"/>
      <c r="G763" s="25"/>
      <c r="H763" s="25"/>
      <c r="I763" s="25"/>
      <c r="J763" s="25"/>
      <c r="K763" s="25"/>
      <c r="L763" s="25"/>
      <c r="M763" s="25"/>
      <c r="N763" s="25"/>
      <c r="O763" s="25"/>
      <c r="P763" s="25"/>
      <c r="Q763" s="25"/>
      <c r="R763" s="25"/>
      <c r="S763" s="25"/>
      <c r="T763" s="25"/>
      <c r="U763" s="25"/>
      <c r="V763" s="25"/>
      <c r="W763" s="25"/>
      <c r="X763" s="68">
        <f t="shared" si="33"/>
        <v>1900</v>
      </c>
      <c r="Y763" s="25">
        <f t="shared" si="34"/>
        <v>1</v>
      </c>
      <c r="Z763" s="68">
        <f t="shared" si="35"/>
        <v>0</v>
      </c>
    </row>
    <row r="764" ht="13.85" spans="1:26">
      <c r="A764" s="25"/>
      <c r="F764" s="25"/>
      <c r="G764" s="25"/>
      <c r="H764" s="25"/>
      <c r="I764" s="25"/>
      <c r="J764" s="25"/>
      <c r="K764" s="25"/>
      <c r="L764" s="25"/>
      <c r="M764" s="25"/>
      <c r="N764" s="25"/>
      <c r="O764" s="25"/>
      <c r="P764" s="25"/>
      <c r="Q764" s="25"/>
      <c r="R764" s="25"/>
      <c r="S764" s="25"/>
      <c r="T764" s="25"/>
      <c r="U764" s="25"/>
      <c r="V764" s="25"/>
      <c r="W764" s="25"/>
      <c r="X764" s="68">
        <f t="shared" si="33"/>
        <v>1900</v>
      </c>
      <c r="Y764" s="25">
        <f t="shared" si="34"/>
        <v>1</v>
      </c>
      <c r="Z764" s="68">
        <f t="shared" si="35"/>
        <v>0</v>
      </c>
    </row>
    <row r="765" ht="13.85" spans="1:26">
      <c r="A765" s="25"/>
      <c r="F765" s="25"/>
      <c r="G765" s="25"/>
      <c r="H765" s="25"/>
      <c r="I765" s="25"/>
      <c r="J765" s="25"/>
      <c r="K765" s="25"/>
      <c r="L765" s="25"/>
      <c r="M765" s="25"/>
      <c r="N765" s="25"/>
      <c r="O765" s="25"/>
      <c r="P765" s="25"/>
      <c r="Q765" s="25"/>
      <c r="R765" s="25"/>
      <c r="S765" s="25"/>
      <c r="T765" s="25"/>
      <c r="U765" s="25"/>
      <c r="V765" s="25"/>
      <c r="W765" s="25"/>
      <c r="X765" s="68">
        <f t="shared" si="33"/>
        <v>1900</v>
      </c>
      <c r="Y765" s="25">
        <f t="shared" si="34"/>
        <v>1</v>
      </c>
      <c r="Z765" s="68">
        <f t="shared" si="35"/>
        <v>0</v>
      </c>
    </row>
    <row r="766" ht="13.85" spans="1:26">
      <c r="A766" s="25"/>
      <c r="F766" s="25"/>
      <c r="G766" s="25"/>
      <c r="H766" s="25"/>
      <c r="I766" s="25"/>
      <c r="J766" s="25"/>
      <c r="K766" s="25"/>
      <c r="L766" s="25"/>
      <c r="M766" s="25"/>
      <c r="N766" s="25"/>
      <c r="O766" s="25"/>
      <c r="P766" s="25"/>
      <c r="Q766" s="25"/>
      <c r="R766" s="25"/>
      <c r="S766" s="25"/>
      <c r="T766" s="25"/>
      <c r="U766" s="25"/>
      <c r="V766" s="25"/>
      <c r="W766" s="25"/>
      <c r="X766" s="68">
        <f t="shared" si="33"/>
        <v>1900</v>
      </c>
      <c r="Y766" s="25">
        <f t="shared" si="34"/>
        <v>1</v>
      </c>
      <c r="Z766" s="68">
        <f t="shared" si="35"/>
        <v>0</v>
      </c>
    </row>
    <row r="767" ht="13.85" spans="1:26">
      <c r="A767" s="25"/>
      <c r="F767" s="25"/>
      <c r="G767" s="25"/>
      <c r="H767" s="25"/>
      <c r="I767" s="25"/>
      <c r="J767" s="25"/>
      <c r="K767" s="25"/>
      <c r="L767" s="25"/>
      <c r="M767" s="25"/>
      <c r="N767" s="25"/>
      <c r="O767" s="25"/>
      <c r="P767" s="25"/>
      <c r="Q767" s="25"/>
      <c r="R767" s="25"/>
      <c r="S767" s="25"/>
      <c r="T767" s="25"/>
      <c r="U767" s="25"/>
      <c r="V767" s="25"/>
      <c r="W767" s="25"/>
      <c r="X767" s="68">
        <f t="shared" si="33"/>
        <v>1900</v>
      </c>
      <c r="Y767" s="25">
        <f t="shared" si="34"/>
        <v>1</v>
      </c>
      <c r="Z767" s="68">
        <f t="shared" si="35"/>
        <v>0</v>
      </c>
    </row>
    <row r="768" ht="13.85" spans="1:26">
      <c r="A768" s="25"/>
      <c r="F768" s="25"/>
      <c r="G768" s="25"/>
      <c r="H768" s="25"/>
      <c r="I768" s="25"/>
      <c r="J768" s="25"/>
      <c r="K768" s="25"/>
      <c r="L768" s="25"/>
      <c r="M768" s="25"/>
      <c r="N768" s="25"/>
      <c r="O768" s="25"/>
      <c r="P768" s="25"/>
      <c r="Q768" s="25"/>
      <c r="R768" s="25"/>
      <c r="S768" s="25"/>
      <c r="T768" s="25"/>
      <c r="U768" s="25"/>
      <c r="V768" s="25"/>
      <c r="W768" s="25"/>
      <c r="X768" s="68">
        <f t="shared" si="33"/>
        <v>1900</v>
      </c>
      <c r="Y768" s="25">
        <f t="shared" si="34"/>
        <v>1</v>
      </c>
      <c r="Z768" s="68">
        <f t="shared" si="35"/>
        <v>0</v>
      </c>
    </row>
    <row r="769" ht="13.85" spans="1:26">
      <c r="A769" s="25"/>
      <c r="F769" s="25"/>
      <c r="G769" s="25"/>
      <c r="H769" s="25"/>
      <c r="I769" s="25"/>
      <c r="J769" s="25"/>
      <c r="K769" s="25"/>
      <c r="L769" s="25"/>
      <c r="M769" s="25"/>
      <c r="N769" s="25"/>
      <c r="O769" s="25"/>
      <c r="P769" s="25"/>
      <c r="Q769" s="25"/>
      <c r="R769" s="25"/>
      <c r="S769" s="25"/>
      <c r="T769" s="25"/>
      <c r="U769" s="25"/>
      <c r="V769" s="25"/>
      <c r="W769" s="25"/>
      <c r="X769" s="68">
        <f t="shared" si="33"/>
        <v>1900</v>
      </c>
      <c r="Y769" s="25">
        <f t="shared" si="34"/>
        <v>1</v>
      </c>
      <c r="Z769" s="68">
        <f t="shared" si="35"/>
        <v>0</v>
      </c>
    </row>
    <row r="770" ht="13.85" spans="1:26">
      <c r="A770" s="25"/>
      <c r="F770" s="25"/>
      <c r="G770" s="25"/>
      <c r="H770" s="25"/>
      <c r="I770" s="25"/>
      <c r="J770" s="25"/>
      <c r="K770" s="25"/>
      <c r="L770" s="25"/>
      <c r="M770" s="25"/>
      <c r="N770" s="25"/>
      <c r="O770" s="25"/>
      <c r="P770" s="25"/>
      <c r="Q770" s="25"/>
      <c r="R770" s="25"/>
      <c r="S770" s="25"/>
      <c r="T770" s="25"/>
      <c r="U770" s="25"/>
      <c r="V770" s="25"/>
      <c r="W770" s="25"/>
      <c r="X770" s="68">
        <f t="shared" ref="X770:X833" si="36">YEAR(C770)</f>
        <v>1900</v>
      </c>
      <c r="Y770" s="25">
        <f t="shared" ref="Y770:Y833" si="37">MONTH(C770)</f>
        <v>1</v>
      </c>
      <c r="Z770" s="68">
        <f t="shared" ref="Z770:Z833" si="38">DAY(C770)</f>
        <v>0</v>
      </c>
    </row>
    <row r="771" ht="13.85" spans="1:26">
      <c r="A771" s="25"/>
      <c r="F771" s="25"/>
      <c r="G771" s="25"/>
      <c r="H771" s="25"/>
      <c r="I771" s="25"/>
      <c r="J771" s="25"/>
      <c r="K771" s="25"/>
      <c r="L771" s="25"/>
      <c r="M771" s="25"/>
      <c r="N771" s="25"/>
      <c r="O771" s="25"/>
      <c r="P771" s="25"/>
      <c r="Q771" s="25"/>
      <c r="R771" s="25"/>
      <c r="S771" s="25"/>
      <c r="T771" s="25"/>
      <c r="U771" s="25"/>
      <c r="V771" s="25"/>
      <c r="W771" s="25"/>
      <c r="X771" s="68">
        <f t="shared" si="36"/>
        <v>1900</v>
      </c>
      <c r="Y771" s="25">
        <f t="shared" si="37"/>
        <v>1</v>
      </c>
      <c r="Z771" s="68">
        <f t="shared" si="38"/>
        <v>0</v>
      </c>
    </row>
    <row r="772" ht="13.85" spans="1:26">
      <c r="A772" s="25"/>
      <c r="F772" s="25"/>
      <c r="G772" s="25"/>
      <c r="H772" s="25"/>
      <c r="I772" s="25"/>
      <c r="J772" s="25"/>
      <c r="K772" s="25"/>
      <c r="L772" s="25"/>
      <c r="M772" s="25"/>
      <c r="N772" s="25"/>
      <c r="O772" s="25"/>
      <c r="P772" s="25"/>
      <c r="Q772" s="25"/>
      <c r="R772" s="25"/>
      <c r="S772" s="25"/>
      <c r="T772" s="25"/>
      <c r="U772" s="25"/>
      <c r="V772" s="25"/>
      <c r="W772" s="25"/>
      <c r="X772" s="68">
        <f t="shared" si="36"/>
        <v>1900</v>
      </c>
      <c r="Y772" s="25">
        <f t="shared" si="37"/>
        <v>1</v>
      </c>
      <c r="Z772" s="68">
        <f t="shared" si="38"/>
        <v>0</v>
      </c>
    </row>
    <row r="773" ht="13.85" spans="1:26">
      <c r="A773" s="25"/>
      <c r="F773" s="25"/>
      <c r="G773" s="25"/>
      <c r="H773" s="25"/>
      <c r="I773" s="25"/>
      <c r="J773" s="25"/>
      <c r="K773" s="25"/>
      <c r="L773" s="25"/>
      <c r="M773" s="25"/>
      <c r="N773" s="25"/>
      <c r="O773" s="25"/>
      <c r="P773" s="25"/>
      <c r="Q773" s="25"/>
      <c r="R773" s="25"/>
      <c r="S773" s="25"/>
      <c r="T773" s="25"/>
      <c r="U773" s="25"/>
      <c r="V773" s="25"/>
      <c r="W773" s="25"/>
      <c r="X773" s="68">
        <f t="shared" si="36"/>
        <v>1900</v>
      </c>
      <c r="Y773" s="25">
        <f t="shared" si="37"/>
        <v>1</v>
      </c>
      <c r="Z773" s="68">
        <f t="shared" si="38"/>
        <v>0</v>
      </c>
    </row>
    <row r="774" ht="13.85" spans="1:26">
      <c r="A774" s="25"/>
      <c r="F774" s="25"/>
      <c r="G774" s="25"/>
      <c r="H774" s="25"/>
      <c r="I774" s="25"/>
      <c r="J774" s="25"/>
      <c r="K774" s="25"/>
      <c r="L774" s="25"/>
      <c r="M774" s="25"/>
      <c r="N774" s="25"/>
      <c r="O774" s="25"/>
      <c r="P774" s="25"/>
      <c r="Q774" s="25"/>
      <c r="R774" s="25"/>
      <c r="S774" s="25"/>
      <c r="T774" s="25"/>
      <c r="U774" s="25"/>
      <c r="V774" s="25"/>
      <c r="W774" s="25"/>
      <c r="X774" s="68">
        <f t="shared" si="36"/>
        <v>1900</v>
      </c>
      <c r="Y774" s="25">
        <f t="shared" si="37"/>
        <v>1</v>
      </c>
      <c r="Z774" s="68">
        <f t="shared" si="38"/>
        <v>0</v>
      </c>
    </row>
    <row r="775" ht="13.85" spans="1:26">
      <c r="A775" s="25"/>
      <c r="F775" s="25"/>
      <c r="G775" s="25"/>
      <c r="H775" s="25"/>
      <c r="I775" s="25"/>
      <c r="J775" s="25"/>
      <c r="K775" s="25"/>
      <c r="L775" s="25"/>
      <c r="M775" s="25"/>
      <c r="N775" s="25"/>
      <c r="O775" s="25"/>
      <c r="P775" s="25"/>
      <c r="Q775" s="25"/>
      <c r="R775" s="25"/>
      <c r="S775" s="25"/>
      <c r="T775" s="25"/>
      <c r="U775" s="25"/>
      <c r="V775" s="25"/>
      <c r="W775" s="25"/>
      <c r="X775" s="68">
        <f t="shared" si="36"/>
        <v>1900</v>
      </c>
      <c r="Y775" s="25">
        <f t="shared" si="37"/>
        <v>1</v>
      </c>
      <c r="Z775" s="68">
        <f t="shared" si="38"/>
        <v>0</v>
      </c>
    </row>
    <row r="776" ht="13.85" spans="1:26">
      <c r="A776" s="25"/>
      <c r="F776" s="25"/>
      <c r="G776" s="25"/>
      <c r="H776" s="25"/>
      <c r="I776" s="25"/>
      <c r="J776" s="25"/>
      <c r="K776" s="25"/>
      <c r="L776" s="25"/>
      <c r="M776" s="25"/>
      <c r="N776" s="25"/>
      <c r="O776" s="25"/>
      <c r="P776" s="25"/>
      <c r="Q776" s="25"/>
      <c r="R776" s="25"/>
      <c r="S776" s="25"/>
      <c r="T776" s="25"/>
      <c r="U776" s="25"/>
      <c r="V776" s="25"/>
      <c r="W776" s="25"/>
      <c r="X776" s="68">
        <f t="shared" si="36"/>
        <v>1900</v>
      </c>
      <c r="Y776" s="25">
        <f t="shared" si="37"/>
        <v>1</v>
      </c>
      <c r="Z776" s="68">
        <f t="shared" si="38"/>
        <v>0</v>
      </c>
    </row>
    <row r="777" ht="13.85" spans="1:26">
      <c r="A777" s="25"/>
      <c r="F777" s="25"/>
      <c r="G777" s="25"/>
      <c r="H777" s="25"/>
      <c r="I777" s="25"/>
      <c r="J777" s="25"/>
      <c r="K777" s="25"/>
      <c r="L777" s="25"/>
      <c r="M777" s="25"/>
      <c r="N777" s="25"/>
      <c r="O777" s="25"/>
      <c r="P777" s="25"/>
      <c r="Q777" s="25"/>
      <c r="R777" s="25"/>
      <c r="S777" s="25"/>
      <c r="T777" s="25"/>
      <c r="U777" s="25"/>
      <c r="V777" s="25"/>
      <c r="W777" s="25"/>
      <c r="X777" s="68">
        <f t="shared" si="36"/>
        <v>1900</v>
      </c>
      <c r="Y777" s="25">
        <f t="shared" si="37"/>
        <v>1</v>
      </c>
      <c r="Z777" s="68">
        <f t="shared" si="38"/>
        <v>0</v>
      </c>
    </row>
    <row r="778" ht="13.85" spans="1:26">
      <c r="A778" s="25"/>
      <c r="F778" s="25"/>
      <c r="G778" s="25"/>
      <c r="H778" s="25"/>
      <c r="I778" s="25"/>
      <c r="J778" s="25"/>
      <c r="K778" s="25"/>
      <c r="L778" s="25"/>
      <c r="M778" s="25"/>
      <c r="N778" s="25"/>
      <c r="O778" s="25"/>
      <c r="P778" s="25"/>
      <c r="Q778" s="25"/>
      <c r="R778" s="25"/>
      <c r="S778" s="25"/>
      <c r="T778" s="25"/>
      <c r="U778" s="25"/>
      <c r="V778" s="25"/>
      <c r="W778" s="25"/>
      <c r="X778" s="68">
        <f t="shared" si="36"/>
        <v>1900</v>
      </c>
      <c r="Y778" s="25">
        <f t="shared" si="37"/>
        <v>1</v>
      </c>
      <c r="Z778" s="68">
        <f t="shared" si="38"/>
        <v>0</v>
      </c>
    </row>
    <row r="779" ht="13.85" spans="1:26">
      <c r="A779" s="25"/>
      <c r="F779" s="25"/>
      <c r="G779" s="25"/>
      <c r="H779" s="25"/>
      <c r="I779" s="25"/>
      <c r="J779" s="25"/>
      <c r="K779" s="25"/>
      <c r="L779" s="25"/>
      <c r="M779" s="25"/>
      <c r="N779" s="25"/>
      <c r="O779" s="25"/>
      <c r="P779" s="25"/>
      <c r="Q779" s="25"/>
      <c r="R779" s="25"/>
      <c r="S779" s="25"/>
      <c r="T779" s="25"/>
      <c r="U779" s="25"/>
      <c r="V779" s="25"/>
      <c r="W779" s="25"/>
      <c r="X779" s="68">
        <f t="shared" si="36"/>
        <v>1900</v>
      </c>
      <c r="Y779" s="25">
        <f t="shared" si="37"/>
        <v>1</v>
      </c>
      <c r="Z779" s="68">
        <f t="shared" si="38"/>
        <v>0</v>
      </c>
    </row>
    <row r="780" ht="13.85" spans="1:26">
      <c r="A780" s="25"/>
      <c r="F780" s="25"/>
      <c r="G780" s="25"/>
      <c r="H780" s="25"/>
      <c r="I780" s="25"/>
      <c r="J780" s="25"/>
      <c r="K780" s="25"/>
      <c r="L780" s="25"/>
      <c r="M780" s="25"/>
      <c r="N780" s="25"/>
      <c r="O780" s="25"/>
      <c r="P780" s="25"/>
      <c r="Q780" s="25"/>
      <c r="R780" s="25"/>
      <c r="S780" s="25"/>
      <c r="T780" s="25"/>
      <c r="U780" s="25"/>
      <c r="V780" s="25"/>
      <c r="W780" s="25"/>
      <c r="X780" s="68">
        <f t="shared" si="36"/>
        <v>1900</v>
      </c>
      <c r="Y780" s="25">
        <f t="shared" si="37"/>
        <v>1</v>
      </c>
      <c r="Z780" s="68">
        <f t="shared" si="38"/>
        <v>0</v>
      </c>
    </row>
    <row r="781" ht="13.85" spans="1:26">
      <c r="A781" s="25"/>
      <c r="F781" s="25"/>
      <c r="G781" s="25"/>
      <c r="H781" s="25"/>
      <c r="I781" s="25"/>
      <c r="J781" s="25"/>
      <c r="K781" s="25"/>
      <c r="L781" s="25"/>
      <c r="M781" s="25"/>
      <c r="N781" s="25"/>
      <c r="O781" s="25"/>
      <c r="P781" s="25"/>
      <c r="Q781" s="25"/>
      <c r="R781" s="25"/>
      <c r="S781" s="25"/>
      <c r="T781" s="25"/>
      <c r="U781" s="25"/>
      <c r="V781" s="25"/>
      <c r="W781" s="25"/>
      <c r="X781" s="68">
        <f t="shared" si="36"/>
        <v>1900</v>
      </c>
      <c r="Y781" s="25">
        <f t="shared" si="37"/>
        <v>1</v>
      </c>
      <c r="Z781" s="68">
        <f t="shared" si="38"/>
        <v>0</v>
      </c>
    </row>
    <row r="782" ht="13.85" spans="1:26">
      <c r="A782" s="25"/>
      <c r="F782" s="25"/>
      <c r="G782" s="25"/>
      <c r="H782" s="25"/>
      <c r="I782" s="25"/>
      <c r="J782" s="25"/>
      <c r="K782" s="25"/>
      <c r="L782" s="25"/>
      <c r="M782" s="25"/>
      <c r="N782" s="25"/>
      <c r="O782" s="25"/>
      <c r="P782" s="25"/>
      <c r="Q782" s="25"/>
      <c r="R782" s="25"/>
      <c r="S782" s="25"/>
      <c r="T782" s="25"/>
      <c r="U782" s="25"/>
      <c r="V782" s="25"/>
      <c r="W782" s="25"/>
      <c r="X782" s="68">
        <f t="shared" si="36"/>
        <v>1900</v>
      </c>
      <c r="Y782" s="25">
        <f t="shared" si="37"/>
        <v>1</v>
      </c>
      <c r="Z782" s="68">
        <f t="shared" si="38"/>
        <v>0</v>
      </c>
    </row>
    <row r="783" ht="13.85" spans="1:26">
      <c r="A783" s="25"/>
      <c r="F783" s="25"/>
      <c r="G783" s="25"/>
      <c r="H783" s="25"/>
      <c r="I783" s="25"/>
      <c r="J783" s="25"/>
      <c r="K783" s="25"/>
      <c r="L783" s="25"/>
      <c r="M783" s="25"/>
      <c r="N783" s="25"/>
      <c r="O783" s="25"/>
      <c r="P783" s="25"/>
      <c r="Q783" s="25"/>
      <c r="R783" s="25"/>
      <c r="S783" s="25"/>
      <c r="T783" s="25"/>
      <c r="U783" s="25"/>
      <c r="V783" s="25"/>
      <c r="W783" s="25"/>
      <c r="X783" s="68">
        <f t="shared" si="36"/>
        <v>1900</v>
      </c>
      <c r="Y783" s="25">
        <f t="shared" si="37"/>
        <v>1</v>
      </c>
      <c r="Z783" s="68">
        <f t="shared" si="38"/>
        <v>0</v>
      </c>
    </row>
    <row r="784" ht="13.85" spans="1:26">
      <c r="A784" s="25"/>
      <c r="F784" s="25"/>
      <c r="G784" s="25"/>
      <c r="H784" s="25"/>
      <c r="I784" s="25"/>
      <c r="J784" s="25"/>
      <c r="K784" s="25"/>
      <c r="L784" s="25"/>
      <c r="M784" s="25"/>
      <c r="N784" s="25"/>
      <c r="O784" s="25"/>
      <c r="P784" s="25"/>
      <c r="Q784" s="25"/>
      <c r="R784" s="25"/>
      <c r="S784" s="25"/>
      <c r="T784" s="25"/>
      <c r="U784" s="25"/>
      <c r="V784" s="25"/>
      <c r="W784" s="25"/>
      <c r="X784" s="68">
        <f t="shared" si="36"/>
        <v>1900</v>
      </c>
      <c r="Y784" s="25">
        <f t="shared" si="37"/>
        <v>1</v>
      </c>
      <c r="Z784" s="68">
        <f t="shared" si="38"/>
        <v>0</v>
      </c>
    </row>
    <row r="785" ht="13.85" spans="1:26">
      <c r="A785" s="25"/>
      <c r="F785" s="25"/>
      <c r="G785" s="25"/>
      <c r="H785" s="25"/>
      <c r="I785" s="25"/>
      <c r="J785" s="25"/>
      <c r="K785" s="25"/>
      <c r="L785" s="25"/>
      <c r="M785" s="25"/>
      <c r="N785" s="25"/>
      <c r="O785" s="25"/>
      <c r="P785" s="25"/>
      <c r="Q785" s="25"/>
      <c r="R785" s="25"/>
      <c r="S785" s="25"/>
      <c r="T785" s="25"/>
      <c r="U785" s="25"/>
      <c r="V785" s="25"/>
      <c r="W785" s="25"/>
      <c r="X785" s="68">
        <f t="shared" si="36"/>
        <v>1900</v>
      </c>
      <c r="Y785" s="25">
        <f t="shared" si="37"/>
        <v>1</v>
      </c>
      <c r="Z785" s="68">
        <f t="shared" si="38"/>
        <v>0</v>
      </c>
    </row>
    <row r="786" ht="13.85" spans="1:26">
      <c r="A786" s="25"/>
      <c r="F786" s="25"/>
      <c r="G786" s="25"/>
      <c r="H786" s="25"/>
      <c r="I786" s="25"/>
      <c r="J786" s="25"/>
      <c r="K786" s="25"/>
      <c r="L786" s="25"/>
      <c r="M786" s="25"/>
      <c r="N786" s="25"/>
      <c r="O786" s="25"/>
      <c r="P786" s="25"/>
      <c r="Q786" s="25"/>
      <c r="R786" s="25"/>
      <c r="S786" s="25"/>
      <c r="T786" s="25"/>
      <c r="U786" s="25"/>
      <c r="V786" s="25"/>
      <c r="W786" s="25"/>
      <c r="X786" s="68">
        <f t="shared" si="36"/>
        <v>1900</v>
      </c>
      <c r="Y786" s="25">
        <f t="shared" si="37"/>
        <v>1</v>
      </c>
      <c r="Z786" s="68">
        <f t="shared" si="38"/>
        <v>0</v>
      </c>
    </row>
    <row r="787" ht="13.85" spans="1:26">
      <c r="A787" s="25"/>
      <c r="F787" s="25"/>
      <c r="G787" s="25"/>
      <c r="H787" s="25"/>
      <c r="I787" s="25"/>
      <c r="J787" s="25"/>
      <c r="K787" s="25"/>
      <c r="L787" s="25"/>
      <c r="M787" s="25"/>
      <c r="N787" s="25"/>
      <c r="O787" s="25"/>
      <c r="P787" s="25"/>
      <c r="Q787" s="25"/>
      <c r="R787" s="25"/>
      <c r="S787" s="25"/>
      <c r="T787" s="25"/>
      <c r="U787" s="25"/>
      <c r="V787" s="25"/>
      <c r="W787" s="25"/>
      <c r="X787" s="68">
        <f t="shared" si="36"/>
        <v>1900</v>
      </c>
      <c r="Y787" s="25">
        <f t="shared" si="37"/>
        <v>1</v>
      </c>
      <c r="Z787" s="68">
        <f t="shared" si="38"/>
        <v>0</v>
      </c>
    </row>
    <row r="788" ht="13.85" spans="1:26">
      <c r="A788" s="25"/>
      <c r="F788" s="25"/>
      <c r="G788" s="25"/>
      <c r="H788" s="25"/>
      <c r="I788" s="25"/>
      <c r="J788" s="25"/>
      <c r="K788" s="25"/>
      <c r="L788" s="25"/>
      <c r="M788" s="25"/>
      <c r="N788" s="25"/>
      <c r="O788" s="25"/>
      <c r="P788" s="25"/>
      <c r="Q788" s="25"/>
      <c r="R788" s="25"/>
      <c r="S788" s="25"/>
      <c r="T788" s="25"/>
      <c r="U788" s="25"/>
      <c r="V788" s="25"/>
      <c r="W788" s="25"/>
      <c r="X788" s="68">
        <f t="shared" si="36"/>
        <v>1900</v>
      </c>
      <c r="Y788" s="25">
        <f t="shared" si="37"/>
        <v>1</v>
      </c>
      <c r="Z788" s="68">
        <f t="shared" si="38"/>
        <v>0</v>
      </c>
    </row>
    <row r="789" ht="13.85" spans="1:26">
      <c r="A789" s="25"/>
      <c r="F789" s="25"/>
      <c r="G789" s="25"/>
      <c r="H789" s="25"/>
      <c r="I789" s="25"/>
      <c r="J789" s="25"/>
      <c r="K789" s="25"/>
      <c r="L789" s="25"/>
      <c r="M789" s="25"/>
      <c r="N789" s="25"/>
      <c r="O789" s="25"/>
      <c r="P789" s="25"/>
      <c r="Q789" s="25"/>
      <c r="R789" s="25"/>
      <c r="S789" s="25"/>
      <c r="T789" s="25"/>
      <c r="U789" s="25"/>
      <c r="V789" s="25"/>
      <c r="W789" s="25"/>
      <c r="X789" s="68">
        <f t="shared" si="36"/>
        <v>1900</v>
      </c>
      <c r="Y789" s="25">
        <f t="shared" si="37"/>
        <v>1</v>
      </c>
      <c r="Z789" s="68">
        <f t="shared" si="38"/>
        <v>0</v>
      </c>
    </row>
    <row r="790" ht="13.85" spans="1:26">
      <c r="A790" s="25"/>
      <c r="F790" s="25"/>
      <c r="G790" s="25"/>
      <c r="H790" s="25"/>
      <c r="I790" s="25"/>
      <c r="J790" s="25"/>
      <c r="K790" s="25"/>
      <c r="L790" s="25"/>
      <c r="M790" s="25"/>
      <c r="N790" s="25"/>
      <c r="O790" s="25"/>
      <c r="P790" s="25"/>
      <c r="Q790" s="25"/>
      <c r="R790" s="25"/>
      <c r="S790" s="25"/>
      <c r="T790" s="25"/>
      <c r="U790" s="25"/>
      <c r="V790" s="25"/>
      <c r="W790" s="25"/>
      <c r="X790" s="68">
        <f t="shared" si="36"/>
        <v>1900</v>
      </c>
      <c r="Y790" s="25">
        <f t="shared" si="37"/>
        <v>1</v>
      </c>
      <c r="Z790" s="68">
        <f t="shared" si="38"/>
        <v>0</v>
      </c>
    </row>
    <row r="791" ht="13.85" spans="1:26">
      <c r="A791" s="25"/>
      <c r="F791" s="25"/>
      <c r="G791" s="25"/>
      <c r="H791" s="25"/>
      <c r="I791" s="25"/>
      <c r="J791" s="25"/>
      <c r="K791" s="25"/>
      <c r="L791" s="25"/>
      <c r="M791" s="25"/>
      <c r="N791" s="25"/>
      <c r="O791" s="25"/>
      <c r="P791" s="25"/>
      <c r="Q791" s="25"/>
      <c r="R791" s="25"/>
      <c r="S791" s="25"/>
      <c r="T791" s="25"/>
      <c r="U791" s="25"/>
      <c r="V791" s="25"/>
      <c r="W791" s="25"/>
      <c r="X791" s="68">
        <f t="shared" si="36"/>
        <v>1900</v>
      </c>
      <c r="Y791" s="25">
        <f t="shared" si="37"/>
        <v>1</v>
      </c>
      <c r="Z791" s="68">
        <f t="shared" si="38"/>
        <v>0</v>
      </c>
    </row>
    <row r="792" ht="13.85" spans="1:26">
      <c r="A792" s="25"/>
      <c r="F792" s="25"/>
      <c r="G792" s="25"/>
      <c r="H792" s="25"/>
      <c r="I792" s="25"/>
      <c r="J792" s="25"/>
      <c r="K792" s="25"/>
      <c r="L792" s="25"/>
      <c r="M792" s="25"/>
      <c r="N792" s="25"/>
      <c r="O792" s="25"/>
      <c r="P792" s="25"/>
      <c r="Q792" s="25"/>
      <c r="R792" s="25"/>
      <c r="S792" s="25"/>
      <c r="T792" s="25"/>
      <c r="U792" s="25"/>
      <c r="V792" s="25"/>
      <c r="W792" s="25"/>
      <c r="X792" s="68">
        <f t="shared" si="36"/>
        <v>1900</v>
      </c>
      <c r="Y792" s="25">
        <f t="shared" si="37"/>
        <v>1</v>
      </c>
      <c r="Z792" s="68">
        <f t="shared" si="38"/>
        <v>0</v>
      </c>
    </row>
    <row r="793" ht="13.85" spans="1:26">
      <c r="A793" s="25"/>
      <c r="F793" s="25"/>
      <c r="G793" s="25"/>
      <c r="H793" s="25"/>
      <c r="I793" s="25"/>
      <c r="J793" s="25"/>
      <c r="K793" s="25"/>
      <c r="L793" s="25"/>
      <c r="M793" s="25"/>
      <c r="N793" s="25"/>
      <c r="O793" s="25"/>
      <c r="P793" s="25"/>
      <c r="Q793" s="25"/>
      <c r="R793" s="25"/>
      <c r="S793" s="25"/>
      <c r="T793" s="25"/>
      <c r="U793" s="25"/>
      <c r="V793" s="25"/>
      <c r="W793" s="25"/>
      <c r="X793" s="68">
        <f t="shared" si="36"/>
        <v>1900</v>
      </c>
      <c r="Y793" s="25">
        <f t="shared" si="37"/>
        <v>1</v>
      </c>
      <c r="Z793" s="68">
        <f t="shared" si="38"/>
        <v>0</v>
      </c>
    </row>
    <row r="794" ht="13.85" spans="1:26">
      <c r="A794" s="25"/>
      <c r="F794" s="25"/>
      <c r="G794" s="25"/>
      <c r="H794" s="25"/>
      <c r="I794" s="25"/>
      <c r="J794" s="25"/>
      <c r="K794" s="25"/>
      <c r="L794" s="25"/>
      <c r="M794" s="25"/>
      <c r="N794" s="25"/>
      <c r="O794" s="25"/>
      <c r="P794" s="25"/>
      <c r="Q794" s="25"/>
      <c r="R794" s="25"/>
      <c r="S794" s="25"/>
      <c r="T794" s="25"/>
      <c r="U794" s="25"/>
      <c r="V794" s="25"/>
      <c r="W794" s="25"/>
      <c r="X794" s="68">
        <f t="shared" si="36"/>
        <v>1900</v>
      </c>
      <c r="Y794" s="25">
        <f t="shared" si="37"/>
        <v>1</v>
      </c>
      <c r="Z794" s="68">
        <f t="shared" si="38"/>
        <v>0</v>
      </c>
    </row>
    <row r="795" ht="13.85" spans="1:26">
      <c r="A795" s="25"/>
      <c r="F795" s="25"/>
      <c r="G795" s="25"/>
      <c r="H795" s="25"/>
      <c r="I795" s="25"/>
      <c r="J795" s="25"/>
      <c r="K795" s="25"/>
      <c r="L795" s="25"/>
      <c r="M795" s="25"/>
      <c r="N795" s="25"/>
      <c r="O795" s="25"/>
      <c r="P795" s="25"/>
      <c r="Q795" s="25"/>
      <c r="R795" s="25"/>
      <c r="S795" s="25"/>
      <c r="T795" s="25"/>
      <c r="U795" s="25"/>
      <c r="V795" s="25"/>
      <c r="W795" s="25"/>
      <c r="X795" s="68">
        <f t="shared" si="36"/>
        <v>1900</v>
      </c>
      <c r="Y795" s="25">
        <f t="shared" si="37"/>
        <v>1</v>
      </c>
      <c r="Z795" s="68">
        <f t="shared" si="38"/>
        <v>0</v>
      </c>
    </row>
    <row r="796" ht="13.85" spans="1:26">
      <c r="A796" s="25"/>
      <c r="F796" s="25"/>
      <c r="G796" s="25"/>
      <c r="H796" s="25"/>
      <c r="I796" s="25"/>
      <c r="J796" s="25"/>
      <c r="K796" s="25"/>
      <c r="L796" s="25"/>
      <c r="M796" s="25"/>
      <c r="N796" s="25"/>
      <c r="O796" s="25"/>
      <c r="P796" s="25"/>
      <c r="Q796" s="25"/>
      <c r="R796" s="25"/>
      <c r="S796" s="25"/>
      <c r="T796" s="25"/>
      <c r="U796" s="25"/>
      <c r="V796" s="25"/>
      <c r="W796" s="25"/>
      <c r="X796" s="68">
        <f t="shared" si="36"/>
        <v>1900</v>
      </c>
      <c r="Y796" s="25">
        <f t="shared" si="37"/>
        <v>1</v>
      </c>
      <c r="Z796" s="68">
        <f t="shared" si="38"/>
        <v>0</v>
      </c>
    </row>
    <row r="797" ht="13.85" spans="1:26">
      <c r="A797" s="25"/>
      <c r="F797" s="25"/>
      <c r="G797" s="25"/>
      <c r="H797" s="25"/>
      <c r="I797" s="25"/>
      <c r="J797" s="25"/>
      <c r="K797" s="25"/>
      <c r="L797" s="25"/>
      <c r="M797" s="25"/>
      <c r="N797" s="25"/>
      <c r="O797" s="25"/>
      <c r="P797" s="25"/>
      <c r="Q797" s="25"/>
      <c r="R797" s="25"/>
      <c r="S797" s="25"/>
      <c r="T797" s="25"/>
      <c r="U797" s="25"/>
      <c r="V797" s="25"/>
      <c r="W797" s="25"/>
      <c r="X797" s="68">
        <f t="shared" si="36"/>
        <v>1900</v>
      </c>
      <c r="Y797" s="25">
        <f t="shared" si="37"/>
        <v>1</v>
      </c>
      <c r="Z797" s="68">
        <f t="shared" si="38"/>
        <v>0</v>
      </c>
    </row>
    <row r="798" ht="13.85" spans="1:26">
      <c r="A798" s="25"/>
      <c r="F798" s="25"/>
      <c r="G798" s="25"/>
      <c r="H798" s="25"/>
      <c r="I798" s="25"/>
      <c r="J798" s="25"/>
      <c r="K798" s="25"/>
      <c r="L798" s="25"/>
      <c r="M798" s="25"/>
      <c r="N798" s="25"/>
      <c r="O798" s="25"/>
      <c r="P798" s="25"/>
      <c r="Q798" s="25"/>
      <c r="R798" s="25"/>
      <c r="S798" s="25"/>
      <c r="T798" s="25"/>
      <c r="U798" s="25"/>
      <c r="V798" s="25"/>
      <c r="W798" s="25"/>
      <c r="X798" s="68">
        <f t="shared" si="36"/>
        <v>1900</v>
      </c>
      <c r="Y798" s="25">
        <f t="shared" si="37"/>
        <v>1</v>
      </c>
      <c r="Z798" s="68">
        <f t="shared" si="38"/>
        <v>0</v>
      </c>
    </row>
    <row r="799" ht="13.85" spans="1:26">
      <c r="A799" s="25"/>
      <c r="F799" s="25"/>
      <c r="G799" s="25"/>
      <c r="H799" s="25"/>
      <c r="I799" s="25"/>
      <c r="J799" s="25"/>
      <c r="K799" s="25"/>
      <c r="L799" s="25"/>
      <c r="M799" s="25"/>
      <c r="N799" s="25"/>
      <c r="O799" s="25"/>
      <c r="P799" s="25"/>
      <c r="Q799" s="25"/>
      <c r="R799" s="25"/>
      <c r="S799" s="25"/>
      <c r="T799" s="25"/>
      <c r="U799" s="25"/>
      <c r="V799" s="25"/>
      <c r="W799" s="25"/>
      <c r="X799" s="68">
        <f t="shared" si="36"/>
        <v>1900</v>
      </c>
      <c r="Y799" s="25">
        <f t="shared" si="37"/>
        <v>1</v>
      </c>
      <c r="Z799" s="68">
        <f t="shared" si="38"/>
        <v>0</v>
      </c>
    </row>
    <row r="800" ht="13.85" spans="1:26">
      <c r="A800" s="25"/>
      <c r="F800" s="25"/>
      <c r="G800" s="25"/>
      <c r="H800" s="25"/>
      <c r="I800" s="25"/>
      <c r="J800" s="25"/>
      <c r="K800" s="25"/>
      <c r="L800" s="25"/>
      <c r="M800" s="25"/>
      <c r="N800" s="25"/>
      <c r="O800" s="25"/>
      <c r="P800" s="25"/>
      <c r="Q800" s="25"/>
      <c r="R800" s="25"/>
      <c r="S800" s="25"/>
      <c r="T800" s="25"/>
      <c r="U800" s="25"/>
      <c r="V800" s="25"/>
      <c r="W800" s="25"/>
      <c r="X800" s="68">
        <f t="shared" si="36"/>
        <v>1900</v>
      </c>
      <c r="Y800" s="25">
        <f t="shared" si="37"/>
        <v>1</v>
      </c>
      <c r="Z800" s="68">
        <f t="shared" si="38"/>
        <v>0</v>
      </c>
    </row>
    <row r="801" ht="13.85" spans="1:26">
      <c r="A801" s="25"/>
      <c r="F801" s="25"/>
      <c r="G801" s="25"/>
      <c r="H801" s="25"/>
      <c r="I801" s="25"/>
      <c r="J801" s="25"/>
      <c r="K801" s="25"/>
      <c r="L801" s="25"/>
      <c r="M801" s="25"/>
      <c r="N801" s="25"/>
      <c r="O801" s="25"/>
      <c r="P801" s="25"/>
      <c r="Q801" s="25"/>
      <c r="R801" s="25"/>
      <c r="S801" s="25"/>
      <c r="T801" s="25"/>
      <c r="U801" s="25"/>
      <c r="V801" s="25"/>
      <c r="W801" s="25"/>
      <c r="X801" s="68">
        <f t="shared" si="36"/>
        <v>1900</v>
      </c>
      <c r="Y801" s="25">
        <f t="shared" si="37"/>
        <v>1</v>
      </c>
      <c r="Z801" s="68">
        <f t="shared" si="38"/>
        <v>0</v>
      </c>
    </row>
    <row r="802" ht="13.85" spans="1:26">
      <c r="A802" s="25"/>
      <c r="F802" s="25"/>
      <c r="G802" s="25"/>
      <c r="H802" s="25"/>
      <c r="I802" s="25"/>
      <c r="J802" s="25"/>
      <c r="K802" s="25"/>
      <c r="L802" s="25"/>
      <c r="M802" s="25"/>
      <c r="N802" s="25"/>
      <c r="O802" s="25"/>
      <c r="P802" s="25"/>
      <c r="Q802" s="25"/>
      <c r="R802" s="25"/>
      <c r="S802" s="25"/>
      <c r="T802" s="25"/>
      <c r="U802" s="25"/>
      <c r="V802" s="25"/>
      <c r="W802" s="25"/>
      <c r="X802" s="68">
        <f t="shared" si="36"/>
        <v>1900</v>
      </c>
      <c r="Y802" s="25">
        <f t="shared" si="37"/>
        <v>1</v>
      </c>
      <c r="Z802" s="68">
        <f t="shared" si="38"/>
        <v>0</v>
      </c>
    </row>
    <row r="803" ht="13.85" spans="1:26">
      <c r="A803" s="25"/>
      <c r="F803" s="25"/>
      <c r="G803" s="25"/>
      <c r="H803" s="25"/>
      <c r="I803" s="25"/>
      <c r="J803" s="25"/>
      <c r="K803" s="25"/>
      <c r="L803" s="25"/>
      <c r="M803" s="25"/>
      <c r="N803" s="25"/>
      <c r="O803" s="25"/>
      <c r="P803" s="25"/>
      <c r="Q803" s="25"/>
      <c r="R803" s="25"/>
      <c r="S803" s="25"/>
      <c r="T803" s="25"/>
      <c r="U803" s="25"/>
      <c r="V803" s="25"/>
      <c r="W803" s="25"/>
      <c r="X803" s="68">
        <f t="shared" si="36"/>
        <v>1900</v>
      </c>
      <c r="Y803" s="25">
        <f t="shared" si="37"/>
        <v>1</v>
      </c>
      <c r="Z803" s="68">
        <f t="shared" si="38"/>
        <v>0</v>
      </c>
    </row>
    <row r="804" ht="13.85" spans="1:26">
      <c r="A804" s="25"/>
      <c r="F804" s="25"/>
      <c r="G804" s="25"/>
      <c r="H804" s="25"/>
      <c r="I804" s="25"/>
      <c r="J804" s="25"/>
      <c r="K804" s="25"/>
      <c r="L804" s="25"/>
      <c r="M804" s="25"/>
      <c r="N804" s="25"/>
      <c r="O804" s="25"/>
      <c r="P804" s="25"/>
      <c r="Q804" s="25"/>
      <c r="R804" s="25"/>
      <c r="S804" s="25"/>
      <c r="T804" s="25"/>
      <c r="U804" s="25"/>
      <c r="V804" s="25"/>
      <c r="W804" s="25"/>
      <c r="X804" s="68">
        <f t="shared" si="36"/>
        <v>1900</v>
      </c>
      <c r="Y804" s="25">
        <f t="shared" si="37"/>
        <v>1</v>
      </c>
      <c r="Z804" s="68">
        <f t="shared" si="38"/>
        <v>0</v>
      </c>
    </row>
    <row r="805" ht="13.85" spans="1:26">
      <c r="A805" s="25"/>
      <c r="F805" s="25"/>
      <c r="G805" s="25"/>
      <c r="H805" s="25"/>
      <c r="I805" s="25"/>
      <c r="J805" s="25"/>
      <c r="K805" s="25"/>
      <c r="L805" s="25"/>
      <c r="M805" s="25"/>
      <c r="N805" s="25"/>
      <c r="O805" s="25"/>
      <c r="P805" s="25"/>
      <c r="Q805" s="25"/>
      <c r="R805" s="25"/>
      <c r="S805" s="25"/>
      <c r="T805" s="25"/>
      <c r="U805" s="25"/>
      <c r="V805" s="25"/>
      <c r="W805" s="25"/>
      <c r="X805" s="68">
        <f t="shared" si="36"/>
        <v>1900</v>
      </c>
      <c r="Y805" s="25">
        <f t="shared" si="37"/>
        <v>1</v>
      </c>
      <c r="Z805" s="68">
        <f t="shared" si="38"/>
        <v>0</v>
      </c>
    </row>
    <row r="806" ht="13.85" spans="1:26">
      <c r="A806" s="25"/>
      <c r="F806" s="25"/>
      <c r="G806" s="25"/>
      <c r="H806" s="25"/>
      <c r="I806" s="25"/>
      <c r="J806" s="25"/>
      <c r="K806" s="25"/>
      <c r="L806" s="25"/>
      <c r="M806" s="25"/>
      <c r="N806" s="25"/>
      <c r="O806" s="25"/>
      <c r="P806" s="25"/>
      <c r="Q806" s="25"/>
      <c r="R806" s="25"/>
      <c r="S806" s="25"/>
      <c r="T806" s="25"/>
      <c r="U806" s="25"/>
      <c r="V806" s="25"/>
      <c r="W806" s="25"/>
      <c r="X806" s="68">
        <f t="shared" si="36"/>
        <v>1900</v>
      </c>
      <c r="Y806" s="25">
        <f t="shared" si="37"/>
        <v>1</v>
      </c>
      <c r="Z806" s="68">
        <f t="shared" si="38"/>
        <v>0</v>
      </c>
    </row>
    <row r="807" ht="13.85" spans="1:26">
      <c r="A807" s="25"/>
      <c r="F807" s="25"/>
      <c r="G807" s="25"/>
      <c r="H807" s="25"/>
      <c r="I807" s="25"/>
      <c r="J807" s="25"/>
      <c r="K807" s="25"/>
      <c r="L807" s="25"/>
      <c r="M807" s="25"/>
      <c r="N807" s="25"/>
      <c r="O807" s="25"/>
      <c r="P807" s="25"/>
      <c r="Q807" s="25"/>
      <c r="R807" s="25"/>
      <c r="S807" s="25"/>
      <c r="T807" s="25"/>
      <c r="U807" s="25"/>
      <c r="V807" s="25"/>
      <c r="W807" s="25"/>
      <c r="X807" s="68">
        <f t="shared" si="36"/>
        <v>1900</v>
      </c>
      <c r="Y807" s="25">
        <f t="shared" si="37"/>
        <v>1</v>
      </c>
      <c r="Z807" s="68">
        <f t="shared" si="38"/>
        <v>0</v>
      </c>
    </row>
    <row r="808" ht="13.85" spans="1:26">
      <c r="A808" s="25"/>
      <c r="F808" s="25"/>
      <c r="G808" s="25"/>
      <c r="H808" s="25"/>
      <c r="I808" s="25"/>
      <c r="J808" s="25"/>
      <c r="K808" s="25"/>
      <c r="L808" s="25"/>
      <c r="M808" s="25"/>
      <c r="N808" s="25"/>
      <c r="O808" s="25"/>
      <c r="P808" s="25"/>
      <c r="Q808" s="25"/>
      <c r="R808" s="25"/>
      <c r="S808" s="25"/>
      <c r="T808" s="25"/>
      <c r="U808" s="25"/>
      <c r="V808" s="25"/>
      <c r="W808" s="25"/>
      <c r="X808" s="68">
        <f t="shared" si="36"/>
        <v>1900</v>
      </c>
      <c r="Y808" s="25">
        <f t="shared" si="37"/>
        <v>1</v>
      </c>
      <c r="Z808" s="68">
        <f t="shared" si="38"/>
        <v>0</v>
      </c>
    </row>
    <row r="809" ht="13.85" spans="1:26">
      <c r="A809" s="25"/>
      <c r="F809" s="25"/>
      <c r="G809" s="25"/>
      <c r="H809" s="25"/>
      <c r="I809" s="25"/>
      <c r="J809" s="25"/>
      <c r="K809" s="25"/>
      <c r="L809" s="25"/>
      <c r="M809" s="25"/>
      <c r="N809" s="25"/>
      <c r="O809" s="25"/>
      <c r="P809" s="25"/>
      <c r="Q809" s="25"/>
      <c r="R809" s="25"/>
      <c r="S809" s="25"/>
      <c r="T809" s="25"/>
      <c r="U809" s="25"/>
      <c r="V809" s="25"/>
      <c r="W809" s="25"/>
      <c r="X809" s="68">
        <f t="shared" si="36"/>
        <v>1900</v>
      </c>
      <c r="Y809" s="25">
        <f t="shared" si="37"/>
        <v>1</v>
      </c>
      <c r="Z809" s="68">
        <f t="shared" si="38"/>
        <v>0</v>
      </c>
    </row>
    <row r="810" ht="13.85" spans="1:26">
      <c r="A810" s="25"/>
      <c r="F810" s="25"/>
      <c r="G810" s="25"/>
      <c r="H810" s="25"/>
      <c r="I810" s="25"/>
      <c r="J810" s="25"/>
      <c r="K810" s="25"/>
      <c r="L810" s="25"/>
      <c r="M810" s="25"/>
      <c r="N810" s="25"/>
      <c r="O810" s="25"/>
      <c r="P810" s="25"/>
      <c r="Q810" s="25"/>
      <c r="R810" s="25"/>
      <c r="S810" s="25"/>
      <c r="T810" s="25"/>
      <c r="U810" s="25"/>
      <c r="V810" s="25"/>
      <c r="W810" s="25"/>
      <c r="X810" s="68">
        <f t="shared" si="36"/>
        <v>1900</v>
      </c>
      <c r="Y810" s="25">
        <f t="shared" si="37"/>
        <v>1</v>
      </c>
      <c r="Z810" s="68">
        <f t="shared" si="38"/>
        <v>0</v>
      </c>
    </row>
    <row r="811" ht="13.85" spans="1:26">
      <c r="A811" s="25"/>
      <c r="F811" s="25"/>
      <c r="G811" s="25"/>
      <c r="H811" s="25"/>
      <c r="I811" s="25"/>
      <c r="J811" s="25"/>
      <c r="K811" s="25"/>
      <c r="L811" s="25"/>
      <c r="M811" s="25"/>
      <c r="N811" s="25"/>
      <c r="O811" s="25"/>
      <c r="P811" s="25"/>
      <c r="Q811" s="25"/>
      <c r="R811" s="25"/>
      <c r="S811" s="25"/>
      <c r="T811" s="25"/>
      <c r="U811" s="25"/>
      <c r="V811" s="25"/>
      <c r="W811" s="25"/>
      <c r="X811" s="68">
        <f t="shared" si="36"/>
        <v>1900</v>
      </c>
      <c r="Y811" s="25">
        <f t="shared" si="37"/>
        <v>1</v>
      </c>
      <c r="Z811" s="68">
        <f t="shared" si="38"/>
        <v>0</v>
      </c>
    </row>
    <row r="812" ht="13.85" spans="1:26">
      <c r="A812" s="25"/>
      <c r="F812" s="25"/>
      <c r="G812" s="25"/>
      <c r="H812" s="25"/>
      <c r="I812" s="25"/>
      <c r="J812" s="25"/>
      <c r="K812" s="25"/>
      <c r="L812" s="25"/>
      <c r="M812" s="25"/>
      <c r="N812" s="25"/>
      <c r="O812" s="25"/>
      <c r="P812" s="25"/>
      <c r="Q812" s="25"/>
      <c r="R812" s="25"/>
      <c r="S812" s="25"/>
      <c r="T812" s="25"/>
      <c r="U812" s="25"/>
      <c r="V812" s="25"/>
      <c r="W812" s="25"/>
      <c r="X812" s="68">
        <f t="shared" si="36"/>
        <v>1900</v>
      </c>
      <c r="Y812" s="25">
        <f t="shared" si="37"/>
        <v>1</v>
      </c>
      <c r="Z812" s="68">
        <f t="shared" si="38"/>
        <v>0</v>
      </c>
    </row>
    <row r="813" ht="13.85" spans="1:26">
      <c r="A813" s="25"/>
      <c r="F813" s="25"/>
      <c r="G813" s="25"/>
      <c r="H813" s="25"/>
      <c r="I813" s="25"/>
      <c r="J813" s="25"/>
      <c r="K813" s="25"/>
      <c r="L813" s="25"/>
      <c r="M813" s="25"/>
      <c r="N813" s="25"/>
      <c r="O813" s="25"/>
      <c r="P813" s="25"/>
      <c r="Q813" s="25"/>
      <c r="R813" s="25"/>
      <c r="S813" s="25"/>
      <c r="T813" s="25"/>
      <c r="U813" s="25"/>
      <c r="V813" s="25"/>
      <c r="W813" s="25"/>
      <c r="X813" s="68">
        <f t="shared" si="36"/>
        <v>1900</v>
      </c>
      <c r="Y813" s="25">
        <f t="shared" si="37"/>
        <v>1</v>
      </c>
      <c r="Z813" s="68">
        <f t="shared" si="38"/>
        <v>0</v>
      </c>
    </row>
    <row r="814" ht="13.85" spans="1:26">
      <c r="A814" s="25"/>
      <c r="F814" s="25"/>
      <c r="G814" s="25"/>
      <c r="H814" s="25"/>
      <c r="I814" s="25"/>
      <c r="J814" s="25"/>
      <c r="K814" s="25"/>
      <c r="L814" s="25"/>
      <c r="M814" s="25"/>
      <c r="N814" s="25"/>
      <c r="O814" s="25"/>
      <c r="P814" s="25"/>
      <c r="Q814" s="25"/>
      <c r="R814" s="25"/>
      <c r="S814" s="25"/>
      <c r="T814" s="25"/>
      <c r="U814" s="25"/>
      <c r="V814" s="25"/>
      <c r="W814" s="25"/>
      <c r="X814" s="68">
        <f t="shared" si="36"/>
        <v>1900</v>
      </c>
      <c r="Y814" s="25">
        <f t="shared" si="37"/>
        <v>1</v>
      </c>
      <c r="Z814" s="68">
        <f t="shared" si="38"/>
        <v>0</v>
      </c>
    </row>
    <row r="815" ht="13.85" spans="1:26">
      <c r="A815" s="25"/>
      <c r="F815" s="25"/>
      <c r="G815" s="25"/>
      <c r="H815" s="25"/>
      <c r="I815" s="25"/>
      <c r="J815" s="25"/>
      <c r="K815" s="25"/>
      <c r="L815" s="25"/>
      <c r="M815" s="25"/>
      <c r="N815" s="25"/>
      <c r="O815" s="25"/>
      <c r="P815" s="25"/>
      <c r="Q815" s="25"/>
      <c r="R815" s="25"/>
      <c r="S815" s="25"/>
      <c r="T815" s="25"/>
      <c r="U815" s="25"/>
      <c r="V815" s="25"/>
      <c r="W815" s="25"/>
      <c r="X815" s="68">
        <f t="shared" si="36"/>
        <v>1900</v>
      </c>
      <c r="Y815" s="25">
        <f t="shared" si="37"/>
        <v>1</v>
      </c>
      <c r="Z815" s="68">
        <f t="shared" si="38"/>
        <v>0</v>
      </c>
    </row>
    <row r="816" ht="13.85" spans="1:26">
      <c r="A816" s="25"/>
      <c r="F816" s="25"/>
      <c r="G816" s="25"/>
      <c r="H816" s="25"/>
      <c r="I816" s="25"/>
      <c r="J816" s="25"/>
      <c r="K816" s="25"/>
      <c r="L816" s="25"/>
      <c r="M816" s="25"/>
      <c r="N816" s="25"/>
      <c r="O816" s="25"/>
      <c r="P816" s="25"/>
      <c r="Q816" s="25"/>
      <c r="R816" s="25"/>
      <c r="S816" s="25"/>
      <c r="T816" s="25"/>
      <c r="U816" s="25"/>
      <c r="V816" s="25"/>
      <c r="W816" s="25"/>
      <c r="X816" s="68">
        <f t="shared" si="36"/>
        <v>1900</v>
      </c>
      <c r="Y816" s="25">
        <f t="shared" si="37"/>
        <v>1</v>
      </c>
      <c r="Z816" s="68">
        <f t="shared" si="38"/>
        <v>0</v>
      </c>
    </row>
    <row r="817" ht="13.85" spans="1:26">
      <c r="A817" s="25"/>
      <c r="F817" s="25"/>
      <c r="G817" s="25"/>
      <c r="H817" s="25"/>
      <c r="I817" s="25"/>
      <c r="J817" s="25"/>
      <c r="K817" s="25"/>
      <c r="L817" s="25"/>
      <c r="M817" s="25"/>
      <c r="N817" s="25"/>
      <c r="O817" s="25"/>
      <c r="P817" s="25"/>
      <c r="Q817" s="25"/>
      <c r="R817" s="25"/>
      <c r="S817" s="25"/>
      <c r="T817" s="25"/>
      <c r="U817" s="25"/>
      <c r="V817" s="25"/>
      <c r="W817" s="25"/>
      <c r="X817" s="68">
        <f t="shared" si="36"/>
        <v>1900</v>
      </c>
      <c r="Y817" s="25">
        <f t="shared" si="37"/>
        <v>1</v>
      </c>
      <c r="Z817" s="68">
        <f t="shared" si="38"/>
        <v>0</v>
      </c>
    </row>
    <row r="818" ht="13.85" spans="1:26">
      <c r="A818" s="25"/>
      <c r="F818" s="25"/>
      <c r="G818" s="25"/>
      <c r="H818" s="25"/>
      <c r="I818" s="25"/>
      <c r="J818" s="25"/>
      <c r="K818" s="25"/>
      <c r="L818" s="25"/>
      <c r="M818" s="25"/>
      <c r="N818" s="25"/>
      <c r="O818" s="25"/>
      <c r="P818" s="25"/>
      <c r="Q818" s="25"/>
      <c r="R818" s="25"/>
      <c r="S818" s="25"/>
      <c r="T818" s="25"/>
      <c r="U818" s="25"/>
      <c r="V818" s="25"/>
      <c r="W818" s="25"/>
      <c r="X818" s="68">
        <f t="shared" si="36"/>
        <v>1900</v>
      </c>
      <c r="Y818" s="25">
        <f t="shared" si="37"/>
        <v>1</v>
      </c>
      <c r="Z818" s="68">
        <f t="shared" si="38"/>
        <v>0</v>
      </c>
    </row>
    <row r="819" ht="13.85" spans="1:26">
      <c r="A819" s="25"/>
      <c r="F819" s="25"/>
      <c r="G819" s="25"/>
      <c r="H819" s="25"/>
      <c r="I819" s="25"/>
      <c r="J819" s="25"/>
      <c r="K819" s="25"/>
      <c r="L819" s="25"/>
      <c r="M819" s="25"/>
      <c r="N819" s="25"/>
      <c r="O819" s="25"/>
      <c r="P819" s="25"/>
      <c r="Q819" s="25"/>
      <c r="R819" s="25"/>
      <c r="S819" s="25"/>
      <c r="T819" s="25"/>
      <c r="U819" s="25"/>
      <c r="V819" s="25"/>
      <c r="W819" s="25"/>
      <c r="X819" s="68">
        <f t="shared" si="36"/>
        <v>1900</v>
      </c>
      <c r="Y819" s="25">
        <f t="shared" si="37"/>
        <v>1</v>
      </c>
      <c r="Z819" s="68">
        <f t="shared" si="38"/>
        <v>0</v>
      </c>
    </row>
    <row r="820" ht="13.85" spans="1:26">
      <c r="A820" s="25"/>
      <c r="F820" s="25"/>
      <c r="G820" s="25"/>
      <c r="H820" s="25"/>
      <c r="I820" s="25"/>
      <c r="J820" s="25"/>
      <c r="K820" s="25"/>
      <c r="L820" s="25"/>
      <c r="M820" s="25"/>
      <c r="N820" s="25"/>
      <c r="O820" s="25"/>
      <c r="P820" s="25"/>
      <c r="Q820" s="25"/>
      <c r="R820" s="25"/>
      <c r="S820" s="25"/>
      <c r="T820" s="25"/>
      <c r="U820" s="25"/>
      <c r="V820" s="25"/>
      <c r="W820" s="25"/>
      <c r="X820" s="68">
        <f t="shared" si="36"/>
        <v>1900</v>
      </c>
      <c r="Y820" s="25">
        <f t="shared" si="37"/>
        <v>1</v>
      </c>
      <c r="Z820" s="68">
        <f t="shared" si="38"/>
        <v>0</v>
      </c>
    </row>
    <row r="821" ht="13.85" spans="1:26">
      <c r="A821" s="25"/>
      <c r="F821" s="25"/>
      <c r="G821" s="25"/>
      <c r="H821" s="25"/>
      <c r="I821" s="25"/>
      <c r="J821" s="25"/>
      <c r="K821" s="25"/>
      <c r="L821" s="25"/>
      <c r="M821" s="25"/>
      <c r="N821" s="25"/>
      <c r="O821" s="25"/>
      <c r="P821" s="25"/>
      <c r="Q821" s="25"/>
      <c r="R821" s="25"/>
      <c r="S821" s="25"/>
      <c r="T821" s="25"/>
      <c r="U821" s="25"/>
      <c r="V821" s="25"/>
      <c r="W821" s="25"/>
      <c r="X821" s="68">
        <f t="shared" si="36"/>
        <v>1900</v>
      </c>
      <c r="Y821" s="25">
        <f t="shared" si="37"/>
        <v>1</v>
      </c>
      <c r="Z821" s="68">
        <f t="shared" si="38"/>
        <v>0</v>
      </c>
    </row>
    <row r="822" ht="13.85" spans="1:26">
      <c r="A822" s="25"/>
      <c r="F822" s="25"/>
      <c r="G822" s="25"/>
      <c r="H822" s="25"/>
      <c r="I822" s="25"/>
      <c r="J822" s="25"/>
      <c r="K822" s="25"/>
      <c r="L822" s="25"/>
      <c r="M822" s="25"/>
      <c r="N822" s="25"/>
      <c r="O822" s="25"/>
      <c r="P822" s="25"/>
      <c r="Q822" s="25"/>
      <c r="R822" s="25"/>
      <c r="S822" s="25"/>
      <c r="T822" s="25"/>
      <c r="U822" s="25"/>
      <c r="V822" s="25"/>
      <c r="W822" s="25"/>
      <c r="X822" s="68">
        <f t="shared" si="36"/>
        <v>1900</v>
      </c>
      <c r="Y822" s="25">
        <f t="shared" si="37"/>
        <v>1</v>
      </c>
      <c r="Z822" s="68">
        <f t="shared" si="38"/>
        <v>0</v>
      </c>
    </row>
    <row r="823" ht="13.85" spans="1:26">
      <c r="A823" s="25"/>
      <c r="F823" s="25"/>
      <c r="G823" s="25"/>
      <c r="H823" s="25"/>
      <c r="I823" s="25"/>
      <c r="J823" s="25"/>
      <c r="K823" s="25"/>
      <c r="L823" s="25"/>
      <c r="M823" s="25"/>
      <c r="N823" s="25"/>
      <c r="O823" s="25"/>
      <c r="P823" s="25"/>
      <c r="Q823" s="25"/>
      <c r="R823" s="25"/>
      <c r="S823" s="25"/>
      <c r="T823" s="25"/>
      <c r="U823" s="25"/>
      <c r="V823" s="25"/>
      <c r="W823" s="25"/>
      <c r="X823" s="68">
        <f t="shared" si="36"/>
        <v>1900</v>
      </c>
      <c r="Y823" s="25">
        <f t="shared" si="37"/>
        <v>1</v>
      </c>
      <c r="Z823" s="68">
        <f t="shared" si="38"/>
        <v>0</v>
      </c>
    </row>
    <row r="824" ht="13.85" spans="1:26">
      <c r="A824" s="25"/>
      <c r="F824" s="25"/>
      <c r="G824" s="25"/>
      <c r="H824" s="25"/>
      <c r="I824" s="25"/>
      <c r="J824" s="25"/>
      <c r="K824" s="25"/>
      <c r="L824" s="25"/>
      <c r="M824" s="25"/>
      <c r="N824" s="25"/>
      <c r="O824" s="25"/>
      <c r="P824" s="25"/>
      <c r="Q824" s="25"/>
      <c r="R824" s="25"/>
      <c r="S824" s="25"/>
      <c r="T824" s="25"/>
      <c r="U824" s="25"/>
      <c r="V824" s="25"/>
      <c r="W824" s="25"/>
      <c r="X824" s="68">
        <f t="shared" si="36"/>
        <v>1900</v>
      </c>
      <c r="Y824" s="25">
        <f t="shared" si="37"/>
        <v>1</v>
      </c>
      <c r="Z824" s="68">
        <f t="shared" si="38"/>
        <v>0</v>
      </c>
    </row>
    <row r="825" ht="13.85" spans="1:26">
      <c r="A825" s="25"/>
      <c r="F825" s="25"/>
      <c r="G825" s="25"/>
      <c r="H825" s="25"/>
      <c r="I825" s="25"/>
      <c r="J825" s="25"/>
      <c r="K825" s="25"/>
      <c r="L825" s="25"/>
      <c r="M825" s="25"/>
      <c r="N825" s="25"/>
      <c r="O825" s="25"/>
      <c r="P825" s="25"/>
      <c r="Q825" s="25"/>
      <c r="R825" s="25"/>
      <c r="S825" s="25"/>
      <c r="T825" s="25"/>
      <c r="U825" s="25"/>
      <c r="V825" s="25"/>
      <c r="W825" s="25"/>
      <c r="X825" s="68">
        <f t="shared" si="36"/>
        <v>1900</v>
      </c>
      <c r="Y825" s="25">
        <f t="shared" si="37"/>
        <v>1</v>
      </c>
      <c r="Z825" s="68">
        <f t="shared" si="38"/>
        <v>0</v>
      </c>
    </row>
    <row r="826" ht="13.85" spans="1:26">
      <c r="A826" s="25"/>
      <c r="F826" s="25"/>
      <c r="G826" s="25"/>
      <c r="H826" s="25"/>
      <c r="I826" s="25"/>
      <c r="J826" s="25"/>
      <c r="K826" s="25"/>
      <c r="L826" s="25"/>
      <c r="M826" s="25"/>
      <c r="N826" s="25"/>
      <c r="O826" s="25"/>
      <c r="P826" s="25"/>
      <c r="Q826" s="25"/>
      <c r="R826" s="25"/>
      <c r="S826" s="25"/>
      <c r="T826" s="25"/>
      <c r="U826" s="25"/>
      <c r="V826" s="25"/>
      <c r="W826" s="25"/>
      <c r="X826" s="68">
        <f t="shared" si="36"/>
        <v>1900</v>
      </c>
      <c r="Y826" s="25">
        <f t="shared" si="37"/>
        <v>1</v>
      </c>
      <c r="Z826" s="68">
        <f t="shared" si="38"/>
        <v>0</v>
      </c>
    </row>
    <row r="827" ht="13.85" spans="1:26">
      <c r="A827" s="25"/>
      <c r="F827" s="25"/>
      <c r="G827" s="25"/>
      <c r="H827" s="25"/>
      <c r="I827" s="25"/>
      <c r="J827" s="25"/>
      <c r="K827" s="25"/>
      <c r="L827" s="25"/>
      <c r="M827" s="25"/>
      <c r="N827" s="25"/>
      <c r="O827" s="25"/>
      <c r="P827" s="25"/>
      <c r="Q827" s="25"/>
      <c r="R827" s="25"/>
      <c r="S827" s="25"/>
      <c r="T827" s="25"/>
      <c r="U827" s="25"/>
      <c r="V827" s="25"/>
      <c r="W827" s="25"/>
      <c r="X827" s="68">
        <f t="shared" si="36"/>
        <v>1900</v>
      </c>
      <c r="Y827" s="25">
        <f t="shared" si="37"/>
        <v>1</v>
      </c>
      <c r="Z827" s="68">
        <f t="shared" si="38"/>
        <v>0</v>
      </c>
    </row>
    <row r="828" ht="13.85" spans="1:26">
      <c r="A828" s="25"/>
      <c r="F828" s="25"/>
      <c r="G828" s="25"/>
      <c r="H828" s="25"/>
      <c r="I828" s="25"/>
      <c r="J828" s="25"/>
      <c r="K828" s="25"/>
      <c r="L828" s="25"/>
      <c r="M828" s="25"/>
      <c r="N828" s="25"/>
      <c r="O828" s="25"/>
      <c r="P828" s="25"/>
      <c r="Q828" s="25"/>
      <c r="R828" s="25"/>
      <c r="S828" s="25"/>
      <c r="T828" s="25"/>
      <c r="U828" s="25"/>
      <c r="V828" s="25"/>
      <c r="W828" s="25"/>
      <c r="X828" s="68">
        <f t="shared" si="36"/>
        <v>1900</v>
      </c>
      <c r="Y828" s="25">
        <f t="shared" si="37"/>
        <v>1</v>
      </c>
      <c r="Z828" s="68">
        <f t="shared" si="38"/>
        <v>0</v>
      </c>
    </row>
    <row r="829" ht="13.85" spans="1:26">
      <c r="A829" s="25"/>
      <c r="F829" s="25"/>
      <c r="G829" s="25"/>
      <c r="H829" s="25"/>
      <c r="I829" s="25"/>
      <c r="J829" s="25"/>
      <c r="K829" s="25"/>
      <c r="L829" s="25"/>
      <c r="M829" s="25"/>
      <c r="N829" s="25"/>
      <c r="O829" s="25"/>
      <c r="P829" s="25"/>
      <c r="Q829" s="25"/>
      <c r="R829" s="25"/>
      <c r="S829" s="25"/>
      <c r="T829" s="25"/>
      <c r="U829" s="25"/>
      <c r="V829" s="25"/>
      <c r="W829" s="25"/>
      <c r="X829" s="68">
        <f t="shared" si="36"/>
        <v>1900</v>
      </c>
      <c r="Y829" s="25">
        <f t="shared" si="37"/>
        <v>1</v>
      </c>
      <c r="Z829" s="68">
        <f t="shared" si="38"/>
        <v>0</v>
      </c>
    </row>
    <row r="830" ht="13.85" spans="1:26">
      <c r="A830" s="25"/>
      <c r="F830" s="25"/>
      <c r="G830" s="25"/>
      <c r="H830" s="25"/>
      <c r="I830" s="25"/>
      <c r="J830" s="25"/>
      <c r="K830" s="25"/>
      <c r="L830" s="25"/>
      <c r="M830" s="25"/>
      <c r="N830" s="25"/>
      <c r="O830" s="25"/>
      <c r="P830" s="25"/>
      <c r="Q830" s="25"/>
      <c r="R830" s="25"/>
      <c r="S830" s="25"/>
      <c r="T830" s="25"/>
      <c r="U830" s="25"/>
      <c r="V830" s="25"/>
      <c r="W830" s="25"/>
      <c r="X830" s="68">
        <f t="shared" si="36"/>
        <v>1900</v>
      </c>
      <c r="Y830" s="25">
        <f t="shared" si="37"/>
        <v>1</v>
      </c>
      <c r="Z830" s="68">
        <f t="shared" si="38"/>
        <v>0</v>
      </c>
    </row>
    <row r="831" ht="13.85" spans="1:26">
      <c r="A831" s="25"/>
      <c r="F831" s="25"/>
      <c r="G831" s="25"/>
      <c r="H831" s="25"/>
      <c r="I831" s="25"/>
      <c r="J831" s="25"/>
      <c r="K831" s="25"/>
      <c r="L831" s="25"/>
      <c r="M831" s="25"/>
      <c r="N831" s="25"/>
      <c r="O831" s="25"/>
      <c r="P831" s="25"/>
      <c r="Q831" s="25"/>
      <c r="R831" s="25"/>
      <c r="S831" s="25"/>
      <c r="T831" s="25"/>
      <c r="U831" s="25"/>
      <c r="V831" s="25"/>
      <c r="W831" s="25"/>
      <c r="X831" s="68">
        <f t="shared" si="36"/>
        <v>1900</v>
      </c>
      <c r="Y831" s="25">
        <f t="shared" si="37"/>
        <v>1</v>
      </c>
      <c r="Z831" s="68">
        <f t="shared" si="38"/>
        <v>0</v>
      </c>
    </row>
    <row r="832" ht="13.85" spans="1:26">
      <c r="A832" s="25"/>
      <c r="F832" s="25"/>
      <c r="G832" s="25"/>
      <c r="H832" s="25"/>
      <c r="I832" s="25"/>
      <c r="J832" s="25"/>
      <c r="K832" s="25"/>
      <c r="L832" s="25"/>
      <c r="M832" s="25"/>
      <c r="N832" s="25"/>
      <c r="O832" s="25"/>
      <c r="P832" s="25"/>
      <c r="Q832" s="25"/>
      <c r="R832" s="25"/>
      <c r="S832" s="25"/>
      <c r="T832" s="25"/>
      <c r="U832" s="25"/>
      <c r="V832" s="25"/>
      <c r="W832" s="25"/>
      <c r="X832" s="68">
        <f t="shared" si="36"/>
        <v>1900</v>
      </c>
      <c r="Y832" s="25">
        <f t="shared" si="37"/>
        <v>1</v>
      </c>
      <c r="Z832" s="68">
        <f t="shared" si="38"/>
        <v>0</v>
      </c>
    </row>
    <row r="833" ht="13.85" spans="1:26">
      <c r="A833" s="25"/>
      <c r="F833" s="25"/>
      <c r="G833" s="25"/>
      <c r="H833" s="25"/>
      <c r="I833" s="25"/>
      <c r="J833" s="25"/>
      <c r="K833" s="25"/>
      <c r="L833" s="25"/>
      <c r="M833" s="25"/>
      <c r="N833" s="25"/>
      <c r="O833" s="25"/>
      <c r="P833" s="25"/>
      <c r="Q833" s="25"/>
      <c r="R833" s="25"/>
      <c r="S833" s="25"/>
      <c r="T833" s="25"/>
      <c r="U833" s="25"/>
      <c r="V833" s="25"/>
      <c r="W833" s="25"/>
      <c r="X833" s="68">
        <f t="shared" si="36"/>
        <v>1900</v>
      </c>
      <c r="Y833" s="25">
        <f t="shared" si="37"/>
        <v>1</v>
      </c>
      <c r="Z833" s="68">
        <f t="shared" si="38"/>
        <v>0</v>
      </c>
    </row>
    <row r="834" ht="13.85" spans="1:26">
      <c r="A834" s="25"/>
      <c r="F834" s="25"/>
      <c r="G834" s="25"/>
      <c r="H834" s="25"/>
      <c r="I834" s="25"/>
      <c r="J834" s="25"/>
      <c r="K834" s="25"/>
      <c r="L834" s="25"/>
      <c r="M834" s="25"/>
      <c r="N834" s="25"/>
      <c r="O834" s="25"/>
      <c r="P834" s="25"/>
      <c r="Q834" s="25"/>
      <c r="R834" s="25"/>
      <c r="S834" s="25"/>
      <c r="T834" s="25"/>
      <c r="U834" s="25"/>
      <c r="V834" s="25"/>
      <c r="W834" s="25"/>
      <c r="X834" s="68">
        <f t="shared" ref="X834:X897" si="39">YEAR(C834)</f>
        <v>1900</v>
      </c>
      <c r="Y834" s="25">
        <f t="shared" ref="Y834:Y897" si="40">MONTH(C834)</f>
        <v>1</v>
      </c>
      <c r="Z834" s="68">
        <f t="shared" ref="Z834:Z897" si="41">DAY(C834)</f>
        <v>0</v>
      </c>
    </row>
    <row r="835" ht="13.85" spans="1:26">
      <c r="A835" s="25"/>
      <c r="F835" s="25"/>
      <c r="G835" s="25"/>
      <c r="H835" s="25"/>
      <c r="I835" s="25"/>
      <c r="J835" s="25"/>
      <c r="K835" s="25"/>
      <c r="L835" s="25"/>
      <c r="M835" s="25"/>
      <c r="N835" s="25"/>
      <c r="O835" s="25"/>
      <c r="P835" s="25"/>
      <c r="Q835" s="25"/>
      <c r="R835" s="25"/>
      <c r="S835" s="25"/>
      <c r="T835" s="25"/>
      <c r="U835" s="25"/>
      <c r="V835" s="25"/>
      <c r="W835" s="25"/>
      <c r="X835" s="68">
        <f t="shared" si="39"/>
        <v>1900</v>
      </c>
      <c r="Y835" s="25">
        <f t="shared" si="40"/>
        <v>1</v>
      </c>
      <c r="Z835" s="68">
        <f t="shared" si="41"/>
        <v>0</v>
      </c>
    </row>
    <row r="836" ht="13.85" spans="1:26">
      <c r="A836" s="25"/>
      <c r="F836" s="25"/>
      <c r="G836" s="25"/>
      <c r="H836" s="25"/>
      <c r="I836" s="25"/>
      <c r="J836" s="25"/>
      <c r="K836" s="25"/>
      <c r="L836" s="25"/>
      <c r="M836" s="25"/>
      <c r="N836" s="25"/>
      <c r="O836" s="25"/>
      <c r="P836" s="25"/>
      <c r="Q836" s="25"/>
      <c r="R836" s="25"/>
      <c r="S836" s="25"/>
      <c r="T836" s="25"/>
      <c r="U836" s="25"/>
      <c r="V836" s="25"/>
      <c r="W836" s="25"/>
      <c r="X836" s="68">
        <f t="shared" si="39"/>
        <v>1900</v>
      </c>
      <c r="Y836" s="25">
        <f t="shared" si="40"/>
        <v>1</v>
      </c>
      <c r="Z836" s="68">
        <f t="shared" si="41"/>
        <v>0</v>
      </c>
    </row>
    <row r="837" ht="13.85" spans="1:26">
      <c r="A837" s="25"/>
      <c r="F837" s="25"/>
      <c r="G837" s="25"/>
      <c r="H837" s="25"/>
      <c r="I837" s="25"/>
      <c r="J837" s="25"/>
      <c r="K837" s="25"/>
      <c r="L837" s="25"/>
      <c r="M837" s="25"/>
      <c r="N837" s="25"/>
      <c r="O837" s="25"/>
      <c r="P837" s="25"/>
      <c r="Q837" s="25"/>
      <c r="R837" s="25"/>
      <c r="S837" s="25"/>
      <c r="T837" s="25"/>
      <c r="U837" s="25"/>
      <c r="V837" s="25"/>
      <c r="W837" s="25"/>
      <c r="X837" s="68">
        <f t="shared" si="39"/>
        <v>1900</v>
      </c>
      <c r="Y837" s="25">
        <f t="shared" si="40"/>
        <v>1</v>
      </c>
      <c r="Z837" s="68">
        <f t="shared" si="41"/>
        <v>0</v>
      </c>
    </row>
    <row r="838" ht="13.85" spans="1:26">
      <c r="A838" s="25"/>
      <c r="F838" s="25"/>
      <c r="G838" s="25"/>
      <c r="H838" s="25"/>
      <c r="I838" s="25"/>
      <c r="J838" s="25"/>
      <c r="K838" s="25"/>
      <c r="L838" s="25"/>
      <c r="M838" s="25"/>
      <c r="N838" s="25"/>
      <c r="O838" s="25"/>
      <c r="P838" s="25"/>
      <c r="Q838" s="25"/>
      <c r="R838" s="25"/>
      <c r="S838" s="25"/>
      <c r="T838" s="25"/>
      <c r="U838" s="25"/>
      <c r="V838" s="25"/>
      <c r="W838" s="25"/>
      <c r="X838" s="68">
        <f t="shared" si="39"/>
        <v>1900</v>
      </c>
      <c r="Y838" s="25">
        <f t="shared" si="40"/>
        <v>1</v>
      </c>
      <c r="Z838" s="68">
        <f t="shared" si="41"/>
        <v>0</v>
      </c>
    </row>
    <row r="839" ht="13.85" spans="1:26">
      <c r="A839" s="25"/>
      <c r="F839" s="25"/>
      <c r="G839" s="25"/>
      <c r="H839" s="25"/>
      <c r="I839" s="25"/>
      <c r="J839" s="25"/>
      <c r="K839" s="25"/>
      <c r="L839" s="25"/>
      <c r="M839" s="25"/>
      <c r="N839" s="25"/>
      <c r="O839" s="25"/>
      <c r="P839" s="25"/>
      <c r="Q839" s="25"/>
      <c r="R839" s="25"/>
      <c r="S839" s="25"/>
      <c r="T839" s="25"/>
      <c r="U839" s="25"/>
      <c r="V839" s="25"/>
      <c r="W839" s="25"/>
      <c r="X839" s="68">
        <f t="shared" si="39"/>
        <v>1900</v>
      </c>
      <c r="Y839" s="25">
        <f t="shared" si="40"/>
        <v>1</v>
      </c>
      <c r="Z839" s="68">
        <f t="shared" si="41"/>
        <v>0</v>
      </c>
    </row>
    <row r="840" ht="13.85" spans="1:26">
      <c r="A840" s="25"/>
      <c r="F840" s="25"/>
      <c r="G840" s="25"/>
      <c r="H840" s="25"/>
      <c r="I840" s="25"/>
      <c r="J840" s="25"/>
      <c r="K840" s="25"/>
      <c r="L840" s="25"/>
      <c r="M840" s="25"/>
      <c r="N840" s="25"/>
      <c r="O840" s="25"/>
      <c r="P840" s="25"/>
      <c r="Q840" s="25"/>
      <c r="R840" s="25"/>
      <c r="S840" s="25"/>
      <c r="T840" s="25"/>
      <c r="U840" s="25"/>
      <c r="V840" s="25"/>
      <c r="W840" s="25"/>
      <c r="X840" s="68">
        <f t="shared" si="39"/>
        <v>1900</v>
      </c>
      <c r="Y840" s="25">
        <f t="shared" si="40"/>
        <v>1</v>
      </c>
      <c r="Z840" s="68">
        <f t="shared" si="41"/>
        <v>0</v>
      </c>
    </row>
    <row r="841" ht="13.85" spans="1:26">
      <c r="A841" s="25"/>
      <c r="F841" s="25"/>
      <c r="G841" s="25"/>
      <c r="H841" s="25"/>
      <c r="I841" s="25"/>
      <c r="J841" s="25"/>
      <c r="K841" s="25"/>
      <c r="L841" s="25"/>
      <c r="M841" s="25"/>
      <c r="N841" s="25"/>
      <c r="O841" s="25"/>
      <c r="P841" s="25"/>
      <c r="Q841" s="25"/>
      <c r="R841" s="25"/>
      <c r="S841" s="25"/>
      <c r="T841" s="25"/>
      <c r="U841" s="25"/>
      <c r="V841" s="25"/>
      <c r="W841" s="25"/>
      <c r="X841" s="68">
        <f t="shared" si="39"/>
        <v>1900</v>
      </c>
      <c r="Y841" s="25">
        <f t="shared" si="40"/>
        <v>1</v>
      </c>
      <c r="Z841" s="68">
        <f t="shared" si="41"/>
        <v>0</v>
      </c>
    </row>
    <row r="842" ht="13.85" spans="1:26">
      <c r="A842" s="25"/>
      <c r="F842" s="25"/>
      <c r="G842" s="25"/>
      <c r="H842" s="25"/>
      <c r="I842" s="25"/>
      <c r="J842" s="25"/>
      <c r="K842" s="25"/>
      <c r="L842" s="25"/>
      <c r="M842" s="25"/>
      <c r="N842" s="25"/>
      <c r="O842" s="25"/>
      <c r="P842" s="25"/>
      <c r="Q842" s="25"/>
      <c r="R842" s="25"/>
      <c r="S842" s="25"/>
      <c r="T842" s="25"/>
      <c r="U842" s="25"/>
      <c r="V842" s="25"/>
      <c r="W842" s="25"/>
      <c r="X842" s="68">
        <f t="shared" si="39"/>
        <v>1900</v>
      </c>
      <c r="Y842" s="25">
        <f t="shared" si="40"/>
        <v>1</v>
      </c>
      <c r="Z842" s="68">
        <f t="shared" si="41"/>
        <v>0</v>
      </c>
    </row>
    <row r="843" ht="13.85" spans="1:26">
      <c r="A843" s="25"/>
      <c r="F843" s="25"/>
      <c r="G843" s="25"/>
      <c r="H843" s="25"/>
      <c r="I843" s="25"/>
      <c r="J843" s="25"/>
      <c r="K843" s="25"/>
      <c r="L843" s="25"/>
      <c r="M843" s="25"/>
      <c r="N843" s="25"/>
      <c r="O843" s="25"/>
      <c r="P843" s="25"/>
      <c r="Q843" s="25"/>
      <c r="R843" s="25"/>
      <c r="S843" s="25"/>
      <c r="T843" s="25"/>
      <c r="U843" s="25"/>
      <c r="V843" s="25"/>
      <c r="W843" s="25"/>
      <c r="X843" s="68">
        <f t="shared" si="39"/>
        <v>1900</v>
      </c>
      <c r="Y843" s="25">
        <f t="shared" si="40"/>
        <v>1</v>
      </c>
      <c r="Z843" s="68">
        <f t="shared" si="41"/>
        <v>0</v>
      </c>
    </row>
    <row r="844" ht="13.85" spans="1:26">
      <c r="A844" s="25"/>
      <c r="F844" s="25"/>
      <c r="G844" s="25"/>
      <c r="H844" s="25"/>
      <c r="I844" s="25"/>
      <c r="J844" s="25"/>
      <c r="K844" s="25"/>
      <c r="L844" s="25"/>
      <c r="M844" s="25"/>
      <c r="N844" s="25"/>
      <c r="O844" s="25"/>
      <c r="P844" s="25"/>
      <c r="Q844" s="25"/>
      <c r="R844" s="25"/>
      <c r="S844" s="25"/>
      <c r="T844" s="25"/>
      <c r="U844" s="25"/>
      <c r="V844" s="25"/>
      <c r="W844" s="25"/>
      <c r="X844" s="68">
        <f t="shared" si="39"/>
        <v>1900</v>
      </c>
      <c r="Y844" s="25">
        <f t="shared" si="40"/>
        <v>1</v>
      </c>
      <c r="Z844" s="68">
        <f t="shared" si="41"/>
        <v>0</v>
      </c>
    </row>
    <row r="845" ht="13.85" spans="1:26">
      <c r="A845" s="25"/>
      <c r="F845" s="25"/>
      <c r="G845" s="25"/>
      <c r="H845" s="25"/>
      <c r="I845" s="25"/>
      <c r="J845" s="25"/>
      <c r="K845" s="25"/>
      <c r="L845" s="25"/>
      <c r="M845" s="25"/>
      <c r="N845" s="25"/>
      <c r="O845" s="25"/>
      <c r="P845" s="25"/>
      <c r="Q845" s="25"/>
      <c r="R845" s="25"/>
      <c r="S845" s="25"/>
      <c r="T845" s="25"/>
      <c r="U845" s="25"/>
      <c r="V845" s="25"/>
      <c r="W845" s="25"/>
      <c r="X845" s="68">
        <f t="shared" si="39"/>
        <v>1900</v>
      </c>
      <c r="Y845" s="25">
        <f t="shared" si="40"/>
        <v>1</v>
      </c>
      <c r="Z845" s="68">
        <f t="shared" si="41"/>
        <v>0</v>
      </c>
    </row>
    <row r="846" ht="13.85" spans="1:26">
      <c r="A846" s="25"/>
      <c r="F846" s="25"/>
      <c r="G846" s="25"/>
      <c r="H846" s="25"/>
      <c r="I846" s="25"/>
      <c r="J846" s="25"/>
      <c r="K846" s="25"/>
      <c r="L846" s="25"/>
      <c r="M846" s="25"/>
      <c r="N846" s="25"/>
      <c r="O846" s="25"/>
      <c r="P846" s="25"/>
      <c r="Q846" s="25"/>
      <c r="R846" s="25"/>
      <c r="S846" s="25"/>
      <c r="T846" s="25"/>
      <c r="U846" s="25"/>
      <c r="V846" s="25"/>
      <c r="W846" s="25"/>
      <c r="X846" s="68">
        <f t="shared" si="39"/>
        <v>1900</v>
      </c>
      <c r="Y846" s="25">
        <f t="shared" si="40"/>
        <v>1</v>
      </c>
      <c r="Z846" s="68">
        <f t="shared" si="41"/>
        <v>0</v>
      </c>
    </row>
    <row r="847" ht="13.85" spans="1:26">
      <c r="A847" s="25"/>
      <c r="F847" s="25"/>
      <c r="G847" s="25"/>
      <c r="H847" s="25"/>
      <c r="I847" s="25"/>
      <c r="J847" s="25"/>
      <c r="K847" s="25"/>
      <c r="L847" s="25"/>
      <c r="M847" s="25"/>
      <c r="N847" s="25"/>
      <c r="O847" s="25"/>
      <c r="P847" s="25"/>
      <c r="Q847" s="25"/>
      <c r="R847" s="25"/>
      <c r="S847" s="25"/>
      <c r="T847" s="25"/>
      <c r="U847" s="25"/>
      <c r="V847" s="25"/>
      <c r="W847" s="25"/>
      <c r="X847" s="68">
        <f t="shared" si="39"/>
        <v>1900</v>
      </c>
      <c r="Y847" s="25">
        <f t="shared" si="40"/>
        <v>1</v>
      </c>
      <c r="Z847" s="68">
        <f t="shared" si="41"/>
        <v>0</v>
      </c>
    </row>
    <row r="848" ht="13.85" spans="1:26">
      <c r="A848" s="25"/>
      <c r="F848" s="25"/>
      <c r="G848" s="25"/>
      <c r="H848" s="25"/>
      <c r="I848" s="25"/>
      <c r="J848" s="25"/>
      <c r="K848" s="25"/>
      <c r="L848" s="25"/>
      <c r="M848" s="25"/>
      <c r="N848" s="25"/>
      <c r="O848" s="25"/>
      <c r="P848" s="25"/>
      <c r="Q848" s="25"/>
      <c r="R848" s="25"/>
      <c r="S848" s="25"/>
      <c r="T848" s="25"/>
      <c r="U848" s="25"/>
      <c r="V848" s="25"/>
      <c r="W848" s="25"/>
      <c r="X848" s="68">
        <f t="shared" si="39"/>
        <v>1900</v>
      </c>
      <c r="Y848" s="25">
        <f t="shared" si="40"/>
        <v>1</v>
      </c>
      <c r="Z848" s="68">
        <f t="shared" si="41"/>
        <v>0</v>
      </c>
    </row>
    <row r="849" ht="13.85" spans="1:26">
      <c r="A849" s="25"/>
      <c r="F849" s="25"/>
      <c r="G849" s="25"/>
      <c r="H849" s="25"/>
      <c r="I849" s="25"/>
      <c r="J849" s="25"/>
      <c r="K849" s="25"/>
      <c r="L849" s="25"/>
      <c r="M849" s="25"/>
      <c r="N849" s="25"/>
      <c r="O849" s="25"/>
      <c r="P849" s="25"/>
      <c r="Q849" s="25"/>
      <c r="R849" s="25"/>
      <c r="S849" s="25"/>
      <c r="T849" s="25"/>
      <c r="U849" s="25"/>
      <c r="V849" s="25"/>
      <c r="W849" s="25"/>
      <c r="X849" s="68">
        <f t="shared" si="39"/>
        <v>1900</v>
      </c>
      <c r="Y849" s="25">
        <f t="shared" si="40"/>
        <v>1</v>
      </c>
      <c r="Z849" s="68">
        <f t="shared" si="41"/>
        <v>0</v>
      </c>
    </row>
    <row r="850" ht="13.85" spans="1:26">
      <c r="A850" s="25"/>
      <c r="F850" s="25"/>
      <c r="G850" s="25"/>
      <c r="H850" s="25"/>
      <c r="I850" s="25"/>
      <c r="J850" s="25"/>
      <c r="K850" s="25"/>
      <c r="L850" s="25"/>
      <c r="M850" s="25"/>
      <c r="N850" s="25"/>
      <c r="O850" s="25"/>
      <c r="P850" s="25"/>
      <c r="Q850" s="25"/>
      <c r="R850" s="25"/>
      <c r="S850" s="25"/>
      <c r="T850" s="25"/>
      <c r="U850" s="25"/>
      <c r="V850" s="25"/>
      <c r="W850" s="25"/>
      <c r="X850" s="68">
        <f t="shared" si="39"/>
        <v>1900</v>
      </c>
      <c r="Y850" s="25">
        <f t="shared" si="40"/>
        <v>1</v>
      </c>
      <c r="Z850" s="68">
        <f t="shared" si="41"/>
        <v>0</v>
      </c>
    </row>
    <row r="851" ht="13.85" spans="1:26">
      <c r="A851" s="25"/>
      <c r="F851" s="25"/>
      <c r="G851" s="25"/>
      <c r="H851" s="25"/>
      <c r="I851" s="25"/>
      <c r="J851" s="25"/>
      <c r="K851" s="25"/>
      <c r="L851" s="25"/>
      <c r="M851" s="25"/>
      <c r="N851" s="25"/>
      <c r="O851" s="25"/>
      <c r="P851" s="25"/>
      <c r="Q851" s="25"/>
      <c r="R851" s="25"/>
      <c r="S851" s="25"/>
      <c r="T851" s="25"/>
      <c r="U851" s="25"/>
      <c r="V851" s="25"/>
      <c r="W851" s="25"/>
      <c r="X851" s="68">
        <f t="shared" si="39"/>
        <v>1900</v>
      </c>
      <c r="Y851" s="25">
        <f t="shared" si="40"/>
        <v>1</v>
      </c>
      <c r="Z851" s="68">
        <f t="shared" si="41"/>
        <v>0</v>
      </c>
    </row>
    <row r="852" ht="13.85" spans="1:26">
      <c r="A852" s="25"/>
      <c r="F852" s="25"/>
      <c r="G852" s="25"/>
      <c r="H852" s="25"/>
      <c r="I852" s="25"/>
      <c r="J852" s="25"/>
      <c r="K852" s="25"/>
      <c r="L852" s="25"/>
      <c r="M852" s="25"/>
      <c r="N852" s="25"/>
      <c r="O852" s="25"/>
      <c r="P852" s="25"/>
      <c r="Q852" s="25"/>
      <c r="R852" s="25"/>
      <c r="S852" s="25"/>
      <c r="T852" s="25"/>
      <c r="U852" s="25"/>
      <c r="V852" s="25"/>
      <c r="W852" s="25"/>
      <c r="X852" s="68">
        <f t="shared" si="39"/>
        <v>1900</v>
      </c>
      <c r="Y852" s="25">
        <f t="shared" si="40"/>
        <v>1</v>
      </c>
      <c r="Z852" s="68">
        <f t="shared" si="41"/>
        <v>0</v>
      </c>
    </row>
    <row r="853" ht="13.85" spans="1:26">
      <c r="A853" s="25"/>
      <c r="F853" s="25"/>
      <c r="G853" s="25"/>
      <c r="H853" s="25"/>
      <c r="I853" s="25"/>
      <c r="J853" s="25"/>
      <c r="K853" s="25"/>
      <c r="L853" s="25"/>
      <c r="M853" s="25"/>
      <c r="N853" s="25"/>
      <c r="O853" s="25"/>
      <c r="P853" s="25"/>
      <c r="Q853" s="25"/>
      <c r="R853" s="25"/>
      <c r="S853" s="25"/>
      <c r="T853" s="25"/>
      <c r="U853" s="25"/>
      <c r="V853" s="25"/>
      <c r="W853" s="25"/>
      <c r="X853" s="68">
        <f t="shared" si="39"/>
        <v>1900</v>
      </c>
      <c r="Y853" s="25">
        <f t="shared" si="40"/>
        <v>1</v>
      </c>
      <c r="Z853" s="68">
        <f t="shared" si="41"/>
        <v>0</v>
      </c>
    </row>
    <row r="854" ht="13.85" spans="1:26">
      <c r="A854" s="25"/>
      <c r="F854" s="25"/>
      <c r="G854" s="25"/>
      <c r="H854" s="25"/>
      <c r="I854" s="25"/>
      <c r="J854" s="25"/>
      <c r="K854" s="25"/>
      <c r="L854" s="25"/>
      <c r="M854" s="25"/>
      <c r="N854" s="25"/>
      <c r="O854" s="25"/>
      <c r="P854" s="25"/>
      <c r="Q854" s="25"/>
      <c r="R854" s="25"/>
      <c r="S854" s="25"/>
      <c r="T854" s="25"/>
      <c r="U854" s="25"/>
      <c r="V854" s="25"/>
      <c r="W854" s="25"/>
      <c r="X854" s="68">
        <f t="shared" si="39"/>
        <v>1900</v>
      </c>
      <c r="Y854" s="25">
        <f t="shared" si="40"/>
        <v>1</v>
      </c>
      <c r="Z854" s="68">
        <f t="shared" si="41"/>
        <v>0</v>
      </c>
    </row>
    <row r="855" ht="13.85" spans="1:26">
      <c r="A855" s="25"/>
      <c r="F855" s="25"/>
      <c r="G855" s="25"/>
      <c r="H855" s="25"/>
      <c r="I855" s="25"/>
      <c r="J855" s="25"/>
      <c r="K855" s="25"/>
      <c r="L855" s="25"/>
      <c r="M855" s="25"/>
      <c r="N855" s="25"/>
      <c r="O855" s="25"/>
      <c r="P855" s="25"/>
      <c r="Q855" s="25"/>
      <c r="R855" s="25"/>
      <c r="S855" s="25"/>
      <c r="T855" s="25"/>
      <c r="U855" s="25"/>
      <c r="V855" s="25"/>
      <c r="W855" s="25"/>
      <c r="X855" s="68">
        <f t="shared" si="39"/>
        <v>1900</v>
      </c>
      <c r="Y855" s="25">
        <f t="shared" si="40"/>
        <v>1</v>
      </c>
      <c r="Z855" s="68">
        <f t="shared" si="41"/>
        <v>0</v>
      </c>
    </row>
    <row r="856" ht="13.85" spans="1:26">
      <c r="A856" s="25"/>
      <c r="F856" s="25"/>
      <c r="G856" s="25"/>
      <c r="H856" s="25"/>
      <c r="I856" s="25"/>
      <c r="J856" s="25"/>
      <c r="K856" s="25"/>
      <c r="L856" s="25"/>
      <c r="M856" s="25"/>
      <c r="N856" s="25"/>
      <c r="O856" s="25"/>
      <c r="P856" s="25"/>
      <c r="Q856" s="25"/>
      <c r="R856" s="25"/>
      <c r="S856" s="25"/>
      <c r="T856" s="25"/>
      <c r="U856" s="25"/>
      <c r="V856" s="25"/>
      <c r="W856" s="25"/>
      <c r="X856" s="68">
        <f t="shared" si="39"/>
        <v>1900</v>
      </c>
      <c r="Y856" s="25">
        <f t="shared" si="40"/>
        <v>1</v>
      </c>
      <c r="Z856" s="68">
        <f t="shared" si="41"/>
        <v>0</v>
      </c>
    </row>
    <row r="857" ht="13.85" spans="1:26">
      <c r="A857" s="25"/>
      <c r="F857" s="25"/>
      <c r="G857" s="25"/>
      <c r="H857" s="25"/>
      <c r="I857" s="25"/>
      <c r="J857" s="25"/>
      <c r="K857" s="25"/>
      <c r="L857" s="25"/>
      <c r="M857" s="25"/>
      <c r="N857" s="25"/>
      <c r="O857" s="25"/>
      <c r="P857" s="25"/>
      <c r="Q857" s="25"/>
      <c r="R857" s="25"/>
      <c r="S857" s="25"/>
      <c r="T857" s="25"/>
      <c r="U857" s="25"/>
      <c r="V857" s="25"/>
      <c r="W857" s="25"/>
      <c r="X857" s="68">
        <f t="shared" si="39"/>
        <v>1900</v>
      </c>
      <c r="Y857" s="25">
        <f t="shared" si="40"/>
        <v>1</v>
      </c>
      <c r="Z857" s="68">
        <f t="shared" si="41"/>
        <v>0</v>
      </c>
    </row>
    <row r="858" ht="13.85" spans="1:26">
      <c r="A858" s="25"/>
      <c r="F858" s="25"/>
      <c r="G858" s="25"/>
      <c r="H858" s="25"/>
      <c r="I858" s="25"/>
      <c r="J858" s="25"/>
      <c r="K858" s="25"/>
      <c r="L858" s="25"/>
      <c r="M858" s="25"/>
      <c r="N858" s="25"/>
      <c r="O858" s="25"/>
      <c r="P858" s="25"/>
      <c r="Q858" s="25"/>
      <c r="R858" s="25"/>
      <c r="S858" s="25"/>
      <c r="T858" s="25"/>
      <c r="U858" s="25"/>
      <c r="V858" s="25"/>
      <c r="W858" s="25"/>
      <c r="X858" s="68">
        <f t="shared" si="39"/>
        <v>1900</v>
      </c>
      <c r="Y858" s="25">
        <f t="shared" si="40"/>
        <v>1</v>
      </c>
      <c r="Z858" s="68">
        <f t="shared" si="41"/>
        <v>0</v>
      </c>
    </row>
    <row r="859" ht="13.85" spans="1:26">
      <c r="A859" s="25"/>
      <c r="F859" s="25"/>
      <c r="G859" s="25"/>
      <c r="H859" s="25"/>
      <c r="I859" s="25"/>
      <c r="J859" s="25"/>
      <c r="K859" s="25"/>
      <c r="L859" s="25"/>
      <c r="M859" s="25"/>
      <c r="N859" s="25"/>
      <c r="O859" s="25"/>
      <c r="P859" s="25"/>
      <c r="Q859" s="25"/>
      <c r="R859" s="25"/>
      <c r="S859" s="25"/>
      <c r="T859" s="25"/>
      <c r="U859" s="25"/>
      <c r="V859" s="25"/>
      <c r="W859" s="25"/>
      <c r="X859" s="68">
        <f t="shared" si="39"/>
        <v>1900</v>
      </c>
      <c r="Y859" s="25">
        <f t="shared" si="40"/>
        <v>1</v>
      </c>
      <c r="Z859" s="68">
        <f t="shared" si="41"/>
        <v>0</v>
      </c>
    </row>
    <row r="860" ht="13.85" spans="1:26">
      <c r="A860" s="25"/>
      <c r="F860" s="25"/>
      <c r="G860" s="25"/>
      <c r="H860" s="25"/>
      <c r="I860" s="25"/>
      <c r="J860" s="25"/>
      <c r="K860" s="25"/>
      <c r="L860" s="25"/>
      <c r="M860" s="25"/>
      <c r="N860" s="25"/>
      <c r="O860" s="25"/>
      <c r="P860" s="25"/>
      <c r="Q860" s="25"/>
      <c r="R860" s="25"/>
      <c r="S860" s="25"/>
      <c r="T860" s="25"/>
      <c r="U860" s="25"/>
      <c r="V860" s="25"/>
      <c r="W860" s="25"/>
      <c r="X860" s="68">
        <f t="shared" si="39"/>
        <v>1900</v>
      </c>
      <c r="Y860" s="25">
        <f t="shared" si="40"/>
        <v>1</v>
      </c>
      <c r="Z860" s="68">
        <f t="shared" si="41"/>
        <v>0</v>
      </c>
    </row>
    <row r="861" ht="13.85" spans="1:26">
      <c r="A861" s="25"/>
      <c r="F861" s="25"/>
      <c r="G861" s="25"/>
      <c r="H861" s="25"/>
      <c r="I861" s="25"/>
      <c r="J861" s="25"/>
      <c r="K861" s="25"/>
      <c r="L861" s="25"/>
      <c r="M861" s="25"/>
      <c r="N861" s="25"/>
      <c r="O861" s="25"/>
      <c r="P861" s="25"/>
      <c r="Q861" s="25"/>
      <c r="R861" s="25"/>
      <c r="S861" s="25"/>
      <c r="T861" s="25"/>
      <c r="U861" s="25"/>
      <c r="V861" s="25"/>
      <c r="W861" s="25"/>
      <c r="X861" s="68">
        <f t="shared" si="39"/>
        <v>1900</v>
      </c>
      <c r="Y861" s="25">
        <f t="shared" si="40"/>
        <v>1</v>
      </c>
      <c r="Z861" s="68">
        <f t="shared" si="41"/>
        <v>0</v>
      </c>
    </row>
    <row r="862" ht="13.85" spans="1:26">
      <c r="A862" s="25"/>
      <c r="F862" s="25"/>
      <c r="G862" s="25"/>
      <c r="H862" s="25"/>
      <c r="I862" s="25"/>
      <c r="J862" s="25"/>
      <c r="K862" s="25"/>
      <c r="L862" s="25"/>
      <c r="M862" s="25"/>
      <c r="N862" s="25"/>
      <c r="O862" s="25"/>
      <c r="P862" s="25"/>
      <c r="Q862" s="25"/>
      <c r="R862" s="25"/>
      <c r="S862" s="25"/>
      <c r="T862" s="25"/>
      <c r="U862" s="25"/>
      <c r="V862" s="25"/>
      <c r="W862" s="25"/>
      <c r="X862" s="68">
        <f t="shared" si="39"/>
        <v>1900</v>
      </c>
      <c r="Y862" s="25">
        <f t="shared" si="40"/>
        <v>1</v>
      </c>
      <c r="Z862" s="68">
        <f t="shared" si="41"/>
        <v>0</v>
      </c>
    </row>
    <row r="863" ht="13.85" spans="1:26">
      <c r="A863" s="25"/>
      <c r="F863" s="25"/>
      <c r="G863" s="25"/>
      <c r="H863" s="25"/>
      <c r="I863" s="25"/>
      <c r="J863" s="25"/>
      <c r="K863" s="25"/>
      <c r="L863" s="25"/>
      <c r="M863" s="25"/>
      <c r="N863" s="25"/>
      <c r="O863" s="25"/>
      <c r="P863" s="25"/>
      <c r="Q863" s="25"/>
      <c r="R863" s="25"/>
      <c r="S863" s="25"/>
      <c r="T863" s="25"/>
      <c r="U863" s="25"/>
      <c r="V863" s="25"/>
      <c r="W863" s="25"/>
      <c r="X863" s="68">
        <f t="shared" si="39"/>
        <v>1900</v>
      </c>
      <c r="Y863" s="25">
        <f t="shared" si="40"/>
        <v>1</v>
      </c>
      <c r="Z863" s="68">
        <f t="shared" si="41"/>
        <v>0</v>
      </c>
    </row>
    <row r="864" ht="13.85" spans="1:26">
      <c r="A864" s="25"/>
      <c r="F864" s="25"/>
      <c r="G864" s="25"/>
      <c r="H864" s="25"/>
      <c r="I864" s="25"/>
      <c r="J864" s="25"/>
      <c r="K864" s="25"/>
      <c r="L864" s="25"/>
      <c r="M864" s="25"/>
      <c r="N864" s="25"/>
      <c r="O864" s="25"/>
      <c r="P864" s="25"/>
      <c r="Q864" s="25"/>
      <c r="R864" s="25"/>
      <c r="S864" s="25"/>
      <c r="T864" s="25"/>
      <c r="U864" s="25"/>
      <c r="V864" s="25"/>
      <c r="W864" s="25"/>
      <c r="X864" s="68">
        <f t="shared" si="39"/>
        <v>1900</v>
      </c>
      <c r="Y864" s="25">
        <f t="shared" si="40"/>
        <v>1</v>
      </c>
      <c r="Z864" s="68">
        <f t="shared" si="41"/>
        <v>0</v>
      </c>
    </row>
    <row r="865" ht="13.85" spans="1:26">
      <c r="A865" s="25"/>
      <c r="F865" s="25"/>
      <c r="G865" s="25"/>
      <c r="H865" s="25"/>
      <c r="I865" s="25"/>
      <c r="J865" s="25"/>
      <c r="K865" s="25"/>
      <c r="L865" s="25"/>
      <c r="M865" s="25"/>
      <c r="N865" s="25"/>
      <c r="O865" s="25"/>
      <c r="P865" s="25"/>
      <c r="Q865" s="25"/>
      <c r="R865" s="25"/>
      <c r="S865" s="25"/>
      <c r="T865" s="25"/>
      <c r="U865" s="25"/>
      <c r="V865" s="25"/>
      <c r="W865" s="25"/>
      <c r="X865" s="68">
        <f t="shared" si="39"/>
        <v>1900</v>
      </c>
      <c r="Y865" s="25">
        <f t="shared" si="40"/>
        <v>1</v>
      </c>
      <c r="Z865" s="68">
        <f t="shared" si="41"/>
        <v>0</v>
      </c>
    </row>
    <row r="866" ht="13.85" spans="1:26">
      <c r="A866" s="25"/>
      <c r="F866" s="25"/>
      <c r="G866" s="25"/>
      <c r="H866" s="25"/>
      <c r="I866" s="25"/>
      <c r="J866" s="25"/>
      <c r="K866" s="25"/>
      <c r="L866" s="25"/>
      <c r="M866" s="25"/>
      <c r="N866" s="25"/>
      <c r="O866" s="25"/>
      <c r="P866" s="25"/>
      <c r="Q866" s="25"/>
      <c r="R866" s="25"/>
      <c r="S866" s="25"/>
      <c r="T866" s="25"/>
      <c r="U866" s="25"/>
      <c r="V866" s="25"/>
      <c r="W866" s="25"/>
      <c r="X866" s="68">
        <f t="shared" si="39"/>
        <v>1900</v>
      </c>
      <c r="Y866" s="25">
        <f t="shared" si="40"/>
        <v>1</v>
      </c>
      <c r="Z866" s="68">
        <f t="shared" si="41"/>
        <v>0</v>
      </c>
    </row>
    <row r="867" ht="13.85" spans="1:26">
      <c r="A867" s="25"/>
      <c r="F867" s="25"/>
      <c r="G867" s="25"/>
      <c r="H867" s="25"/>
      <c r="I867" s="25"/>
      <c r="J867" s="25"/>
      <c r="K867" s="25"/>
      <c r="L867" s="25"/>
      <c r="M867" s="25"/>
      <c r="N867" s="25"/>
      <c r="O867" s="25"/>
      <c r="P867" s="25"/>
      <c r="Q867" s="25"/>
      <c r="R867" s="25"/>
      <c r="S867" s="25"/>
      <c r="T867" s="25"/>
      <c r="U867" s="25"/>
      <c r="V867" s="25"/>
      <c r="W867" s="25"/>
      <c r="X867" s="68">
        <f t="shared" si="39"/>
        <v>1900</v>
      </c>
      <c r="Y867" s="25">
        <f t="shared" si="40"/>
        <v>1</v>
      </c>
      <c r="Z867" s="68">
        <f t="shared" si="41"/>
        <v>0</v>
      </c>
    </row>
    <row r="868" ht="13.85" spans="1:26">
      <c r="A868" s="25"/>
      <c r="F868" s="25"/>
      <c r="G868" s="25"/>
      <c r="H868" s="25"/>
      <c r="I868" s="25"/>
      <c r="J868" s="25"/>
      <c r="K868" s="25"/>
      <c r="L868" s="25"/>
      <c r="M868" s="25"/>
      <c r="N868" s="25"/>
      <c r="O868" s="25"/>
      <c r="P868" s="25"/>
      <c r="Q868" s="25"/>
      <c r="R868" s="25"/>
      <c r="S868" s="25"/>
      <c r="T868" s="25"/>
      <c r="U868" s="25"/>
      <c r="V868" s="25"/>
      <c r="W868" s="25"/>
      <c r="X868" s="68">
        <f t="shared" si="39"/>
        <v>1900</v>
      </c>
      <c r="Y868" s="25">
        <f t="shared" si="40"/>
        <v>1</v>
      </c>
      <c r="Z868" s="68">
        <f t="shared" si="41"/>
        <v>0</v>
      </c>
    </row>
    <row r="869" ht="13.85" spans="1:26">
      <c r="A869" s="25"/>
      <c r="F869" s="25"/>
      <c r="G869" s="25"/>
      <c r="H869" s="25"/>
      <c r="I869" s="25"/>
      <c r="J869" s="25"/>
      <c r="K869" s="25"/>
      <c r="L869" s="25"/>
      <c r="M869" s="25"/>
      <c r="N869" s="25"/>
      <c r="O869" s="25"/>
      <c r="P869" s="25"/>
      <c r="Q869" s="25"/>
      <c r="R869" s="25"/>
      <c r="S869" s="25"/>
      <c r="T869" s="25"/>
      <c r="U869" s="25"/>
      <c r="V869" s="25"/>
      <c r="W869" s="25"/>
      <c r="X869" s="68">
        <f t="shared" si="39"/>
        <v>1900</v>
      </c>
      <c r="Y869" s="25">
        <f t="shared" si="40"/>
        <v>1</v>
      </c>
      <c r="Z869" s="68">
        <f t="shared" si="41"/>
        <v>0</v>
      </c>
    </row>
    <row r="870" ht="13.85" spans="1:26">
      <c r="A870" s="25"/>
      <c r="F870" s="25"/>
      <c r="G870" s="25"/>
      <c r="H870" s="25"/>
      <c r="I870" s="25"/>
      <c r="J870" s="25"/>
      <c r="K870" s="25"/>
      <c r="L870" s="25"/>
      <c r="M870" s="25"/>
      <c r="N870" s="25"/>
      <c r="O870" s="25"/>
      <c r="P870" s="25"/>
      <c r="Q870" s="25"/>
      <c r="R870" s="25"/>
      <c r="S870" s="25"/>
      <c r="T870" s="25"/>
      <c r="U870" s="25"/>
      <c r="V870" s="25"/>
      <c r="W870" s="25"/>
      <c r="X870" s="68">
        <f t="shared" si="39"/>
        <v>1900</v>
      </c>
      <c r="Y870" s="25">
        <f t="shared" si="40"/>
        <v>1</v>
      </c>
      <c r="Z870" s="68">
        <f t="shared" si="41"/>
        <v>0</v>
      </c>
    </row>
    <row r="871" ht="13.85" spans="1:26">
      <c r="A871" s="25"/>
      <c r="F871" s="25"/>
      <c r="G871" s="25"/>
      <c r="H871" s="25"/>
      <c r="I871" s="25"/>
      <c r="J871" s="25"/>
      <c r="K871" s="25"/>
      <c r="L871" s="25"/>
      <c r="M871" s="25"/>
      <c r="N871" s="25"/>
      <c r="O871" s="25"/>
      <c r="P871" s="25"/>
      <c r="Q871" s="25"/>
      <c r="R871" s="25"/>
      <c r="S871" s="25"/>
      <c r="T871" s="25"/>
      <c r="U871" s="25"/>
      <c r="V871" s="25"/>
      <c r="W871" s="25"/>
      <c r="X871" s="68">
        <f t="shared" si="39"/>
        <v>1900</v>
      </c>
      <c r="Y871" s="25">
        <f t="shared" si="40"/>
        <v>1</v>
      </c>
      <c r="Z871" s="68">
        <f t="shared" si="41"/>
        <v>0</v>
      </c>
    </row>
    <row r="872" ht="13.85" spans="1:26">
      <c r="A872" s="25"/>
      <c r="F872" s="25"/>
      <c r="G872" s="25"/>
      <c r="H872" s="25"/>
      <c r="I872" s="25"/>
      <c r="J872" s="25"/>
      <c r="K872" s="25"/>
      <c r="L872" s="25"/>
      <c r="M872" s="25"/>
      <c r="N872" s="25"/>
      <c r="O872" s="25"/>
      <c r="P872" s="25"/>
      <c r="Q872" s="25"/>
      <c r="R872" s="25"/>
      <c r="S872" s="25"/>
      <c r="T872" s="25"/>
      <c r="U872" s="25"/>
      <c r="V872" s="25"/>
      <c r="W872" s="25"/>
      <c r="X872" s="68">
        <f t="shared" si="39"/>
        <v>1900</v>
      </c>
      <c r="Y872" s="25">
        <f t="shared" si="40"/>
        <v>1</v>
      </c>
      <c r="Z872" s="68">
        <f t="shared" si="41"/>
        <v>0</v>
      </c>
    </row>
    <row r="873" ht="13.85" spans="1:26">
      <c r="A873" s="25"/>
      <c r="F873" s="25"/>
      <c r="G873" s="25"/>
      <c r="H873" s="25"/>
      <c r="I873" s="25"/>
      <c r="J873" s="25"/>
      <c r="K873" s="25"/>
      <c r="L873" s="25"/>
      <c r="M873" s="25"/>
      <c r="N873" s="25"/>
      <c r="O873" s="25"/>
      <c r="P873" s="25"/>
      <c r="Q873" s="25"/>
      <c r="R873" s="25"/>
      <c r="S873" s="25"/>
      <c r="T873" s="25"/>
      <c r="U873" s="25"/>
      <c r="V873" s="25"/>
      <c r="W873" s="25"/>
      <c r="X873" s="68">
        <f t="shared" si="39"/>
        <v>1900</v>
      </c>
      <c r="Y873" s="25">
        <f t="shared" si="40"/>
        <v>1</v>
      </c>
      <c r="Z873" s="68">
        <f t="shared" si="41"/>
        <v>0</v>
      </c>
    </row>
    <row r="874" ht="13.85" spans="1:26">
      <c r="A874" s="25"/>
      <c r="F874" s="25"/>
      <c r="G874" s="25"/>
      <c r="H874" s="25"/>
      <c r="I874" s="25"/>
      <c r="J874" s="25"/>
      <c r="K874" s="25"/>
      <c r="L874" s="25"/>
      <c r="M874" s="25"/>
      <c r="N874" s="25"/>
      <c r="O874" s="25"/>
      <c r="P874" s="25"/>
      <c r="Q874" s="25"/>
      <c r="R874" s="25"/>
      <c r="S874" s="25"/>
      <c r="T874" s="25"/>
      <c r="U874" s="25"/>
      <c r="V874" s="25"/>
      <c r="W874" s="25"/>
      <c r="X874" s="68">
        <f t="shared" si="39"/>
        <v>1900</v>
      </c>
      <c r="Y874" s="25">
        <f t="shared" si="40"/>
        <v>1</v>
      </c>
      <c r="Z874" s="68">
        <f t="shared" si="41"/>
        <v>0</v>
      </c>
    </row>
    <row r="875" ht="13.85" spans="1:26">
      <c r="A875" s="25"/>
      <c r="F875" s="25"/>
      <c r="G875" s="25"/>
      <c r="H875" s="25"/>
      <c r="I875" s="25"/>
      <c r="J875" s="25"/>
      <c r="K875" s="25"/>
      <c r="L875" s="25"/>
      <c r="M875" s="25"/>
      <c r="N875" s="25"/>
      <c r="O875" s="25"/>
      <c r="P875" s="25"/>
      <c r="Q875" s="25"/>
      <c r="R875" s="25"/>
      <c r="S875" s="25"/>
      <c r="T875" s="25"/>
      <c r="U875" s="25"/>
      <c r="V875" s="25"/>
      <c r="W875" s="25"/>
      <c r="X875" s="68">
        <f t="shared" si="39"/>
        <v>1900</v>
      </c>
      <c r="Y875" s="25">
        <f t="shared" si="40"/>
        <v>1</v>
      </c>
      <c r="Z875" s="68">
        <f t="shared" si="41"/>
        <v>0</v>
      </c>
    </row>
    <row r="876" ht="13.85" spans="1:26">
      <c r="A876" s="25"/>
      <c r="F876" s="25"/>
      <c r="G876" s="25"/>
      <c r="H876" s="25"/>
      <c r="I876" s="25"/>
      <c r="J876" s="25"/>
      <c r="K876" s="25"/>
      <c r="L876" s="25"/>
      <c r="M876" s="25"/>
      <c r="N876" s="25"/>
      <c r="O876" s="25"/>
      <c r="P876" s="25"/>
      <c r="Q876" s="25"/>
      <c r="R876" s="25"/>
      <c r="S876" s="25"/>
      <c r="T876" s="25"/>
      <c r="U876" s="25"/>
      <c r="V876" s="25"/>
      <c r="W876" s="25"/>
      <c r="X876" s="68">
        <f t="shared" si="39"/>
        <v>1900</v>
      </c>
      <c r="Y876" s="25">
        <f t="shared" si="40"/>
        <v>1</v>
      </c>
      <c r="Z876" s="68">
        <f t="shared" si="41"/>
        <v>0</v>
      </c>
    </row>
    <row r="877" ht="13.85" spans="1:26">
      <c r="A877" s="25"/>
      <c r="F877" s="25"/>
      <c r="G877" s="25"/>
      <c r="H877" s="25"/>
      <c r="I877" s="25"/>
      <c r="J877" s="25"/>
      <c r="K877" s="25"/>
      <c r="L877" s="25"/>
      <c r="M877" s="25"/>
      <c r="N877" s="25"/>
      <c r="O877" s="25"/>
      <c r="P877" s="25"/>
      <c r="Q877" s="25"/>
      <c r="R877" s="25"/>
      <c r="S877" s="25"/>
      <c r="T877" s="25"/>
      <c r="U877" s="25"/>
      <c r="V877" s="25"/>
      <c r="W877" s="25"/>
      <c r="X877" s="68">
        <f t="shared" si="39"/>
        <v>1900</v>
      </c>
      <c r="Y877" s="25">
        <f t="shared" si="40"/>
        <v>1</v>
      </c>
      <c r="Z877" s="68">
        <f t="shared" si="41"/>
        <v>0</v>
      </c>
    </row>
    <row r="878" ht="13.85" spans="1:26">
      <c r="A878" s="25"/>
      <c r="F878" s="25"/>
      <c r="G878" s="25"/>
      <c r="H878" s="25"/>
      <c r="I878" s="25"/>
      <c r="J878" s="25"/>
      <c r="K878" s="25"/>
      <c r="L878" s="25"/>
      <c r="M878" s="25"/>
      <c r="N878" s="25"/>
      <c r="O878" s="25"/>
      <c r="P878" s="25"/>
      <c r="Q878" s="25"/>
      <c r="R878" s="25"/>
      <c r="S878" s="25"/>
      <c r="T878" s="25"/>
      <c r="U878" s="25"/>
      <c r="V878" s="25"/>
      <c r="W878" s="25"/>
      <c r="X878" s="68">
        <f t="shared" si="39"/>
        <v>1900</v>
      </c>
      <c r="Y878" s="25">
        <f t="shared" si="40"/>
        <v>1</v>
      </c>
      <c r="Z878" s="68">
        <f t="shared" si="41"/>
        <v>0</v>
      </c>
    </row>
    <row r="879" ht="13.85" spans="1:26">
      <c r="A879" s="25"/>
      <c r="F879" s="25"/>
      <c r="G879" s="25"/>
      <c r="H879" s="25"/>
      <c r="I879" s="25"/>
      <c r="J879" s="25"/>
      <c r="K879" s="25"/>
      <c r="L879" s="25"/>
      <c r="M879" s="25"/>
      <c r="N879" s="25"/>
      <c r="O879" s="25"/>
      <c r="P879" s="25"/>
      <c r="Q879" s="25"/>
      <c r="R879" s="25"/>
      <c r="S879" s="25"/>
      <c r="T879" s="25"/>
      <c r="U879" s="25"/>
      <c r="V879" s="25"/>
      <c r="W879" s="25"/>
      <c r="X879" s="68">
        <f t="shared" si="39"/>
        <v>1900</v>
      </c>
      <c r="Y879" s="25">
        <f t="shared" si="40"/>
        <v>1</v>
      </c>
      <c r="Z879" s="68">
        <f t="shared" si="41"/>
        <v>0</v>
      </c>
    </row>
    <row r="880" ht="13.85" spans="1:26">
      <c r="A880" s="25"/>
      <c r="F880" s="25"/>
      <c r="G880" s="25"/>
      <c r="H880" s="25"/>
      <c r="I880" s="25"/>
      <c r="J880" s="25"/>
      <c r="K880" s="25"/>
      <c r="L880" s="25"/>
      <c r="M880" s="25"/>
      <c r="N880" s="25"/>
      <c r="O880" s="25"/>
      <c r="P880" s="25"/>
      <c r="Q880" s="25"/>
      <c r="R880" s="25"/>
      <c r="S880" s="25"/>
      <c r="T880" s="25"/>
      <c r="U880" s="25"/>
      <c r="V880" s="25"/>
      <c r="W880" s="25"/>
      <c r="X880" s="68">
        <f t="shared" si="39"/>
        <v>1900</v>
      </c>
      <c r="Y880" s="25">
        <f t="shared" si="40"/>
        <v>1</v>
      </c>
      <c r="Z880" s="68">
        <f t="shared" si="41"/>
        <v>0</v>
      </c>
    </row>
    <row r="881" ht="13.85" spans="1:26">
      <c r="A881" s="25"/>
      <c r="F881" s="25"/>
      <c r="G881" s="25"/>
      <c r="H881" s="25"/>
      <c r="I881" s="25"/>
      <c r="J881" s="25"/>
      <c r="K881" s="25"/>
      <c r="L881" s="25"/>
      <c r="M881" s="25"/>
      <c r="N881" s="25"/>
      <c r="O881" s="25"/>
      <c r="P881" s="25"/>
      <c r="Q881" s="25"/>
      <c r="R881" s="25"/>
      <c r="S881" s="25"/>
      <c r="T881" s="25"/>
      <c r="U881" s="25"/>
      <c r="V881" s="25"/>
      <c r="W881" s="25"/>
      <c r="X881" s="68">
        <f t="shared" si="39"/>
        <v>1900</v>
      </c>
      <c r="Y881" s="25">
        <f t="shared" si="40"/>
        <v>1</v>
      </c>
      <c r="Z881" s="68">
        <f t="shared" si="41"/>
        <v>0</v>
      </c>
    </row>
    <row r="882" ht="13.85" spans="1:26">
      <c r="A882" s="25"/>
      <c r="F882" s="25"/>
      <c r="G882" s="25"/>
      <c r="H882" s="25"/>
      <c r="I882" s="25"/>
      <c r="J882" s="25"/>
      <c r="K882" s="25"/>
      <c r="L882" s="25"/>
      <c r="M882" s="25"/>
      <c r="N882" s="25"/>
      <c r="O882" s="25"/>
      <c r="P882" s="25"/>
      <c r="Q882" s="25"/>
      <c r="R882" s="25"/>
      <c r="S882" s="25"/>
      <c r="T882" s="25"/>
      <c r="U882" s="25"/>
      <c r="V882" s="25"/>
      <c r="W882" s="25"/>
      <c r="X882" s="68">
        <f t="shared" si="39"/>
        <v>1900</v>
      </c>
      <c r="Y882" s="25">
        <f t="shared" si="40"/>
        <v>1</v>
      </c>
      <c r="Z882" s="68">
        <f t="shared" si="41"/>
        <v>0</v>
      </c>
    </row>
    <row r="883" ht="13.85" spans="1:26">
      <c r="A883" s="25"/>
      <c r="F883" s="25"/>
      <c r="G883" s="25"/>
      <c r="H883" s="25"/>
      <c r="I883" s="25"/>
      <c r="J883" s="25"/>
      <c r="K883" s="25"/>
      <c r="L883" s="25"/>
      <c r="M883" s="25"/>
      <c r="N883" s="25"/>
      <c r="O883" s="25"/>
      <c r="P883" s="25"/>
      <c r="Q883" s="25"/>
      <c r="R883" s="25"/>
      <c r="S883" s="25"/>
      <c r="T883" s="25"/>
      <c r="U883" s="25"/>
      <c r="V883" s="25"/>
      <c r="W883" s="25"/>
      <c r="X883" s="68">
        <f t="shared" si="39"/>
        <v>1900</v>
      </c>
      <c r="Y883" s="25">
        <f t="shared" si="40"/>
        <v>1</v>
      </c>
      <c r="Z883" s="68">
        <f t="shared" si="41"/>
        <v>0</v>
      </c>
    </row>
    <row r="884" ht="13.85" spans="1:26">
      <c r="A884" s="25"/>
      <c r="F884" s="25"/>
      <c r="G884" s="25"/>
      <c r="H884" s="25"/>
      <c r="I884" s="25"/>
      <c r="J884" s="25"/>
      <c r="K884" s="25"/>
      <c r="L884" s="25"/>
      <c r="M884" s="25"/>
      <c r="N884" s="25"/>
      <c r="O884" s="25"/>
      <c r="P884" s="25"/>
      <c r="Q884" s="25"/>
      <c r="R884" s="25"/>
      <c r="S884" s="25"/>
      <c r="T884" s="25"/>
      <c r="U884" s="25"/>
      <c r="V884" s="25"/>
      <c r="W884" s="25"/>
      <c r="X884" s="68">
        <f t="shared" si="39"/>
        <v>1900</v>
      </c>
      <c r="Y884" s="25">
        <f t="shared" si="40"/>
        <v>1</v>
      </c>
      <c r="Z884" s="68">
        <f t="shared" si="41"/>
        <v>0</v>
      </c>
    </row>
    <row r="885" ht="13.85" spans="1:26">
      <c r="A885" s="25"/>
      <c r="F885" s="25"/>
      <c r="G885" s="25"/>
      <c r="H885" s="25"/>
      <c r="I885" s="25"/>
      <c r="J885" s="25"/>
      <c r="K885" s="25"/>
      <c r="L885" s="25"/>
      <c r="M885" s="25"/>
      <c r="N885" s="25"/>
      <c r="O885" s="25"/>
      <c r="P885" s="25"/>
      <c r="Q885" s="25"/>
      <c r="R885" s="25"/>
      <c r="S885" s="25"/>
      <c r="T885" s="25"/>
      <c r="U885" s="25"/>
      <c r="V885" s="25"/>
      <c r="W885" s="25"/>
      <c r="X885" s="68">
        <f t="shared" si="39"/>
        <v>1900</v>
      </c>
      <c r="Y885" s="25">
        <f t="shared" si="40"/>
        <v>1</v>
      </c>
      <c r="Z885" s="68">
        <f t="shared" si="41"/>
        <v>0</v>
      </c>
    </row>
    <row r="886" ht="13.85" spans="1:26">
      <c r="A886" s="25"/>
      <c r="F886" s="25"/>
      <c r="G886" s="25"/>
      <c r="H886" s="25"/>
      <c r="I886" s="25"/>
      <c r="J886" s="25"/>
      <c r="K886" s="25"/>
      <c r="L886" s="25"/>
      <c r="M886" s="25"/>
      <c r="N886" s="25"/>
      <c r="O886" s="25"/>
      <c r="P886" s="25"/>
      <c r="Q886" s="25"/>
      <c r="R886" s="25"/>
      <c r="S886" s="25"/>
      <c r="T886" s="25"/>
      <c r="U886" s="25"/>
      <c r="V886" s="25"/>
      <c r="W886" s="25"/>
      <c r="X886" s="68">
        <f t="shared" si="39"/>
        <v>1900</v>
      </c>
      <c r="Y886" s="25">
        <f t="shared" si="40"/>
        <v>1</v>
      </c>
      <c r="Z886" s="68">
        <f t="shared" si="41"/>
        <v>0</v>
      </c>
    </row>
    <row r="887" ht="13.85" spans="1:26">
      <c r="A887" s="25"/>
      <c r="F887" s="25"/>
      <c r="G887" s="25"/>
      <c r="H887" s="25"/>
      <c r="I887" s="25"/>
      <c r="J887" s="25"/>
      <c r="K887" s="25"/>
      <c r="L887" s="25"/>
      <c r="M887" s="25"/>
      <c r="N887" s="25"/>
      <c r="O887" s="25"/>
      <c r="P887" s="25"/>
      <c r="Q887" s="25"/>
      <c r="R887" s="25"/>
      <c r="S887" s="25"/>
      <c r="T887" s="25"/>
      <c r="U887" s="25"/>
      <c r="V887" s="25"/>
      <c r="W887" s="25"/>
      <c r="X887" s="68">
        <f t="shared" si="39"/>
        <v>1900</v>
      </c>
      <c r="Y887" s="25">
        <f t="shared" si="40"/>
        <v>1</v>
      </c>
      <c r="Z887" s="68">
        <f t="shared" si="41"/>
        <v>0</v>
      </c>
    </row>
    <row r="888" ht="13.85" spans="1:26">
      <c r="A888" s="25"/>
      <c r="F888" s="25"/>
      <c r="G888" s="25"/>
      <c r="H888" s="25"/>
      <c r="I888" s="25"/>
      <c r="J888" s="25"/>
      <c r="K888" s="25"/>
      <c r="L888" s="25"/>
      <c r="M888" s="25"/>
      <c r="N888" s="25"/>
      <c r="O888" s="25"/>
      <c r="P888" s="25"/>
      <c r="Q888" s="25"/>
      <c r="R888" s="25"/>
      <c r="S888" s="25"/>
      <c r="T888" s="25"/>
      <c r="U888" s="25"/>
      <c r="V888" s="25"/>
      <c r="W888" s="25"/>
      <c r="X888" s="68">
        <f t="shared" si="39"/>
        <v>1900</v>
      </c>
      <c r="Y888" s="25">
        <f t="shared" si="40"/>
        <v>1</v>
      </c>
      <c r="Z888" s="68">
        <f t="shared" si="41"/>
        <v>0</v>
      </c>
    </row>
    <row r="889" ht="13.85" spans="1:26">
      <c r="A889" s="25"/>
      <c r="F889" s="25"/>
      <c r="G889" s="25"/>
      <c r="H889" s="25"/>
      <c r="I889" s="25"/>
      <c r="J889" s="25"/>
      <c r="K889" s="25"/>
      <c r="L889" s="25"/>
      <c r="M889" s="25"/>
      <c r="N889" s="25"/>
      <c r="O889" s="25"/>
      <c r="P889" s="25"/>
      <c r="Q889" s="25"/>
      <c r="R889" s="25"/>
      <c r="S889" s="25"/>
      <c r="T889" s="25"/>
      <c r="U889" s="25"/>
      <c r="V889" s="25"/>
      <c r="W889" s="25"/>
      <c r="X889" s="68">
        <f t="shared" si="39"/>
        <v>1900</v>
      </c>
      <c r="Y889" s="25">
        <f t="shared" si="40"/>
        <v>1</v>
      </c>
      <c r="Z889" s="68">
        <f t="shared" si="41"/>
        <v>0</v>
      </c>
    </row>
    <row r="890" ht="13.85" spans="1:26">
      <c r="A890" s="25"/>
      <c r="F890" s="25"/>
      <c r="G890" s="25"/>
      <c r="H890" s="25"/>
      <c r="I890" s="25"/>
      <c r="J890" s="25"/>
      <c r="K890" s="25"/>
      <c r="L890" s="25"/>
      <c r="M890" s="25"/>
      <c r="N890" s="25"/>
      <c r="O890" s="25"/>
      <c r="P890" s="25"/>
      <c r="Q890" s="25"/>
      <c r="R890" s="25"/>
      <c r="S890" s="25"/>
      <c r="T890" s="25"/>
      <c r="U890" s="25"/>
      <c r="V890" s="25"/>
      <c r="W890" s="25"/>
      <c r="X890" s="68">
        <f t="shared" si="39"/>
        <v>1900</v>
      </c>
      <c r="Y890" s="25">
        <f t="shared" si="40"/>
        <v>1</v>
      </c>
      <c r="Z890" s="68">
        <f t="shared" si="41"/>
        <v>0</v>
      </c>
    </row>
    <row r="891" ht="13.85" spans="1:26">
      <c r="A891" s="25"/>
      <c r="F891" s="25"/>
      <c r="G891" s="25"/>
      <c r="H891" s="25"/>
      <c r="I891" s="25"/>
      <c r="J891" s="25"/>
      <c r="K891" s="25"/>
      <c r="L891" s="25"/>
      <c r="M891" s="25"/>
      <c r="N891" s="25"/>
      <c r="O891" s="25"/>
      <c r="P891" s="25"/>
      <c r="Q891" s="25"/>
      <c r="R891" s="25"/>
      <c r="S891" s="25"/>
      <c r="T891" s="25"/>
      <c r="U891" s="25"/>
      <c r="V891" s="25"/>
      <c r="W891" s="25"/>
      <c r="X891" s="68">
        <f t="shared" si="39"/>
        <v>1900</v>
      </c>
      <c r="Y891" s="25">
        <f t="shared" si="40"/>
        <v>1</v>
      </c>
      <c r="Z891" s="68">
        <f t="shared" si="41"/>
        <v>0</v>
      </c>
    </row>
    <row r="892" ht="13.85" spans="1:26">
      <c r="A892" s="25"/>
      <c r="F892" s="25"/>
      <c r="G892" s="25"/>
      <c r="H892" s="25"/>
      <c r="I892" s="25"/>
      <c r="J892" s="25"/>
      <c r="K892" s="25"/>
      <c r="L892" s="25"/>
      <c r="M892" s="25"/>
      <c r="N892" s="25"/>
      <c r="O892" s="25"/>
      <c r="P892" s="25"/>
      <c r="Q892" s="25"/>
      <c r="R892" s="25"/>
      <c r="S892" s="25"/>
      <c r="T892" s="25"/>
      <c r="U892" s="25"/>
      <c r="V892" s="25"/>
      <c r="W892" s="25"/>
      <c r="X892" s="68">
        <f t="shared" si="39"/>
        <v>1900</v>
      </c>
      <c r="Y892" s="25">
        <f t="shared" si="40"/>
        <v>1</v>
      </c>
      <c r="Z892" s="68">
        <f t="shared" si="41"/>
        <v>0</v>
      </c>
    </row>
    <row r="893" ht="13.85" spans="1:26">
      <c r="A893" s="25"/>
      <c r="F893" s="25"/>
      <c r="G893" s="25"/>
      <c r="H893" s="25"/>
      <c r="I893" s="25"/>
      <c r="J893" s="25"/>
      <c r="K893" s="25"/>
      <c r="L893" s="25"/>
      <c r="M893" s="25"/>
      <c r="N893" s="25"/>
      <c r="O893" s="25"/>
      <c r="P893" s="25"/>
      <c r="Q893" s="25"/>
      <c r="R893" s="25"/>
      <c r="S893" s="25"/>
      <c r="T893" s="25"/>
      <c r="U893" s="25"/>
      <c r="V893" s="25"/>
      <c r="W893" s="25"/>
      <c r="X893" s="68">
        <f t="shared" si="39"/>
        <v>1900</v>
      </c>
      <c r="Y893" s="25">
        <f t="shared" si="40"/>
        <v>1</v>
      </c>
      <c r="Z893" s="68">
        <f t="shared" si="41"/>
        <v>0</v>
      </c>
    </row>
    <row r="894" ht="13.85" spans="1:26">
      <c r="A894" s="25"/>
      <c r="F894" s="25"/>
      <c r="G894" s="25"/>
      <c r="H894" s="25"/>
      <c r="I894" s="25"/>
      <c r="J894" s="25"/>
      <c r="K894" s="25"/>
      <c r="L894" s="25"/>
      <c r="M894" s="25"/>
      <c r="N894" s="25"/>
      <c r="O894" s="25"/>
      <c r="P894" s="25"/>
      <c r="Q894" s="25"/>
      <c r="R894" s="25"/>
      <c r="S894" s="25"/>
      <c r="T894" s="25"/>
      <c r="U894" s="25"/>
      <c r="V894" s="25"/>
      <c r="W894" s="25"/>
      <c r="X894" s="68">
        <f t="shared" si="39"/>
        <v>1900</v>
      </c>
      <c r="Y894" s="25">
        <f t="shared" si="40"/>
        <v>1</v>
      </c>
      <c r="Z894" s="68">
        <f t="shared" si="41"/>
        <v>0</v>
      </c>
    </row>
    <row r="895" ht="13.85" spans="1:26">
      <c r="A895" s="25"/>
      <c r="F895" s="25"/>
      <c r="G895" s="25"/>
      <c r="H895" s="25"/>
      <c r="I895" s="25"/>
      <c r="J895" s="25"/>
      <c r="K895" s="25"/>
      <c r="L895" s="25"/>
      <c r="M895" s="25"/>
      <c r="N895" s="25"/>
      <c r="O895" s="25"/>
      <c r="P895" s="25"/>
      <c r="Q895" s="25"/>
      <c r="R895" s="25"/>
      <c r="S895" s="25"/>
      <c r="T895" s="25"/>
      <c r="U895" s="25"/>
      <c r="V895" s="25"/>
      <c r="W895" s="25"/>
      <c r="X895" s="68">
        <f t="shared" si="39"/>
        <v>1900</v>
      </c>
      <c r="Y895" s="25">
        <f t="shared" si="40"/>
        <v>1</v>
      </c>
      <c r="Z895" s="68">
        <f t="shared" si="41"/>
        <v>0</v>
      </c>
    </row>
    <row r="896" ht="13.85" spans="1:26">
      <c r="A896" s="25"/>
      <c r="F896" s="25"/>
      <c r="G896" s="25"/>
      <c r="H896" s="25"/>
      <c r="I896" s="25"/>
      <c r="J896" s="25"/>
      <c r="K896" s="25"/>
      <c r="L896" s="25"/>
      <c r="M896" s="25"/>
      <c r="N896" s="25"/>
      <c r="O896" s="25"/>
      <c r="P896" s="25"/>
      <c r="Q896" s="25"/>
      <c r="R896" s="25"/>
      <c r="S896" s="25"/>
      <c r="T896" s="25"/>
      <c r="U896" s="25"/>
      <c r="V896" s="25"/>
      <c r="W896" s="25"/>
      <c r="X896" s="68">
        <f t="shared" si="39"/>
        <v>1900</v>
      </c>
      <c r="Y896" s="25">
        <f t="shared" si="40"/>
        <v>1</v>
      </c>
      <c r="Z896" s="68">
        <f t="shared" si="41"/>
        <v>0</v>
      </c>
    </row>
    <row r="897" ht="13.85" spans="1:26">
      <c r="A897" s="25"/>
      <c r="F897" s="25"/>
      <c r="G897" s="25"/>
      <c r="H897" s="25"/>
      <c r="I897" s="25"/>
      <c r="J897" s="25"/>
      <c r="K897" s="25"/>
      <c r="L897" s="25"/>
      <c r="M897" s="25"/>
      <c r="N897" s="25"/>
      <c r="O897" s="25"/>
      <c r="P897" s="25"/>
      <c r="Q897" s="25"/>
      <c r="R897" s="25"/>
      <c r="S897" s="25"/>
      <c r="T897" s="25"/>
      <c r="U897" s="25"/>
      <c r="V897" s="25"/>
      <c r="W897" s="25"/>
      <c r="X897" s="68">
        <f t="shared" si="39"/>
        <v>1900</v>
      </c>
      <c r="Y897" s="25">
        <f t="shared" si="40"/>
        <v>1</v>
      </c>
      <c r="Z897" s="68">
        <f t="shared" si="41"/>
        <v>0</v>
      </c>
    </row>
    <row r="898" ht="13.85" spans="1:26">
      <c r="A898" s="25"/>
      <c r="F898" s="25"/>
      <c r="G898" s="25"/>
      <c r="H898" s="25"/>
      <c r="I898" s="25"/>
      <c r="J898" s="25"/>
      <c r="K898" s="25"/>
      <c r="L898" s="25"/>
      <c r="M898" s="25"/>
      <c r="N898" s="25"/>
      <c r="O898" s="25"/>
      <c r="P898" s="25"/>
      <c r="Q898" s="25"/>
      <c r="R898" s="25"/>
      <c r="S898" s="25"/>
      <c r="T898" s="25"/>
      <c r="U898" s="25"/>
      <c r="V898" s="25"/>
      <c r="W898" s="25"/>
      <c r="X898" s="68">
        <f t="shared" ref="X898:X961" si="42">YEAR(C898)</f>
        <v>1900</v>
      </c>
      <c r="Y898" s="25">
        <f t="shared" ref="Y898:Y961" si="43">MONTH(C898)</f>
        <v>1</v>
      </c>
      <c r="Z898" s="68">
        <f t="shared" ref="Z898:Z961" si="44">DAY(C898)</f>
        <v>0</v>
      </c>
    </row>
    <row r="899" ht="13.85" spans="1:26">
      <c r="A899" s="25"/>
      <c r="F899" s="25"/>
      <c r="G899" s="25"/>
      <c r="H899" s="25"/>
      <c r="I899" s="25"/>
      <c r="J899" s="25"/>
      <c r="K899" s="25"/>
      <c r="L899" s="25"/>
      <c r="M899" s="25"/>
      <c r="N899" s="25"/>
      <c r="O899" s="25"/>
      <c r="P899" s="25"/>
      <c r="Q899" s="25"/>
      <c r="R899" s="25"/>
      <c r="S899" s="25"/>
      <c r="T899" s="25"/>
      <c r="U899" s="25"/>
      <c r="V899" s="25"/>
      <c r="W899" s="25"/>
      <c r="X899" s="68">
        <f t="shared" si="42"/>
        <v>1900</v>
      </c>
      <c r="Y899" s="25">
        <f t="shared" si="43"/>
        <v>1</v>
      </c>
      <c r="Z899" s="68">
        <f t="shared" si="44"/>
        <v>0</v>
      </c>
    </row>
    <row r="900" ht="13.85" spans="1:26">
      <c r="A900" s="25"/>
      <c r="F900" s="25"/>
      <c r="G900" s="25"/>
      <c r="H900" s="25"/>
      <c r="I900" s="25"/>
      <c r="J900" s="25"/>
      <c r="K900" s="25"/>
      <c r="L900" s="25"/>
      <c r="M900" s="25"/>
      <c r="N900" s="25"/>
      <c r="O900" s="25"/>
      <c r="P900" s="25"/>
      <c r="Q900" s="25"/>
      <c r="R900" s="25"/>
      <c r="S900" s="25"/>
      <c r="T900" s="25"/>
      <c r="U900" s="25"/>
      <c r="V900" s="25"/>
      <c r="W900" s="25"/>
      <c r="X900" s="68">
        <f t="shared" si="42"/>
        <v>1900</v>
      </c>
      <c r="Y900" s="25">
        <f t="shared" si="43"/>
        <v>1</v>
      </c>
      <c r="Z900" s="68">
        <f t="shared" si="44"/>
        <v>0</v>
      </c>
    </row>
    <row r="901" ht="13.85" spans="1:26">
      <c r="A901" s="25"/>
      <c r="F901" s="25"/>
      <c r="G901" s="25"/>
      <c r="H901" s="25"/>
      <c r="I901" s="25"/>
      <c r="J901" s="25"/>
      <c r="K901" s="25"/>
      <c r="L901" s="25"/>
      <c r="M901" s="25"/>
      <c r="N901" s="25"/>
      <c r="O901" s="25"/>
      <c r="P901" s="25"/>
      <c r="Q901" s="25"/>
      <c r="R901" s="25"/>
      <c r="S901" s="25"/>
      <c r="T901" s="25"/>
      <c r="U901" s="25"/>
      <c r="V901" s="25"/>
      <c r="W901" s="25"/>
      <c r="X901" s="68">
        <f t="shared" si="42"/>
        <v>1900</v>
      </c>
      <c r="Y901" s="25">
        <f t="shared" si="43"/>
        <v>1</v>
      </c>
      <c r="Z901" s="68">
        <f t="shared" si="44"/>
        <v>0</v>
      </c>
    </row>
    <row r="902" ht="13.85" spans="1:26">
      <c r="A902" s="25"/>
      <c r="F902" s="25"/>
      <c r="G902" s="25"/>
      <c r="H902" s="25"/>
      <c r="I902" s="25"/>
      <c r="J902" s="25"/>
      <c r="K902" s="25"/>
      <c r="L902" s="25"/>
      <c r="M902" s="25"/>
      <c r="N902" s="25"/>
      <c r="O902" s="25"/>
      <c r="P902" s="25"/>
      <c r="Q902" s="25"/>
      <c r="R902" s="25"/>
      <c r="S902" s="25"/>
      <c r="T902" s="25"/>
      <c r="U902" s="25"/>
      <c r="V902" s="25"/>
      <c r="W902" s="25"/>
      <c r="X902" s="68">
        <f t="shared" si="42"/>
        <v>1900</v>
      </c>
      <c r="Y902" s="25">
        <f t="shared" si="43"/>
        <v>1</v>
      </c>
      <c r="Z902" s="68">
        <f t="shared" si="44"/>
        <v>0</v>
      </c>
    </row>
    <row r="903" ht="13.85" spans="1:26">
      <c r="A903" s="25"/>
      <c r="F903" s="25"/>
      <c r="G903" s="25"/>
      <c r="H903" s="25"/>
      <c r="I903" s="25"/>
      <c r="J903" s="25"/>
      <c r="K903" s="25"/>
      <c r="L903" s="25"/>
      <c r="M903" s="25"/>
      <c r="N903" s="25"/>
      <c r="O903" s="25"/>
      <c r="P903" s="25"/>
      <c r="Q903" s="25"/>
      <c r="R903" s="25"/>
      <c r="S903" s="25"/>
      <c r="T903" s="25"/>
      <c r="U903" s="25"/>
      <c r="V903" s="25"/>
      <c r="W903" s="25"/>
      <c r="X903" s="68">
        <f t="shared" si="42"/>
        <v>1900</v>
      </c>
      <c r="Y903" s="25">
        <f t="shared" si="43"/>
        <v>1</v>
      </c>
      <c r="Z903" s="68">
        <f t="shared" si="44"/>
        <v>0</v>
      </c>
    </row>
    <row r="904" ht="13.85" spans="1:26">
      <c r="A904" s="25"/>
      <c r="F904" s="25"/>
      <c r="G904" s="25"/>
      <c r="H904" s="25"/>
      <c r="I904" s="25"/>
      <c r="J904" s="25"/>
      <c r="K904" s="25"/>
      <c r="L904" s="25"/>
      <c r="M904" s="25"/>
      <c r="N904" s="25"/>
      <c r="O904" s="25"/>
      <c r="P904" s="25"/>
      <c r="Q904" s="25"/>
      <c r="R904" s="25"/>
      <c r="S904" s="25"/>
      <c r="T904" s="25"/>
      <c r="U904" s="25"/>
      <c r="V904" s="25"/>
      <c r="W904" s="25"/>
      <c r="X904" s="68">
        <f t="shared" si="42"/>
        <v>1900</v>
      </c>
      <c r="Y904" s="25">
        <f t="shared" si="43"/>
        <v>1</v>
      </c>
      <c r="Z904" s="68">
        <f t="shared" si="44"/>
        <v>0</v>
      </c>
    </row>
    <row r="905" ht="13.85" spans="1:26">
      <c r="A905" s="25"/>
      <c r="F905" s="25"/>
      <c r="G905" s="25"/>
      <c r="H905" s="25"/>
      <c r="I905" s="25"/>
      <c r="J905" s="25"/>
      <c r="K905" s="25"/>
      <c r="L905" s="25"/>
      <c r="M905" s="25"/>
      <c r="N905" s="25"/>
      <c r="O905" s="25"/>
      <c r="P905" s="25"/>
      <c r="Q905" s="25"/>
      <c r="R905" s="25"/>
      <c r="S905" s="25"/>
      <c r="T905" s="25"/>
      <c r="U905" s="25"/>
      <c r="V905" s="25"/>
      <c r="W905" s="25"/>
      <c r="X905" s="68">
        <f t="shared" si="42"/>
        <v>1900</v>
      </c>
      <c r="Y905" s="25">
        <f t="shared" si="43"/>
        <v>1</v>
      </c>
      <c r="Z905" s="68">
        <f t="shared" si="44"/>
        <v>0</v>
      </c>
    </row>
    <row r="906" ht="13.85" spans="1:26">
      <c r="A906" s="25"/>
      <c r="F906" s="25"/>
      <c r="G906" s="25"/>
      <c r="H906" s="25"/>
      <c r="I906" s="25"/>
      <c r="J906" s="25"/>
      <c r="K906" s="25"/>
      <c r="L906" s="25"/>
      <c r="M906" s="25"/>
      <c r="N906" s="25"/>
      <c r="O906" s="25"/>
      <c r="P906" s="25"/>
      <c r="Q906" s="25"/>
      <c r="R906" s="25"/>
      <c r="S906" s="25"/>
      <c r="T906" s="25"/>
      <c r="U906" s="25"/>
      <c r="V906" s="25"/>
      <c r="W906" s="25"/>
      <c r="X906" s="68">
        <f t="shared" si="42"/>
        <v>1900</v>
      </c>
      <c r="Y906" s="25">
        <f t="shared" si="43"/>
        <v>1</v>
      </c>
      <c r="Z906" s="68">
        <f t="shared" si="44"/>
        <v>0</v>
      </c>
    </row>
    <row r="907" ht="13.85" spans="1:26">
      <c r="A907" s="25"/>
      <c r="F907" s="25"/>
      <c r="G907" s="25"/>
      <c r="H907" s="25"/>
      <c r="I907" s="25"/>
      <c r="J907" s="25"/>
      <c r="K907" s="25"/>
      <c r="L907" s="25"/>
      <c r="M907" s="25"/>
      <c r="N907" s="25"/>
      <c r="O907" s="25"/>
      <c r="P907" s="25"/>
      <c r="Q907" s="25"/>
      <c r="R907" s="25"/>
      <c r="S907" s="25"/>
      <c r="T907" s="25"/>
      <c r="U907" s="25"/>
      <c r="V907" s="25"/>
      <c r="W907" s="25"/>
      <c r="X907" s="68">
        <f t="shared" si="42"/>
        <v>1900</v>
      </c>
      <c r="Y907" s="25">
        <f t="shared" si="43"/>
        <v>1</v>
      </c>
      <c r="Z907" s="68">
        <f t="shared" si="44"/>
        <v>0</v>
      </c>
    </row>
    <row r="908" ht="13.85" spans="1:26">
      <c r="A908" s="25"/>
      <c r="F908" s="25"/>
      <c r="G908" s="25"/>
      <c r="H908" s="25"/>
      <c r="I908" s="25"/>
      <c r="J908" s="25"/>
      <c r="K908" s="25"/>
      <c r="L908" s="25"/>
      <c r="M908" s="25"/>
      <c r="N908" s="25"/>
      <c r="O908" s="25"/>
      <c r="P908" s="25"/>
      <c r="Q908" s="25"/>
      <c r="R908" s="25"/>
      <c r="S908" s="25"/>
      <c r="T908" s="25"/>
      <c r="U908" s="25"/>
      <c r="V908" s="25"/>
      <c r="W908" s="25"/>
      <c r="X908" s="68">
        <f t="shared" si="42"/>
        <v>1900</v>
      </c>
      <c r="Y908" s="25">
        <f t="shared" si="43"/>
        <v>1</v>
      </c>
      <c r="Z908" s="68">
        <f t="shared" si="44"/>
        <v>0</v>
      </c>
    </row>
    <row r="909" ht="13.85" spans="1:26">
      <c r="A909" s="25"/>
      <c r="F909" s="25"/>
      <c r="G909" s="25"/>
      <c r="H909" s="25"/>
      <c r="I909" s="25"/>
      <c r="J909" s="25"/>
      <c r="K909" s="25"/>
      <c r="L909" s="25"/>
      <c r="M909" s="25"/>
      <c r="N909" s="25"/>
      <c r="O909" s="25"/>
      <c r="P909" s="25"/>
      <c r="Q909" s="25"/>
      <c r="R909" s="25"/>
      <c r="S909" s="25"/>
      <c r="T909" s="25"/>
      <c r="U909" s="25"/>
      <c r="V909" s="25"/>
      <c r="W909" s="25"/>
      <c r="X909" s="68">
        <f t="shared" si="42"/>
        <v>1900</v>
      </c>
      <c r="Y909" s="25">
        <f t="shared" si="43"/>
        <v>1</v>
      </c>
      <c r="Z909" s="68">
        <f t="shared" si="44"/>
        <v>0</v>
      </c>
    </row>
    <row r="910" ht="13.85" spans="1:26">
      <c r="A910" s="25"/>
      <c r="F910" s="25"/>
      <c r="G910" s="25"/>
      <c r="H910" s="25"/>
      <c r="I910" s="25"/>
      <c r="J910" s="25"/>
      <c r="K910" s="25"/>
      <c r="L910" s="25"/>
      <c r="M910" s="25"/>
      <c r="N910" s="25"/>
      <c r="O910" s="25"/>
      <c r="P910" s="25"/>
      <c r="Q910" s="25"/>
      <c r="R910" s="25"/>
      <c r="S910" s="25"/>
      <c r="T910" s="25"/>
      <c r="U910" s="25"/>
      <c r="V910" s="25"/>
      <c r="W910" s="25"/>
      <c r="X910" s="68">
        <f t="shared" si="42"/>
        <v>1900</v>
      </c>
      <c r="Y910" s="25">
        <f t="shared" si="43"/>
        <v>1</v>
      </c>
      <c r="Z910" s="68">
        <f t="shared" si="44"/>
        <v>0</v>
      </c>
    </row>
    <row r="911" ht="13.85" spans="1:26">
      <c r="A911" s="25"/>
      <c r="F911" s="25"/>
      <c r="G911" s="25"/>
      <c r="H911" s="25"/>
      <c r="I911" s="25"/>
      <c r="J911" s="25"/>
      <c r="K911" s="25"/>
      <c r="L911" s="25"/>
      <c r="M911" s="25"/>
      <c r="N911" s="25"/>
      <c r="O911" s="25"/>
      <c r="P911" s="25"/>
      <c r="Q911" s="25"/>
      <c r="R911" s="25"/>
      <c r="S911" s="25"/>
      <c r="T911" s="25"/>
      <c r="U911" s="25"/>
      <c r="V911" s="25"/>
      <c r="W911" s="25"/>
      <c r="X911" s="68">
        <f t="shared" si="42"/>
        <v>1900</v>
      </c>
      <c r="Y911" s="25">
        <f t="shared" si="43"/>
        <v>1</v>
      </c>
      <c r="Z911" s="68">
        <f t="shared" si="44"/>
        <v>0</v>
      </c>
    </row>
    <row r="912" ht="13.85" spans="1:26">
      <c r="A912" s="25"/>
      <c r="F912" s="25"/>
      <c r="G912" s="25"/>
      <c r="H912" s="25"/>
      <c r="I912" s="25"/>
      <c r="J912" s="25"/>
      <c r="K912" s="25"/>
      <c r="L912" s="25"/>
      <c r="M912" s="25"/>
      <c r="N912" s="25"/>
      <c r="O912" s="25"/>
      <c r="P912" s="25"/>
      <c r="Q912" s="25"/>
      <c r="R912" s="25"/>
      <c r="S912" s="25"/>
      <c r="T912" s="25"/>
      <c r="U912" s="25"/>
      <c r="V912" s="25"/>
      <c r="W912" s="25"/>
      <c r="X912" s="68">
        <f t="shared" si="42"/>
        <v>1900</v>
      </c>
      <c r="Y912" s="25">
        <f t="shared" si="43"/>
        <v>1</v>
      </c>
      <c r="Z912" s="68">
        <f t="shared" si="44"/>
        <v>0</v>
      </c>
    </row>
    <row r="913" ht="13.85" spans="1:26">
      <c r="A913" s="25"/>
      <c r="F913" s="25"/>
      <c r="G913" s="25"/>
      <c r="H913" s="25"/>
      <c r="I913" s="25"/>
      <c r="J913" s="25"/>
      <c r="K913" s="25"/>
      <c r="L913" s="25"/>
      <c r="M913" s="25"/>
      <c r="N913" s="25"/>
      <c r="O913" s="25"/>
      <c r="P913" s="25"/>
      <c r="Q913" s="25"/>
      <c r="R913" s="25"/>
      <c r="S913" s="25"/>
      <c r="T913" s="25"/>
      <c r="U913" s="25"/>
      <c r="V913" s="25"/>
      <c r="W913" s="25"/>
      <c r="X913" s="68">
        <f t="shared" si="42"/>
        <v>1900</v>
      </c>
      <c r="Y913" s="25">
        <f t="shared" si="43"/>
        <v>1</v>
      </c>
      <c r="Z913" s="68">
        <f t="shared" si="44"/>
        <v>0</v>
      </c>
    </row>
    <row r="914" ht="13.85" spans="1:26">
      <c r="A914" s="25"/>
      <c r="F914" s="25"/>
      <c r="G914" s="25"/>
      <c r="H914" s="25"/>
      <c r="I914" s="25"/>
      <c r="J914" s="25"/>
      <c r="K914" s="25"/>
      <c r="L914" s="25"/>
      <c r="M914" s="25"/>
      <c r="N914" s="25"/>
      <c r="O914" s="25"/>
      <c r="P914" s="25"/>
      <c r="Q914" s="25"/>
      <c r="R914" s="25"/>
      <c r="S914" s="25"/>
      <c r="T914" s="25"/>
      <c r="U914" s="25"/>
      <c r="V914" s="25"/>
      <c r="W914" s="25"/>
      <c r="X914" s="68">
        <f t="shared" si="42"/>
        <v>1900</v>
      </c>
      <c r="Y914" s="25">
        <f t="shared" si="43"/>
        <v>1</v>
      </c>
      <c r="Z914" s="68">
        <f t="shared" si="44"/>
        <v>0</v>
      </c>
    </row>
    <row r="915" ht="13.85" spans="1:26">
      <c r="A915" s="25"/>
      <c r="F915" s="25"/>
      <c r="G915" s="25"/>
      <c r="H915" s="25"/>
      <c r="I915" s="25"/>
      <c r="J915" s="25"/>
      <c r="K915" s="25"/>
      <c r="L915" s="25"/>
      <c r="M915" s="25"/>
      <c r="N915" s="25"/>
      <c r="O915" s="25"/>
      <c r="P915" s="25"/>
      <c r="Q915" s="25"/>
      <c r="R915" s="25"/>
      <c r="S915" s="25"/>
      <c r="T915" s="25"/>
      <c r="U915" s="25"/>
      <c r="V915" s="25"/>
      <c r="W915" s="25"/>
      <c r="X915" s="68">
        <f t="shared" si="42"/>
        <v>1900</v>
      </c>
      <c r="Y915" s="25">
        <f t="shared" si="43"/>
        <v>1</v>
      </c>
      <c r="Z915" s="68">
        <f t="shared" si="44"/>
        <v>0</v>
      </c>
    </row>
    <row r="916" ht="13.85" spans="1:26">
      <c r="A916" s="25"/>
      <c r="F916" s="25"/>
      <c r="G916" s="25"/>
      <c r="H916" s="25"/>
      <c r="I916" s="25"/>
      <c r="J916" s="25"/>
      <c r="K916" s="25"/>
      <c r="L916" s="25"/>
      <c r="M916" s="25"/>
      <c r="N916" s="25"/>
      <c r="O916" s="25"/>
      <c r="P916" s="25"/>
      <c r="Q916" s="25"/>
      <c r="R916" s="25"/>
      <c r="S916" s="25"/>
      <c r="T916" s="25"/>
      <c r="U916" s="25"/>
      <c r="V916" s="25"/>
      <c r="W916" s="25"/>
      <c r="X916" s="68">
        <f t="shared" si="42"/>
        <v>1900</v>
      </c>
      <c r="Y916" s="25">
        <f t="shared" si="43"/>
        <v>1</v>
      </c>
      <c r="Z916" s="68">
        <f t="shared" si="44"/>
        <v>0</v>
      </c>
    </row>
    <row r="917" ht="13.85" spans="1:26">
      <c r="A917" s="25"/>
      <c r="F917" s="25"/>
      <c r="G917" s="25"/>
      <c r="H917" s="25"/>
      <c r="I917" s="25"/>
      <c r="J917" s="25"/>
      <c r="K917" s="25"/>
      <c r="L917" s="25"/>
      <c r="M917" s="25"/>
      <c r="N917" s="25"/>
      <c r="O917" s="25"/>
      <c r="P917" s="25"/>
      <c r="Q917" s="25"/>
      <c r="R917" s="25"/>
      <c r="S917" s="25"/>
      <c r="T917" s="25"/>
      <c r="U917" s="25"/>
      <c r="V917" s="25"/>
      <c r="W917" s="25"/>
      <c r="X917" s="68">
        <f t="shared" si="42"/>
        <v>1900</v>
      </c>
      <c r="Y917" s="25">
        <f t="shared" si="43"/>
        <v>1</v>
      </c>
      <c r="Z917" s="68">
        <f t="shared" si="44"/>
        <v>0</v>
      </c>
    </row>
    <row r="918" ht="13.85" spans="1:26">
      <c r="A918" s="25"/>
      <c r="F918" s="25"/>
      <c r="G918" s="25"/>
      <c r="H918" s="25"/>
      <c r="I918" s="25"/>
      <c r="J918" s="25"/>
      <c r="K918" s="25"/>
      <c r="L918" s="25"/>
      <c r="M918" s="25"/>
      <c r="N918" s="25"/>
      <c r="O918" s="25"/>
      <c r="P918" s="25"/>
      <c r="Q918" s="25"/>
      <c r="R918" s="25"/>
      <c r="S918" s="25"/>
      <c r="T918" s="25"/>
      <c r="U918" s="25"/>
      <c r="V918" s="25"/>
      <c r="W918" s="25"/>
      <c r="X918" s="68">
        <f t="shared" si="42"/>
        <v>1900</v>
      </c>
      <c r="Y918" s="25">
        <f t="shared" si="43"/>
        <v>1</v>
      </c>
      <c r="Z918" s="68">
        <f t="shared" si="44"/>
        <v>0</v>
      </c>
    </row>
    <row r="919" ht="13.85" spans="1:26">
      <c r="A919" s="25"/>
      <c r="F919" s="25"/>
      <c r="G919" s="25"/>
      <c r="H919" s="25"/>
      <c r="I919" s="25"/>
      <c r="J919" s="25"/>
      <c r="K919" s="25"/>
      <c r="L919" s="25"/>
      <c r="M919" s="25"/>
      <c r="N919" s="25"/>
      <c r="O919" s="25"/>
      <c r="P919" s="25"/>
      <c r="Q919" s="25"/>
      <c r="R919" s="25"/>
      <c r="S919" s="25"/>
      <c r="T919" s="25"/>
      <c r="U919" s="25"/>
      <c r="V919" s="25"/>
      <c r="W919" s="25"/>
      <c r="X919" s="68">
        <f t="shared" si="42"/>
        <v>1900</v>
      </c>
      <c r="Y919" s="25">
        <f t="shared" si="43"/>
        <v>1</v>
      </c>
      <c r="Z919" s="68">
        <f t="shared" si="44"/>
        <v>0</v>
      </c>
    </row>
    <row r="920" ht="13.85" spans="1:26">
      <c r="A920" s="25"/>
      <c r="F920" s="25"/>
      <c r="G920" s="25"/>
      <c r="H920" s="25"/>
      <c r="I920" s="25"/>
      <c r="J920" s="25"/>
      <c r="K920" s="25"/>
      <c r="L920" s="25"/>
      <c r="M920" s="25"/>
      <c r="N920" s="25"/>
      <c r="O920" s="25"/>
      <c r="P920" s="25"/>
      <c r="Q920" s="25"/>
      <c r="R920" s="25"/>
      <c r="S920" s="25"/>
      <c r="T920" s="25"/>
      <c r="U920" s="25"/>
      <c r="V920" s="25"/>
      <c r="W920" s="25"/>
      <c r="X920" s="68">
        <f t="shared" si="42"/>
        <v>1900</v>
      </c>
      <c r="Y920" s="25">
        <f t="shared" si="43"/>
        <v>1</v>
      </c>
      <c r="Z920" s="68">
        <f t="shared" si="44"/>
        <v>0</v>
      </c>
    </row>
    <row r="921" ht="13.85" spans="1:26">
      <c r="A921" s="25"/>
      <c r="F921" s="25"/>
      <c r="G921" s="25"/>
      <c r="H921" s="25"/>
      <c r="I921" s="25"/>
      <c r="J921" s="25"/>
      <c r="K921" s="25"/>
      <c r="L921" s="25"/>
      <c r="M921" s="25"/>
      <c r="N921" s="25"/>
      <c r="O921" s="25"/>
      <c r="P921" s="25"/>
      <c r="Q921" s="25"/>
      <c r="R921" s="25"/>
      <c r="S921" s="25"/>
      <c r="T921" s="25"/>
      <c r="U921" s="25"/>
      <c r="V921" s="25"/>
      <c r="W921" s="25"/>
      <c r="X921" s="68">
        <f t="shared" si="42"/>
        <v>1900</v>
      </c>
      <c r="Y921" s="25">
        <f t="shared" si="43"/>
        <v>1</v>
      </c>
      <c r="Z921" s="68">
        <f t="shared" si="44"/>
        <v>0</v>
      </c>
    </row>
    <row r="922" ht="13.85" spans="1:26">
      <c r="A922" s="25"/>
      <c r="F922" s="25"/>
      <c r="G922" s="25"/>
      <c r="H922" s="25"/>
      <c r="I922" s="25"/>
      <c r="J922" s="25"/>
      <c r="K922" s="25"/>
      <c r="L922" s="25"/>
      <c r="M922" s="25"/>
      <c r="N922" s="25"/>
      <c r="O922" s="25"/>
      <c r="P922" s="25"/>
      <c r="Q922" s="25"/>
      <c r="R922" s="25"/>
      <c r="S922" s="25"/>
      <c r="T922" s="25"/>
      <c r="U922" s="25"/>
      <c r="V922" s="25"/>
      <c r="W922" s="25"/>
      <c r="X922" s="68">
        <f t="shared" si="42"/>
        <v>1900</v>
      </c>
      <c r="Y922" s="25">
        <f t="shared" si="43"/>
        <v>1</v>
      </c>
      <c r="Z922" s="68">
        <f t="shared" si="44"/>
        <v>0</v>
      </c>
    </row>
    <row r="923" ht="13.85" spans="1:26">
      <c r="A923" s="25"/>
      <c r="F923" s="25"/>
      <c r="G923" s="25"/>
      <c r="H923" s="25"/>
      <c r="I923" s="25"/>
      <c r="J923" s="25"/>
      <c r="K923" s="25"/>
      <c r="L923" s="25"/>
      <c r="M923" s="25"/>
      <c r="N923" s="25"/>
      <c r="O923" s="25"/>
      <c r="P923" s="25"/>
      <c r="Q923" s="25"/>
      <c r="R923" s="25"/>
      <c r="S923" s="25"/>
      <c r="T923" s="25"/>
      <c r="U923" s="25"/>
      <c r="V923" s="25"/>
      <c r="W923" s="25"/>
      <c r="X923" s="68">
        <f t="shared" si="42"/>
        <v>1900</v>
      </c>
      <c r="Y923" s="25">
        <f t="shared" si="43"/>
        <v>1</v>
      </c>
      <c r="Z923" s="68">
        <f t="shared" si="44"/>
        <v>0</v>
      </c>
    </row>
    <row r="924" ht="13.85" spans="1:26">
      <c r="A924" s="25"/>
      <c r="F924" s="25"/>
      <c r="G924" s="25"/>
      <c r="H924" s="25"/>
      <c r="I924" s="25"/>
      <c r="J924" s="25"/>
      <c r="K924" s="25"/>
      <c r="L924" s="25"/>
      <c r="M924" s="25"/>
      <c r="N924" s="25"/>
      <c r="O924" s="25"/>
      <c r="P924" s="25"/>
      <c r="Q924" s="25"/>
      <c r="R924" s="25"/>
      <c r="S924" s="25"/>
      <c r="T924" s="25"/>
      <c r="U924" s="25"/>
      <c r="V924" s="25"/>
      <c r="W924" s="25"/>
      <c r="X924" s="68">
        <f t="shared" si="42"/>
        <v>1900</v>
      </c>
      <c r="Y924" s="25">
        <f t="shared" si="43"/>
        <v>1</v>
      </c>
      <c r="Z924" s="68">
        <f t="shared" si="44"/>
        <v>0</v>
      </c>
    </row>
    <row r="925" ht="13.85" spans="1:26">
      <c r="A925" s="25"/>
      <c r="F925" s="25"/>
      <c r="G925" s="25"/>
      <c r="H925" s="25"/>
      <c r="I925" s="25"/>
      <c r="J925" s="25"/>
      <c r="K925" s="25"/>
      <c r="L925" s="25"/>
      <c r="M925" s="25"/>
      <c r="N925" s="25"/>
      <c r="O925" s="25"/>
      <c r="P925" s="25"/>
      <c r="Q925" s="25"/>
      <c r="R925" s="25"/>
      <c r="S925" s="25"/>
      <c r="T925" s="25"/>
      <c r="U925" s="25"/>
      <c r="V925" s="25"/>
      <c r="W925" s="25"/>
      <c r="X925" s="68">
        <f t="shared" si="42"/>
        <v>1900</v>
      </c>
      <c r="Y925" s="25">
        <f t="shared" si="43"/>
        <v>1</v>
      </c>
      <c r="Z925" s="68">
        <f t="shared" si="44"/>
        <v>0</v>
      </c>
    </row>
    <row r="926" ht="13.85" spans="1:26">
      <c r="A926" s="25"/>
      <c r="F926" s="25"/>
      <c r="G926" s="25"/>
      <c r="H926" s="25"/>
      <c r="I926" s="25"/>
      <c r="J926" s="25"/>
      <c r="K926" s="25"/>
      <c r="L926" s="25"/>
      <c r="M926" s="25"/>
      <c r="N926" s="25"/>
      <c r="O926" s="25"/>
      <c r="P926" s="25"/>
      <c r="Q926" s="25"/>
      <c r="R926" s="25"/>
      <c r="S926" s="25"/>
      <c r="T926" s="25"/>
      <c r="U926" s="25"/>
      <c r="V926" s="25"/>
      <c r="W926" s="25"/>
      <c r="X926" s="68">
        <f t="shared" si="42"/>
        <v>1900</v>
      </c>
      <c r="Y926" s="25">
        <f t="shared" si="43"/>
        <v>1</v>
      </c>
      <c r="Z926" s="68">
        <f t="shared" si="44"/>
        <v>0</v>
      </c>
    </row>
    <row r="927" ht="13.85" spans="1:26">
      <c r="A927" s="25"/>
      <c r="F927" s="25"/>
      <c r="G927" s="25"/>
      <c r="H927" s="25"/>
      <c r="I927" s="25"/>
      <c r="J927" s="25"/>
      <c r="K927" s="25"/>
      <c r="L927" s="25"/>
      <c r="M927" s="25"/>
      <c r="N927" s="25"/>
      <c r="O927" s="25"/>
      <c r="P927" s="25"/>
      <c r="Q927" s="25"/>
      <c r="R927" s="25"/>
      <c r="S927" s="25"/>
      <c r="T927" s="25"/>
      <c r="U927" s="25"/>
      <c r="V927" s="25"/>
      <c r="W927" s="25"/>
      <c r="X927" s="68">
        <f t="shared" si="42"/>
        <v>1900</v>
      </c>
      <c r="Y927" s="25">
        <f t="shared" si="43"/>
        <v>1</v>
      </c>
      <c r="Z927" s="68">
        <f t="shared" si="44"/>
        <v>0</v>
      </c>
    </row>
    <row r="928" ht="13.85" spans="1:26">
      <c r="A928" s="25"/>
      <c r="F928" s="25"/>
      <c r="G928" s="25"/>
      <c r="H928" s="25"/>
      <c r="I928" s="25"/>
      <c r="J928" s="25"/>
      <c r="K928" s="25"/>
      <c r="L928" s="25"/>
      <c r="M928" s="25"/>
      <c r="N928" s="25"/>
      <c r="O928" s="25"/>
      <c r="P928" s="25"/>
      <c r="Q928" s="25"/>
      <c r="R928" s="25"/>
      <c r="S928" s="25"/>
      <c r="T928" s="25"/>
      <c r="U928" s="25"/>
      <c r="V928" s="25"/>
      <c r="W928" s="25"/>
      <c r="X928" s="68">
        <f t="shared" si="42"/>
        <v>1900</v>
      </c>
      <c r="Y928" s="25">
        <f t="shared" si="43"/>
        <v>1</v>
      </c>
      <c r="Z928" s="68">
        <f t="shared" si="44"/>
        <v>0</v>
      </c>
    </row>
    <row r="929" ht="13.85" spans="1:26">
      <c r="A929" s="25"/>
      <c r="F929" s="25"/>
      <c r="G929" s="25"/>
      <c r="H929" s="25"/>
      <c r="I929" s="25"/>
      <c r="J929" s="25"/>
      <c r="K929" s="25"/>
      <c r="L929" s="25"/>
      <c r="M929" s="25"/>
      <c r="N929" s="25"/>
      <c r="O929" s="25"/>
      <c r="P929" s="25"/>
      <c r="Q929" s="25"/>
      <c r="R929" s="25"/>
      <c r="S929" s="25"/>
      <c r="T929" s="25"/>
      <c r="U929" s="25"/>
      <c r="V929" s="25"/>
      <c r="W929" s="25"/>
      <c r="X929" s="68">
        <f t="shared" si="42"/>
        <v>1900</v>
      </c>
      <c r="Y929" s="25">
        <f t="shared" si="43"/>
        <v>1</v>
      </c>
      <c r="Z929" s="68">
        <f t="shared" si="44"/>
        <v>0</v>
      </c>
    </row>
    <row r="930" ht="13.85" spans="1:26">
      <c r="A930" s="25"/>
      <c r="F930" s="25"/>
      <c r="G930" s="25"/>
      <c r="H930" s="25"/>
      <c r="I930" s="25"/>
      <c r="J930" s="25"/>
      <c r="K930" s="25"/>
      <c r="L930" s="25"/>
      <c r="M930" s="25"/>
      <c r="N930" s="25"/>
      <c r="O930" s="25"/>
      <c r="P930" s="25"/>
      <c r="Q930" s="25"/>
      <c r="R930" s="25"/>
      <c r="S930" s="25"/>
      <c r="T930" s="25"/>
      <c r="U930" s="25"/>
      <c r="V930" s="25"/>
      <c r="W930" s="25"/>
      <c r="X930" s="68">
        <f t="shared" si="42"/>
        <v>1900</v>
      </c>
      <c r="Y930" s="25">
        <f t="shared" si="43"/>
        <v>1</v>
      </c>
      <c r="Z930" s="68">
        <f t="shared" si="44"/>
        <v>0</v>
      </c>
    </row>
    <row r="931" ht="13.85" spans="1:26">
      <c r="A931" s="25"/>
      <c r="F931" s="25"/>
      <c r="G931" s="25"/>
      <c r="H931" s="25"/>
      <c r="I931" s="25"/>
      <c r="J931" s="25"/>
      <c r="K931" s="25"/>
      <c r="L931" s="25"/>
      <c r="M931" s="25"/>
      <c r="N931" s="25"/>
      <c r="O931" s="25"/>
      <c r="P931" s="25"/>
      <c r="Q931" s="25"/>
      <c r="R931" s="25"/>
      <c r="S931" s="25"/>
      <c r="T931" s="25"/>
      <c r="U931" s="25"/>
      <c r="V931" s="25"/>
      <c r="W931" s="25"/>
      <c r="X931" s="68">
        <f t="shared" si="42"/>
        <v>1900</v>
      </c>
      <c r="Y931" s="25">
        <f t="shared" si="43"/>
        <v>1</v>
      </c>
      <c r="Z931" s="68">
        <f t="shared" si="44"/>
        <v>0</v>
      </c>
    </row>
    <row r="932" ht="13.85" spans="1:26">
      <c r="A932" s="25"/>
      <c r="F932" s="25"/>
      <c r="G932" s="25"/>
      <c r="H932" s="25"/>
      <c r="I932" s="25"/>
      <c r="J932" s="25"/>
      <c r="K932" s="25"/>
      <c r="L932" s="25"/>
      <c r="M932" s="25"/>
      <c r="N932" s="25"/>
      <c r="O932" s="25"/>
      <c r="P932" s="25"/>
      <c r="Q932" s="25"/>
      <c r="R932" s="25"/>
      <c r="S932" s="25"/>
      <c r="T932" s="25"/>
      <c r="U932" s="25"/>
      <c r="V932" s="25"/>
      <c r="W932" s="25"/>
      <c r="X932" s="68">
        <f t="shared" si="42"/>
        <v>1900</v>
      </c>
      <c r="Y932" s="25">
        <f t="shared" si="43"/>
        <v>1</v>
      </c>
      <c r="Z932" s="68">
        <f t="shared" si="44"/>
        <v>0</v>
      </c>
    </row>
    <row r="933" ht="13.85" spans="1:26">
      <c r="A933" s="25"/>
      <c r="F933" s="25"/>
      <c r="G933" s="25"/>
      <c r="H933" s="25"/>
      <c r="I933" s="25"/>
      <c r="J933" s="25"/>
      <c r="K933" s="25"/>
      <c r="L933" s="25"/>
      <c r="M933" s="25"/>
      <c r="N933" s="25"/>
      <c r="O933" s="25"/>
      <c r="P933" s="25"/>
      <c r="Q933" s="25"/>
      <c r="R933" s="25"/>
      <c r="S933" s="25"/>
      <c r="T933" s="25"/>
      <c r="U933" s="25"/>
      <c r="V933" s="25"/>
      <c r="W933" s="25"/>
      <c r="X933" s="68">
        <f t="shared" si="42"/>
        <v>1900</v>
      </c>
      <c r="Y933" s="25">
        <f t="shared" si="43"/>
        <v>1</v>
      </c>
      <c r="Z933" s="68">
        <f t="shared" si="44"/>
        <v>0</v>
      </c>
    </row>
    <row r="934" ht="13.85" spans="1:26">
      <c r="A934" s="25"/>
      <c r="F934" s="25"/>
      <c r="G934" s="25"/>
      <c r="H934" s="25"/>
      <c r="I934" s="25"/>
      <c r="J934" s="25"/>
      <c r="K934" s="25"/>
      <c r="L934" s="25"/>
      <c r="M934" s="25"/>
      <c r="N934" s="25"/>
      <c r="O934" s="25"/>
      <c r="P934" s="25"/>
      <c r="Q934" s="25"/>
      <c r="R934" s="25"/>
      <c r="S934" s="25"/>
      <c r="T934" s="25"/>
      <c r="U934" s="25"/>
      <c r="V934" s="25"/>
      <c r="W934" s="25"/>
      <c r="X934" s="68">
        <f t="shared" si="42"/>
        <v>1900</v>
      </c>
      <c r="Y934" s="25">
        <f t="shared" si="43"/>
        <v>1</v>
      </c>
      <c r="Z934" s="68">
        <f t="shared" si="44"/>
        <v>0</v>
      </c>
    </row>
    <row r="935" ht="13.85" spans="1:26">
      <c r="A935" s="25"/>
      <c r="F935" s="25"/>
      <c r="G935" s="25"/>
      <c r="H935" s="25"/>
      <c r="I935" s="25"/>
      <c r="J935" s="25"/>
      <c r="K935" s="25"/>
      <c r="L935" s="25"/>
      <c r="M935" s="25"/>
      <c r="N935" s="25"/>
      <c r="O935" s="25"/>
      <c r="P935" s="25"/>
      <c r="Q935" s="25"/>
      <c r="R935" s="25"/>
      <c r="S935" s="25"/>
      <c r="T935" s="25"/>
      <c r="U935" s="25"/>
      <c r="V935" s="25"/>
      <c r="W935" s="25"/>
      <c r="X935" s="68">
        <f t="shared" si="42"/>
        <v>1900</v>
      </c>
      <c r="Y935" s="25">
        <f t="shared" si="43"/>
        <v>1</v>
      </c>
      <c r="Z935" s="68">
        <f t="shared" si="44"/>
        <v>0</v>
      </c>
    </row>
    <row r="936" ht="13.85" spans="1:26">
      <c r="A936" s="25"/>
      <c r="F936" s="25"/>
      <c r="G936" s="25"/>
      <c r="H936" s="25"/>
      <c r="I936" s="25"/>
      <c r="J936" s="25"/>
      <c r="K936" s="25"/>
      <c r="L936" s="25"/>
      <c r="M936" s="25"/>
      <c r="N936" s="25"/>
      <c r="O936" s="25"/>
      <c r="P936" s="25"/>
      <c r="Q936" s="25"/>
      <c r="R936" s="25"/>
      <c r="S936" s="25"/>
      <c r="T936" s="25"/>
      <c r="U936" s="25"/>
      <c r="V936" s="25"/>
      <c r="W936" s="25"/>
      <c r="X936" s="68">
        <f t="shared" si="42"/>
        <v>1900</v>
      </c>
      <c r="Y936" s="25">
        <f t="shared" si="43"/>
        <v>1</v>
      </c>
      <c r="Z936" s="68">
        <f t="shared" si="44"/>
        <v>0</v>
      </c>
    </row>
    <row r="937" ht="13.85" spans="1:26">
      <c r="A937" s="25"/>
      <c r="F937" s="25"/>
      <c r="G937" s="25"/>
      <c r="H937" s="25"/>
      <c r="I937" s="25"/>
      <c r="J937" s="25"/>
      <c r="K937" s="25"/>
      <c r="L937" s="25"/>
      <c r="M937" s="25"/>
      <c r="N937" s="25"/>
      <c r="O937" s="25"/>
      <c r="P937" s="25"/>
      <c r="Q937" s="25"/>
      <c r="R937" s="25"/>
      <c r="S937" s="25"/>
      <c r="T937" s="25"/>
      <c r="U937" s="25"/>
      <c r="V937" s="25"/>
      <c r="W937" s="25"/>
      <c r="X937" s="68">
        <f t="shared" si="42"/>
        <v>1900</v>
      </c>
      <c r="Y937" s="25">
        <f t="shared" si="43"/>
        <v>1</v>
      </c>
      <c r="Z937" s="68">
        <f t="shared" si="44"/>
        <v>0</v>
      </c>
    </row>
    <row r="938" ht="13.85" spans="1:26">
      <c r="A938" s="25"/>
      <c r="F938" s="25"/>
      <c r="G938" s="25"/>
      <c r="H938" s="25"/>
      <c r="I938" s="25"/>
      <c r="J938" s="25"/>
      <c r="K938" s="25"/>
      <c r="L938" s="25"/>
      <c r="M938" s="25"/>
      <c r="N938" s="25"/>
      <c r="O938" s="25"/>
      <c r="P938" s="25"/>
      <c r="Q938" s="25"/>
      <c r="R938" s="25"/>
      <c r="S938" s="25"/>
      <c r="T938" s="25"/>
      <c r="U938" s="25"/>
      <c r="V938" s="25"/>
      <c r="W938" s="25"/>
      <c r="X938" s="68">
        <f t="shared" si="42"/>
        <v>1900</v>
      </c>
      <c r="Y938" s="25">
        <f t="shared" si="43"/>
        <v>1</v>
      </c>
      <c r="Z938" s="68">
        <f t="shared" si="44"/>
        <v>0</v>
      </c>
    </row>
    <row r="939" ht="13.85" spans="1:26">
      <c r="A939" s="25"/>
      <c r="F939" s="25"/>
      <c r="G939" s="25"/>
      <c r="H939" s="25"/>
      <c r="I939" s="25"/>
      <c r="J939" s="25"/>
      <c r="K939" s="25"/>
      <c r="L939" s="25"/>
      <c r="M939" s="25"/>
      <c r="N939" s="25"/>
      <c r="O939" s="25"/>
      <c r="P939" s="25"/>
      <c r="Q939" s="25"/>
      <c r="R939" s="25"/>
      <c r="S939" s="25"/>
      <c r="T939" s="25"/>
      <c r="U939" s="25"/>
      <c r="V939" s="25"/>
      <c r="W939" s="25"/>
      <c r="X939" s="68">
        <f t="shared" si="42"/>
        <v>1900</v>
      </c>
      <c r="Y939" s="25">
        <f t="shared" si="43"/>
        <v>1</v>
      </c>
      <c r="Z939" s="68">
        <f t="shared" si="44"/>
        <v>0</v>
      </c>
    </row>
    <row r="940" ht="13.85" spans="1:26">
      <c r="A940" s="25"/>
      <c r="F940" s="25"/>
      <c r="G940" s="25"/>
      <c r="H940" s="25"/>
      <c r="I940" s="25"/>
      <c r="J940" s="25"/>
      <c r="K940" s="25"/>
      <c r="L940" s="25"/>
      <c r="M940" s="25"/>
      <c r="N940" s="25"/>
      <c r="O940" s="25"/>
      <c r="P940" s="25"/>
      <c r="Q940" s="25"/>
      <c r="R940" s="25"/>
      <c r="S940" s="25"/>
      <c r="T940" s="25"/>
      <c r="U940" s="25"/>
      <c r="V940" s="25"/>
      <c r="W940" s="25"/>
      <c r="X940" s="68">
        <f t="shared" si="42"/>
        <v>1900</v>
      </c>
      <c r="Y940" s="25">
        <f t="shared" si="43"/>
        <v>1</v>
      </c>
      <c r="Z940" s="68">
        <f t="shared" si="44"/>
        <v>0</v>
      </c>
    </row>
    <row r="941" ht="13.85" spans="1:26">
      <c r="A941" s="25"/>
      <c r="F941" s="25"/>
      <c r="G941" s="25"/>
      <c r="H941" s="25"/>
      <c r="I941" s="25"/>
      <c r="J941" s="25"/>
      <c r="K941" s="25"/>
      <c r="L941" s="25"/>
      <c r="M941" s="25"/>
      <c r="N941" s="25"/>
      <c r="O941" s="25"/>
      <c r="P941" s="25"/>
      <c r="Q941" s="25"/>
      <c r="R941" s="25"/>
      <c r="S941" s="25"/>
      <c r="T941" s="25"/>
      <c r="U941" s="25"/>
      <c r="V941" s="25"/>
      <c r="W941" s="25"/>
      <c r="X941" s="68">
        <f t="shared" si="42"/>
        <v>1900</v>
      </c>
      <c r="Y941" s="25">
        <f t="shared" si="43"/>
        <v>1</v>
      </c>
      <c r="Z941" s="68">
        <f t="shared" si="44"/>
        <v>0</v>
      </c>
    </row>
    <row r="942" ht="13.85" spans="1:26">
      <c r="A942" s="25"/>
      <c r="F942" s="25"/>
      <c r="G942" s="25"/>
      <c r="H942" s="25"/>
      <c r="I942" s="25"/>
      <c r="J942" s="25"/>
      <c r="K942" s="25"/>
      <c r="L942" s="25"/>
      <c r="M942" s="25"/>
      <c r="N942" s="25"/>
      <c r="O942" s="25"/>
      <c r="P942" s="25"/>
      <c r="Q942" s="25"/>
      <c r="R942" s="25"/>
      <c r="S942" s="25"/>
      <c r="T942" s="25"/>
      <c r="U942" s="25"/>
      <c r="V942" s="25"/>
      <c r="W942" s="25"/>
      <c r="X942" s="68">
        <f t="shared" si="42"/>
        <v>1900</v>
      </c>
      <c r="Y942" s="25">
        <f t="shared" si="43"/>
        <v>1</v>
      </c>
      <c r="Z942" s="68">
        <f t="shared" si="44"/>
        <v>0</v>
      </c>
    </row>
    <row r="943" ht="13.85" spans="1:26">
      <c r="A943" s="25"/>
      <c r="F943" s="25"/>
      <c r="G943" s="25"/>
      <c r="H943" s="25"/>
      <c r="I943" s="25"/>
      <c r="J943" s="25"/>
      <c r="K943" s="25"/>
      <c r="L943" s="25"/>
      <c r="M943" s="25"/>
      <c r="N943" s="25"/>
      <c r="O943" s="25"/>
      <c r="P943" s="25"/>
      <c r="Q943" s="25"/>
      <c r="R943" s="25"/>
      <c r="S943" s="25"/>
      <c r="T943" s="25"/>
      <c r="U943" s="25"/>
      <c r="V943" s="25"/>
      <c r="W943" s="25"/>
      <c r="X943" s="68">
        <f t="shared" si="42"/>
        <v>1900</v>
      </c>
      <c r="Y943" s="25">
        <f t="shared" si="43"/>
        <v>1</v>
      </c>
      <c r="Z943" s="68">
        <f t="shared" si="44"/>
        <v>0</v>
      </c>
    </row>
    <row r="944" ht="13.85" spans="1:26">
      <c r="A944" s="25"/>
      <c r="F944" s="25"/>
      <c r="G944" s="25"/>
      <c r="H944" s="25"/>
      <c r="I944" s="25"/>
      <c r="J944" s="25"/>
      <c r="K944" s="25"/>
      <c r="L944" s="25"/>
      <c r="M944" s="25"/>
      <c r="N944" s="25"/>
      <c r="O944" s="25"/>
      <c r="P944" s="25"/>
      <c r="Q944" s="25"/>
      <c r="R944" s="25"/>
      <c r="S944" s="25"/>
      <c r="T944" s="25"/>
      <c r="U944" s="25"/>
      <c r="V944" s="25"/>
      <c r="W944" s="25"/>
      <c r="X944" s="68">
        <f t="shared" si="42"/>
        <v>1900</v>
      </c>
      <c r="Y944" s="25">
        <f t="shared" si="43"/>
        <v>1</v>
      </c>
      <c r="Z944" s="68">
        <f t="shared" si="44"/>
        <v>0</v>
      </c>
    </row>
    <row r="945" ht="13.85" spans="1:26">
      <c r="A945" s="25"/>
      <c r="F945" s="25"/>
      <c r="G945" s="25"/>
      <c r="H945" s="25"/>
      <c r="I945" s="25"/>
      <c r="J945" s="25"/>
      <c r="K945" s="25"/>
      <c r="L945" s="25"/>
      <c r="M945" s="25"/>
      <c r="N945" s="25"/>
      <c r="O945" s="25"/>
      <c r="P945" s="25"/>
      <c r="Q945" s="25"/>
      <c r="R945" s="25"/>
      <c r="S945" s="25"/>
      <c r="T945" s="25"/>
      <c r="U945" s="25"/>
      <c r="V945" s="25"/>
      <c r="W945" s="25"/>
      <c r="X945" s="68">
        <f t="shared" si="42"/>
        <v>1900</v>
      </c>
      <c r="Y945" s="25">
        <f t="shared" si="43"/>
        <v>1</v>
      </c>
      <c r="Z945" s="68">
        <f t="shared" si="44"/>
        <v>0</v>
      </c>
    </row>
    <row r="946" ht="13.85" spans="1:26">
      <c r="A946" s="25"/>
      <c r="F946" s="25"/>
      <c r="G946" s="25"/>
      <c r="H946" s="25"/>
      <c r="I946" s="25"/>
      <c r="J946" s="25"/>
      <c r="K946" s="25"/>
      <c r="L946" s="25"/>
      <c r="M946" s="25"/>
      <c r="N946" s="25"/>
      <c r="O946" s="25"/>
      <c r="P946" s="25"/>
      <c r="Q946" s="25"/>
      <c r="R946" s="25"/>
      <c r="S946" s="25"/>
      <c r="T946" s="25"/>
      <c r="U946" s="25"/>
      <c r="V946" s="25"/>
      <c r="W946" s="25"/>
      <c r="X946" s="68">
        <f t="shared" si="42"/>
        <v>1900</v>
      </c>
      <c r="Y946" s="25">
        <f t="shared" si="43"/>
        <v>1</v>
      </c>
      <c r="Z946" s="68">
        <f t="shared" si="44"/>
        <v>0</v>
      </c>
    </row>
    <row r="947" ht="13.85" spans="1:26">
      <c r="A947" s="25"/>
      <c r="F947" s="25"/>
      <c r="G947" s="25"/>
      <c r="H947" s="25"/>
      <c r="I947" s="25"/>
      <c r="J947" s="25"/>
      <c r="K947" s="25"/>
      <c r="L947" s="25"/>
      <c r="M947" s="25"/>
      <c r="N947" s="25"/>
      <c r="O947" s="25"/>
      <c r="P947" s="25"/>
      <c r="Q947" s="25"/>
      <c r="R947" s="25"/>
      <c r="S947" s="25"/>
      <c r="T947" s="25"/>
      <c r="U947" s="25"/>
      <c r="V947" s="25"/>
      <c r="W947" s="25"/>
      <c r="X947" s="68">
        <f t="shared" si="42"/>
        <v>1900</v>
      </c>
      <c r="Y947" s="25">
        <f t="shared" si="43"/>
        <v>1</v>
      </c>
      <c r="Z947" s="68">
        <f t="shared" si="44"/>
        <v>0</v>
      </c>
    </row>
    <row r="948" ht="13.85" spans="1:26">
      <c r="A948" s="25"/>
      <c r="F948" s="25"/>
      <c r="G948" s="25"/>
      <c r="H948" s="25"/>
      <c r="I948" s="25"/>
      <c r="J948" s="25"/>
      <c r="K948" s="25"/>
      <c r="L948" s="25"/>
      <c r="M948" s="25"/>
      <c r="N948" s="25"/>
      <c r="O948" s="25"/>
      <c r="P948" s="25"/>
      <c r="Q948" s="25"/>
      <c r="R948" s="25"/>
      <c r="S948" s="25"/>
      <c r="T948" s="25"/>
      <c r="U948" s="25"/>
      <c r="V948" s="25"/>
      <c r="W948" s="25"/>
      <c r="X948" s="68">
        <f t="shared" si="42"/>
        <v>1900</v>
      </c>
      <c r="Y948" s="25">
        <f t="shared" si="43"/>
        <v>1</v>
      </c>
      <c r="Z948" s="68">
        <f t="shared" si="44"/>
        <v>0</v>
      </c>
    </row>
    <row r="949" ht="13.85" spans="1:26">
      <c r="A949" s="25"/>
      <c r="F949" s="25"/>
      <c r="G949" s="25"/>
      <c r="H949" s="25"/>
      <c r="I949" s="25"/>
      <c r="J949" s="25"/>
      <c r="K949" s="25"/>
      <c r="L949" s="25"/>
      <c r="M949" s="25"/>
      <c r="N949" s="25"/>
      <c r="O949" s="25"/>
      <c r="P949" s="25"/>
      <c r="Q949" s="25"/>
      <c r="R949" s="25"/>
      <c r="S949" s="25"/>
      <c r="T949" s="25"/>
      <c r="U949" s="25"/>
      <c r="V949" s="25"/>
      <c r="W949" s="25"/>
      <c r="X949" s="68">
        <f t="shared" si="42"/>
        <v>1900</v>
      </c>
      <c r="Y949" s="25">
        <f t="shared" si="43"/>
        <v>1</v>
      </c>
      <c r="Z949" s="68">
        <f t="shared" si="44"/>
        <v>0</v>
      </c>
    </row>
    <row r="950" ht="13.85" spans="1:26">
      <c r="A950" s="25"/>
      <c r="F950" s="25"/>
      <c r="G950" s="25"/>
      <c r="H950" s="25"/>
      <c r="I950" s="25"/>
      <c r="J950" s="25"/>
      <c r="K950" s="25"/>
      <c r="L950" s="25"/>
      <c r="M950" s="25"/>
      <c r="N950" s="25"/>
      <c r="O950" s="25"/>
      <c r="P950" s="25"/>
      <c r="Q950" s="25"/>
      <c r="R950" s="25"/>
      <c r="S950" s="25"/>
      <c r="T950" s="25"/>
      <c r="U950" s="25"/>
      <c r="V950" s="25"/>
      <c r="W950" s="25"/>
      <c r="X950" s="68">
        <f t="shared" si="42"/>
        <v>1900</v>
      </c>
      <c r="Y950" s="25">
        <f t="shared" si="43"/>
        <v>1</v>
      </c>
      <c r="Z950" s="68">
        <f t="shared" si="44"/>
        <v>0</v>
      </c>
    </row>
    <row r="951" ht="13.85" spans="1:26">
      <c r="A951" s="25"/>
      <c r="F951" s="25"/>
      <c r="G951" s="25"/>
      <c r="H951" s="25"/>
      <c r="I951" s="25"/>
      <c r="J951" s="25"/>
      <c r="K951" s="25"/>
      <c r="L951" s="25"/>
      <c r="M951" s="25"/>
      <c r="N951" s="25"/>
      <c r="O951" s="25"/>
      <c r="P951" s="25"/>
      <c r="Q951" s="25"/>
      <c r="R951" s="25"/>
      <c r="S951" s="25"/>
      <c r="T951" s="25"/>
      <c r="U951" s="25"/>
      <c r="V951" s="25"/>
      <c r="W951" s="25"/>
      <c r="X951" s="68">
        <f t="shared" si="42"/>
        <v>1900</v>
      </c>
      <c r="Y951" s="25">
        <f t="shared" si="43"/>
        <v>1</v>
      </c>
      <c r="Z951" s="68">
        <f t="shared" si="44"/>
        <v>0</v>
      </c>
    </row>
    <row r="952" ht="13.85" spans="1:26">
      <c r="A952" s="25"/>
      <c r="F952" s="25"/>
      <c r="G952" s="25"/>
      <c r="H952" s="25"/>
      <c r="I952" s="25"/>
      <c r="J952" s="25"/>
      <c r="K952" s="25"/>
      <c r="L952" s="25"/>
      <c r="M952" s="25"/>
      <c r="N952" s="25"/>
      <c r="O952" s="25"/>
      <c r="P952" s="25"/>
      <c r="Q952" s="25"/>
      <c r="R952" s="25"/>
      <c r="S952" s="25"/>
      <c r="T952" s="25"/>
      <c r="U952" s="25"/>
      <c r="V952" s="25"/>
      <c r="W952" s="25"/>
      <c r="X952" s="68">
        <f t="shared" si="42"/>
        <v>1900</v>
      </c>
      <c r="Y952" s="25">
        <f t="shared" si="43"/>
        <v>1</v>
      </c>
      <c r="Z952" s="68">
        <f t="shared" si="44"/>
        <v>0</v>
      </c>
    </row>
    <row r="953" ht="13.85" spans="1:26">
      <c r="A953" s="25"/>
      <c r="F953" s="25"/>
      <c r="G953" s="25"/>
      <c r="H953" s="25"/>
      <c r="I953" s="25"/>
      <c r="J953" s="25"/>
      <c r="K953" s="25"/>
      <c r="L953" s="25"/>
      <c r="M953" s="25"/>
      <c r="N953" s="25"/>
      <c r="O953" s="25"/>
      <c r="P953" s="25"/>
      <c r="Q953" s="25"/>
      <c r="R953" s="25"/>
      <c r="S953" s="25"/>
      <c r="T953" s="25"/>
      <c r="U953" s="25"/>
      <c r="V953" s="25"/>
      <c r="W953" s="25"/>
      <c r="X953" s="68">
        <f t="shared" si="42"/>
        <v>1900</v>
      </c>
      <c r="Y953" s="25">
        <f t="shared" si="43"/>
        <v>1</v>
      </c>
      <c r="Z953" s="68">
        <f t="shared" si="44"/>
        <v>0</v>
      </c>
    </row>
    <row r="954" ht="13.85" spans="1:26">
      <c r="A954" s="25"/>
      <c r="F954" s="25"/>
      <c r="G954" s="25"/>
      <c r="H954" s="25"/>
      <c r="I954" s="25"/>
      <c r="J954" s="25"/>
      <c r="K954" s="25"/>
      <c r="L954" s="25"/>
      <c r="M954" s="25"/>
      <c r="N954" s="25"/>
      <c r="O954" s="25"/>
      <c r="P954" s="25"/>
      <c r="Q954" s="25"/>
      <c r="R954" s="25"/>
      <c r="S954" s="25"/>
      <c r="T954" s="25"/>
      <c r="U954" s="25"/>
      <c r="V954" s="25"/>
      <c r="W954" s="25"/>
      <c r="X954" s="68">
        <f t="shared" si="42"/>
        <v>1900</v>
      </c>
      <c r="Y954" s="25">
        <f t="shared" si="43"/>
        <v>1</v>
      </c>
      <c r="Z954" s="68">
        <f t="shared" si="44"/>
        <v>0</v>
      </c>
    </row>
    <row r="955" ht="13.85" spans="1:26">
      <c r="A955" s="25"/>
      <c r="F955" s="25"/>
      <c r="G955" s="25"/>
      <c r="H955" s="25"/>
      <c r="I955" s="25"/>
      <c r="J955" s="25"/>
      <c r="K955" s="25"/>
      <c r="L955" s="25"/>
      <c r="M955" s="25"/>
      <c r="N955" s="25"/>
      <c r="O955" s="25"/>
      <c r="P955" s="25"/>
      <c r="Q955" s="25"/>
      <c r="R955" s="25"/>
      <c r="S955" s="25"/>
      <c r="T955" s="25"/>
      <c r="U955" s="25"/>
      <c r="V955" s="25"/>
      <c r="W955" s="25"/>
      <c r="X955" s="68">
        <f t="shared" si="42"/>
        <v>1900</v>
      </c>
      <c r="Y955" s="25">
        <f t="shared" si="43"/>
        <v>1</v>
      </c>
      <c r="Z955" s="68">
        <f t="shared" si="44"/>
        <v>0</v>
      </c>
    </row>
    <row r="956" ht="13.85" spans="1:26">
      <c r="A956" s="25"/>
      <c r="F956" s="25"/>
      <c r="G956" s="25"/>
      <c r="H956" s="25"/>
      <c r="I956" s="25"/>
      <c r="J956" s="25"/>
      <c r="K956" s="25"/>
      <c r="L956" s="25"/>
      <c r="M956" s="25"/>
      <c r="N956" s="25"/>
      <c r="O956" s="25"/>
      <c r="P956" s="25"/>
      <c r="Q956" s="25"/>
      <c r="R956" s="25"/>
      <c r="S956" s="25"/>
      <c r="T956" s="25"/>
      <c r="U956" s="25"/>
      <c r="V956" s="25"/>
      <c r="W956" s="25"/>
      <c r="X956" s="68">
        <f t="shared" si="42"/>
        <v>1900</v>
      </c>
      <c r="Y956" s="25">
        <f t="shared" si="43"/>
        <v>1</v>
      </c>
      <c r="Z956" s="68">
        <f t="shared" si="44"/>
        <v>0</v>
      </c>
    </row>
    <row r="957" ht="13.85" spans="1:26">
      <c r="A957" s="25"/>
      <c r="F957" s="25"/>
      <c r="G957" s="25"/>
      <c r="H957" s="25"/>
      <c r="I957" s="25"/>
      <c r="J957" s="25"/>
      <c r="K957" s="25"/>
      <c r="L957" s="25"/>
      <c r="M957" s="25"/>
      <c r="N957" s="25"/>
      <c r="O957" s="25"/>
      <c r="P957" s="25"/>
      <c r="Q957" s="25"/>
      <c r="R957" s="25"/>
      <c r="S957" s="25"/>
      <c r="T957" s="25"/>
      <c r="U957" s="25"/>
      <c r="V957" s="25"/>
      <c r="W957" s="25"/>
      <c r="X957" s="68">
        <f t="shared" si="42"/>
        <v>1900</v>
      </c>
      <c r="Y957" s="25">
        <f t="shared" si="43"/>
        <v>1</v>
      </c>
      <c r="Z957" s="68">
        <f t="shared" si="44"/>
        <v>0</v>
      </c>
    </row>
    <row r="958" ht="13.85" spans="1:26">
      <c r="A958" s="25"/>
      <c r="F958" s="25"/>
      <c r="G958" s="25"/>
      <c r="H958" s="25"/>
      <c r="I958" s="25"/>
      <c r="J958" s="25"/>
      <c r="K958" s="25"/>
      <c r="L958" s="25"/>
      <c r="M958" s="25"/>
      <c r="N958" s="25"/>
      <c r="O958" s="25"/>
      <c r="P958" s="25"/>
      <c r="Q958" s="25"/>
      <c r="R958" s="25"/>
      <c r="S958" s="25"/>
      <c r="T958" s="25"/>
      <c r="U958" s="25"/>
      <c r="V958" s="25"/>
      <c r="W958" s="25"/>
      <c r="X958" s="68">
        <f t="shared" si="42"/>
        <v>1900</v>
      </c>
      <c r="Y958" s="25">
        <f t="shared" si="43"/>
        <v>1</v>
      </c>
      <c r="Z958" s="68">
        <f t="shared" si="44"/>
        <v>0</v>
      </c>
    </row>
    <row r="959" ht="13.85" spans="1:26">
      <c r="A959" s="25"/>
      <c r="F959" s="25"/>
      <c r="G959" s="25"/>
      <c r="H959" s="25"/>
      <c r="I959" s="25"/>
      <c r="J959" s="25"/>
      <c r="K959" s="25"/>
      <c r="L959" s="25"/>
      <c r="M959" s="25"/>
      <c r="N959" s="25"/>
      <c r="O959" s="25"/>
      <c r="P959" s="25"/>
      <c r="Q959" s="25"/>
      <c r="R959" s="25"/>
      <c r="S959" s="25"/>
      <c r="T959" s="25"/>
      <c r="U959" s="25"/>
      <c r="V959" s="25"/>
      <c r="W959" s="25"/>
      <c r="X959" s="68">
        <f t="shared" si="42"/>
        <v>1900</v>
      </c>
      <c r="Y959" s="25">
        <f t="shared" si="43"/>
        <v>1</v>
      </c>
      <c r="Z959" s="68">
        <f t="shared" si="44"/>
        <v>0</v>
      </c>
    </row>
    <row r="960" ht="13.85" spans="1:26">
      <c r="A960" s="25"/>
      <c r="F960" s="25"/>
      <c r="G960" s="25"/>
      <c r="H960" s="25"/>
      <c r="I960" s="25"/>
      <c r="J960" s="25"/>
      <c r="K960" s="25"/>
      <c r="L960" s="25"/>
      <c r="M960" s="25"/>
      <c r="N960" s="25"/>
      <c r="O960" s="25"/>
      <c r="P960" s="25"/>
      <c r="Q960" s="25"/>
      <c r="R960" s="25"/>
      <c r="S960" s="25"/>
      <c r="T960" s="25"/>
      <c r="U960" s="25"/>
      <c r="V960" s="25"/>
      <c r="W960" s="25"/>
      <c r="X960" s="68">
        <f t="shared" si="42"/>
        <v>1900</v>
      </c>
      <c r="Y960" s="25">
        <f t="shared" si="43"/>
        <v>1</v>
      </c>
      <c r="Z960" s="68">
        <f t="shared" si="44"/>
        <v>0</v>
      </c>
    </row>
    <row r="961" ht="13.85" spans="1:26">
      <c r="A961" s="25"/>
      <c r="F961" s="25"/>
      <c r="G961" s="25"/>
      <c r="H961" s="25"/>
      <c r="I961" s="25"/>
      <c r="J961" s="25"/>
      <c r="K961" s="25"/>
      <c r="L961" s="25"/>
      <c r="M961" s="25"/>
      <c r="N961" s="25"/>
      <c r="O961" s="25"/>
      <c r="P961" s="25"/>
      <c r="Q961" s="25"/>
      <c r="R961" s="25"/>
      <c r="S961" s="25"/>
      <c r="T961" s="25"/>
      <c r="U961" s="25"/>
      <c r="V961" s="25"/>
      <c r="W961" s="25"/>
      <c r="X961" s="68">
        <f t="shared" si="42"/>
        <v>1900</v>
      </c>
      <c r="Y961" s="25">
        <f t="shared" si="43"/>
        <v>1</v>
      </c>
      <c r="Z961" s="68">
        <f t="shared" si="44"/>
        <v>0</v>
      </c>
    </row>
    <row r="962" ht="13.85" spans="1:26">
      <c r="A962" s="25"/>
      <c r="F962" s="25"/>
      <c r="G962" s="25"/>
      <c r="H962" s="25"/>
      <c r="I962" s="25"/>
      <c r="J962" s="25"/>
      <c r="K962" s="25"/>
      <c r="L962" s="25"/>
      <c r="M962" s="25"/>
      <c r="N962" s="25"/>
      <c r="O962" s="25"/>
      <c r="P962" s="25"/>
      <c r="Q962" s="25"/>
      <c r="R962" s="25"/>
      <c r="S962" s="25"/>
      <c r="T962" s="25"/>
      <c r="U962" s="25"/>
      <c r="V962" s="25"/>
      <c r="W962" s="25"/>
      <c r="X962" s="68">
        <f t="shared" ref="X962:X992" si="45">YEAR(C962)</f>
        <v>1900</v>
      </c>
      <c r="Y962" s="25">
        <f t="shared" ref="Y962:Y992" si="46">MONTH(C962)</f>
        <v>1</v>
      </c>
      <c r="Z962" s="68">
        <f t="shared" ref="Z962:Z992" si="47">DAY(C962)</f>
        <v>0</v>
      </c>
    </row>
    <row r="963" ht="13.85" spans="1:26">
      <c r="A963" s="25"/>
      <c r="F963" s="25"/>
      <c r="G963" s="25"/>
      <c r="H963" s="25"/>
      <c r="I963" s="25"/>
      <c r="J963" s="25"/>
      <c r="K963" s="25"/>
      <c r="L963" s="25"/>
      <c r="M963" s="25"/>
      <c r="N963" s="25"/>
      <c r="O963" s="25"/>
      <c r="P963" s="25"/>
      <c r="Q963" s="25"/>
      <c r="R963" s="25"/>
      <c r="S963" s="25"/>
      <c r="T963" s="25"/>
      <c r="U963" s="25"/>
      <c r="V963" s="25"/>
      <c r="W963" s="25"/>
      <c r="X963" s="68">
        <f t="shared" si="45"/>
        <v>1900</v>
      </c>
      <c r="Y963" s="25">
        <f t="shared" si="46"/>
        <v>1</v>
      </c>
      <c r="Z963" s="68">
        <f t="shared" si="47"/>
        <v>0</v>
      </c>
    </row>
    <row r="964" ht="13.85" spans="1:26">
      <c r="A964" s="25"/>
      <c r="F964" s="25"/>
      <c r="G964" s="25"/>
      <c r="H964" s="25"/>
      <c r="I964" s="25"/>
      <c r="J964" s="25"/>
      <c r="K964" s="25"/>
      <c r="L964" s="25"/>
      <c r="M964" s="25"/>
      <c r="N964" s="25"/>
      <c r="O964" s="25"/>
      <c r="P964" s="25"/>
      <c r="Q964" s="25"/>
      <c r="R964" s="25"/>
      <c r="S964" s="25"/>
      <c r="T964" s="25"/>
      <c r="U964" s="25"/>
      <c r="V964" s="25"/>
      <c r="W964" s="25"/>
      <c r="X964" s="68">
        <f t="shared" si="45"/>
        <v>1900</v>
      </c>
      <c r="Y964" s="25">
        <f t="shared" si="46"/>
        <v>1</v>
      </c>
      <c r="Z964" s="68">
        <f t="shared" si="47"/>
        <v>0</v>
      </c>
    </row>
    <row r="965" ht="13.85" spans="1:26">
      <c r="A965" s="25"/>
      <c r="F965" s="25"/>
      <c r="G965" s="25"/>
      <c r="H965" s="25"/>
      <c r="I965" s="25"/>
      <c r="J965" s="25"/>
      <c r="K965" s="25"/>
      <c r="L965" s="25"/>
      <c r="M965" s="25"/>
      <c r="N965" s="25"/>
      <c r="O965" s="25"/>
      <c r="P965" s="25"/>
      <c r="Q965" s="25"/>
      <c r="R965" s="25"/>
      <c r="S965" s="25"/>
      <c r="T965" s="25"/>
      <c r="U965" s="25"/>
      <c r="V965" s="25"/>
      <c r="W965" s="25"/>
      <c r="X965" s="68">
        <f t="shared" si="45"/>
        <v>1900</v>
      </c>
      <c r="Y965" s="25">
        <f t="shared" si="46"/>
        <v>1</v>
      </c>
      <c r="Z965" s="68">
        <f t="shared" si="47"/>
        <v>0</v>
      </c>
    </row>
    <row r="966" ht="13.85" spans="1:26">
      <c r="A966" s="25"/>
      <c r="F966" s="25"/>
      <c r="G966" s="25"/>
      <c r="H966" s="25"/>
      <c r="I966" s="25"/>
      <c r="J966" s="25"/>
      <c r="K966" s="25"/>
      <c r="L966" s="25"/>
      <c r="M966" s="25"/>
      <c r="N966" s="25"/>
      <c r="O966" s="25"/>
      <c r="P966" s="25"/>
      <c r="Q966" s="25"/>
      <c r="R966" s="25"/>
      <c r="S966" s="25"/>
      <c r="T966" s="25"/>
      <c r="U966" s="25"/>
      <c r="V966" s="25"/>
      <c r="W966" s="25"/>
      <c r="X966" s="68">
        <f t="shared" si="45"/>
        <v>1900</v>
      </c>
      <c r="Y966" s="25">
        <f t="shared" si="46"/>
        <v>1</v>
      </c>
      <c r="Z966" s="68">
        <f t="shared" si="47"/>
        <v>0</v>
      </c>
    </row>
    <row r="967" ht="13.85" spans="1:26">
      <c r="A967" s="25"/>
      <c r="F967" s="25"/>
      <c r="G967" s="25"/>
      <c r="H967" s="25"/>
      <c r="I967" s="25"/>
      <c r="J967" s="25"/>
      <c r="K967" s="25"/>
      <c r="L967" s="25"/>
      <c r="M967" s="25"/>
      <c r="N967" s="25"/>
      <c r="O967" s="25"/>
      <c r="P967" s="25"/>
      <c r="Q967" s="25"/>
      <c r="R967" s="25"/>
      <c r="S967" s="25"/>
      <c r="T967" s="25"/>
      <c r="U967" s="25"/>
      <c r="V967" s="25"/>
      <c r="W967" s="25"/>
      <c r="X967" s="68">
        <f t="shared" si="45"/>
        <v>1900</v>
      </c>
      <c r="Y967" s="25">
        <f t="shared" si="46"/>
        <v>1</v>
      </c>
      <c r="Z967" s="68">
        <f t="shared" si="47"/>
        <v>0</v>
      </c>
    </row>
    <row r="968" ht="13.85" spans="1:26">
      <c r="A968" s="25"/>
      <c r="F968" s="25"/>
      <c r="G968" s="25"/>
      <c r="H968" s="25"/>
      <c r="I968" s="25"/>
      <c r="J968" s="25"/>
      <c r="K968" s="25"/>
      <c r="L968" s="25"/>
      <c r="M968" s="25"/>
      <c r="N968" s="25"/>
      <c r="O968" s="25"/>
      <c r="P968" s="25"/>
      <c r="Q968" s="25"/>
      <c r="R968" s="25"/>
      <c r="S968" s="25"/>
      <c r="T968" s="25"/>
      <c r="U968" s="25"/>
      <c r="V968" s="25"/>
      <c r="W968" s="25"/>
      <c r="X968" s="68">
        <f t="shared" si="45"/>
        <v>1900</v>
      </c>
      <c r="Y968" s="25">
        <f t="shared" si="46"/>
        <v>1</v>
      </c>
      <c r="Z968" s="68">
        <f t="shared" si="47"/>
        <v>0</v>
      </c>
    </row>
    <row r="969" ht="13.85" spans="1:26">
      <c r="A969" s="25"/>
      <c r="F969" s="25"/>
      <c r="G969" s="25"/>
      <c r="H969" s="25"/>
      <c r="I969" s="25"/>
      <c r="J969" s="25"/>
      <c r="K969" s="25"/>
      <c r="L969" s="25"/>
      <c r="M969" s="25"/>
      <c r="N969" s="25"/>
      <c r="O969" s="25"/>
      <c r="P969" s="25"/>
      <c r="Q969" s="25"/>
      <c r="R969" s="25"/>
      <c r="S969" s="25"/>
      <c r="T969" s="25"/>
      <c r="U969" s="25"/>
      <c r="V969" s="25"/>
      <c r="W969" s="25"/>
      <c r="X969" s="68">
        <f t="shared" si="45"/>
        <v>1900</v>
      </c>
      <c r="Y969" s="25">
        <f t="shared" si="46"/>
        <v>1</v>
      </c>
      <c r="Z969" s="68">
        <f t="shared" si="47"/>
        <v>0</v>
      </c>
    </row>
    <row r="970" ht="13.85" spans="1:26">
      <c r="A970" s="25"/>
      <c r="F970" s="25"/>
      <c r="G970" s="25"/>
      <c r="H970" s="25"/>
      <c r="I970" s="25"/>
      <c r="J970" s="25"/>
      <c r="K970" s="25"/>
      <c r="L970" s="25"/>
      <c r="M970" s="25"/>
      <c r="N970" s="25"/>
      <c r="O970" s="25"/>
      <c r="P970" s="25"/>
      <c r="Q970" s="25"/>
      <c r="R970" s="25"/>
      <c r="S970" s="25"/>
      <c r="T970" s="25"/>
      <c r="U970" s="25"/>
      <c r="V970" s="25"/>
      <c r="W970" s="25"/>
      <c r="X970" s="68">
        <f t="shared" si="45"/>
        <v>1900</v>
      </c>
      <c r="Y970" s="25">
        <f t="shared" si="46"/>
        <v>1</v>
      </c>
      <c r="Z970" s="68">
        <f t="shared" si="47"/>
        <v>0</v>
      </c>
    </row>
    <row r="971" ht="13.85" spans="1:26">
      <c r="A971" s="25"/>
      <c r="F971" s="25"/>
      <c r="G971" s="25"/>
      <c r="H971" s="25"/>
      <c r="I971" s="25"/>
      <c r="J971" s="25"/>
      <c r="K971" s="25"/>
      <c r="L971" s="25"/>
      <c r="M971" s="25"/>
      <c r="N971" s="25"/>
      <c r="O971" s="25"/>
      <c r="P971" s="25"/>
      <c r="Q971" s="25"/>
      <c r="R971" s="25"/>
      <c r="S971" s="25"/>
      <c r="T971" s="25"/>
      <c r="U971" s="25"/>
      <c r="V971" s="25"/>
      <c r="W971" s="25"/>
      <c r="X971" s="68">
        <f t="shared" si="45"/>
        <v>1900</v>
      </c>
      <c r="Y971" s="25">
        <f t="shared" si="46"/>
        <v>1</v>
      </c>
      <c r="Z971" s="68">
        <f t="shared" si="47"/>
        <v>0</v>
      </c>
    </row>
    <row r="972" ht="13.85" spans="1:26">
      <c r="A972" s="25"/>
      <c r="F972" s="25"/>
      <c r="G972" s="25"/>
      <c r="H972" s="25"/>
      <c r="I972" s="25"/>
      <c r="J972" s="25"/>
      <c r="K972" s="25"/>
      <c r="L972" s="25"/>
      <c r="M972" s="25"/>
      <c r="N972" s="25"/>
      <c r="O972" s="25"/>
      <c r="P972" s="25"/>
      <c r="Q972" s="25"/>
      <c r="R972" s="25"/>
      <c r="S972" s="25"/>
      <c r="T972" s="25"/>
      <c r="U972" s="25"/>
      <c r="V972" s="25"/>
      <c r="W972" s="25"/>
      <c r="X972" s="68">
        <f t="shared" si="45"/>
        <v>1900</v>
      </c>
      <c r="Y972" s="25">
        <f t="shared" si="46"/>
        <v>1</v>
      </c>
      <c r="Z972" s="68">
        <f t="shared" si="47"/>
        <v>0</v>
      </c>
    </row>
    <row r="973" ht="13.85" spans="1:26">
      <c r="A973" s="25"/>
      <c r="F973" s="25"/>
      <c r="G973" s="25"/>
      <c r="H973" s="25"/>
      <c r="I973" s="25"/>
      <c r="J973" s="25"/>
      <c r="K973" s="25"/>
      <c r="L973" s="25"/>
      <c r="M973" s="25"/>
      <c r="N973" s="25"/>
      <c r="O973" s="25"/>
      <c r="P973" s="25"/>
      <c r="Q973" s="25"/>
      <c r="R973" s="25"/>
      <c r="S973" s="25"/>
      <c r="T973" s="25"/>
      <c r="U973" s="25"/>
      <c r="V973" s="25"/>
      <c r="W973" s="25"/>
      <c r="X973" s="68">
        <f t="shared" si="45"/>
        <v>1900</v>
      </c>
      <c r="Y973" s="25">
        <f t="shared" si="46"/>
        <v>1</v>
      </c>
      <c r="Z973" s="68">
        <f t="shared" si="47"/>
        <v>0</v>
      </c>
    </row>
    <row r="974" ht="13.85" spans="1:26">
      <c r="A974" s="25"/>
      <c r="F974" s="25"/>
      <c r="G974" s="25"/>
      <c r="H974" s="25"/>
      <c r="I974" s="25"/>
      <c r="J974" s="25"/>
      <c r="K974" s="25"/>
      <c r="L974" s="25"/>
      <c r="M974" s="25"/>
      <c r="N974" s="25"/>
      <c r="O974" s="25"/>
      <c r="P974" s="25"/>
      <c r="Q974" s="25"/>
      <c r="R974" s="25"/>
      <c r="S974" s="25"/>
      <c r="T974" s="25"/>
      <c r="U974" s="25"/>
      <c r="V974" s="25"/>
      <c r="W974" s="25"/>
      <c r="X974" s="68">
        <f t="shared" si="45"/>
        <v>1900</v>
      </c>
      <c r="Y974" s="25">
        <f t="shared" si="46"/>
        <v>1</v>
      </c>
      <c r="Z974" s="68">
        <f t="shared" si="47"/>
        <v>0</v>
      </c>
    </row>
    <row r="975" ht="13.85" spans="1:26">
      <c r="A975" s="25"/>
      <c r="F975" s="25"/>
      <c r="G975" s="25"/>
      <c r="H975" s="25"/>
      <c r="I975" s="25"/>
      <c r="J975" s="25"/>
      <c r="K975" s="25"/>
      <c r="L975" s="25"/>
      <c r="M975" s="25"/>
      <c r="N975" s="25"/>
      <c r="O975" s="25"/>
      <c r="P975" s="25"/>
      <c r="Q975" s="25"/>
      <c r="R975" s="25"/>
      <c r="S975" s="25"/>
      <c r="T975" s="25"/>
      <c r="U975" s="25"/>
      <c r="V975" s="25"/>
      <c r="W975" s="25"/>
      <c r="X975" s="68">
        <f t="shared" si="45"/>
        <v>1900</v>
      </c>
      <c r="Y975" s="25">
        <f t="shared" si="46"/>
        <v>1</v>
      </c>
      <c r="Z975" s="68">
        <f t="shared" si="47"/>
        <v>0</v>
      </c>
    </row>
    <row r="976" ht="13.85" spans="1:26">
      <c r="A976" s="25"/>
      <c r="F976" s="25"/>
      <c r="G976" s="25"/>
      <c r="H976" s="25"/>
      <c r="I976" s="25"/>
      <c r="J976" s="25"/>
      <c r="K976" s="25"/>
      <c r="L976" s="25"/>
      <c r="M976" s="25"/>
      <c r="N976" s="25"/>
      <c r="O976" s="25"/>
      <c r="P976" s="25"/>
      <c r="Q976" s="25"/>
      <c r="R976" s="25"/>
      <c r="S976" s="25"/>
      <c r="T976" s="25"/>
      <c r="U976" s="25"/>
      <c r="V976" s="25"/>
      <c r="W976" s="25"/>
      <c r="X976" s="68">
        <f t="shared" si="45"/>
        <v>1900</v>
      </c>
      <c r="Y976" s="25">
        <f t="shared" si="46"/>
        <v>1</v>
      </c>
      <c r="Z976" s="68">
        <f t="shared" si="47"/>
        <v>0</v>
      </c>
    </row>
    <row r="977" ht="13.85" spans="1:26">
      <c r="A977" s="25"/>
      <c r="F977" s="25"/>
      <c r="G977" s="25"/>
      <c r="H977" s="25"/>
      <c r="I977" s="25"/>
      <c r="J977" s="25"/>
      <c r="K977" s="25"/>
      <c r="L977" s="25"/>
      <c r="M977" s="25"/>
      <c r="N977" s="25"/>
      <c r="O977" s="25"/>
      <c r="P977" s="25"/>
      <c r="Q977" s="25"/>
      <c r="R977" s="25"/>
      <c r="S977" s="25"/>
      <c r="T977" s="25"/>
      <c r="U977" s="25"/>
      <c r="V977" s="25"/>
      <c r="W977" s="25"/>
      <c r="X977" s="68">
        <f t="shared" si="45"/>
        <v>1900</v>
      </c>
      <c r="Y977" s="25">
        <f t="shared" si="46"/>
        <v>1</v>
      </c>
      <c r="Z977" s="68">
        <f t="shared" si="47"/>
        <v>0</v>
      </c>
    </row>
    <row r="978" ht="13.85" spans="1:26">
      <c r="A978" s="25"/>
      <c r="F978" s="25"/>
      <c r="G978" s="25"/>
      <c r="H978" s="25"/>
      <c r="I978" s="25"/>
      <c r="J978" s="25"/>
      <c r="K978" s="25"/>
      <c r="L978" s="25"/>
      <c r="M978" s="25"/>
      <c r="N978" s="25"/>
      <c r="O978" s="25"/>
      <c r="P978" s="25"/>
      <c r="Q978" s="25"/>
      <c r="R978" s="25"/>
      <c r="S978" s="25"/>
      <c r="T978" s="25"/>
      <c r="U978" s="25"/>
      <c r="V978" s="25"/>
      <c r="W978" s="25"/>
      <c r="X978" s="68">
        <f t="shared" si="45"/>
        <v>1900</v>
      </c>
      <c r="Y978" s="25">
        <f t="shared" si="46"/>
        <v>1</v>
      </c>
      <c r="Z978" s="68">
        <f t="shared" si="47"/>
        <v>0</v>
      </c>
    </row>
    <row r="979" ht="13.85" spans="1:26">
      <c r="A979" s="25"/>
      <c r="F979" s="25"/>
      <c r="G979" s="25"/>
      <c r="H979" s="25"/>
      <c r="I979" s="25"/>
      <c r="J979" s="25"/>
      <c r="K979" s="25"/>
      <c r="L979" s="25"/>
      <c r="M979" s="25"/>
      <c r="N979" s="25"/>
      <c r="O979" s="25"/>
      <c r="P979" s="25"/>
      <c r="Q979" s="25"/>
      <c r="R979" s="25"/>
      <c r="S979" s="25"/>
      <c r="T979" s="25"/>
      <c r="U979" s="25"/>
      <c r="V979" s="25"/>
      <c r="W979" s="25"/>
      <c r="X979" s="68">
        <f t="shared" si="45"/>
        <v>1900</v>
      </c>
      <c r="Y979" s="25">
        <f t="shared" si="46"/>
        <v>1</v>
      </c>
      <c r="Z979" s="68">
        <f t="shared" si="47"/>
        <v>0</v>
      </c>
    </row>
    <row r="980" ht="13.85" spans="1:26">
      <c r="A980" s="25"/>
      <c r="F980" s="25"/>
      <c r="G980" s="25"/>
      <c r="H980" s="25"/>
      <c r="I980" s="25"/>
      <c r="J980" s="25"/>
      <c r="K980" s="25"/>
      <c r="L980" s="25"/>
      <c r="M980" s="25"/>
      <c r="N980" s="25"/>
      <c r="O980" s="25"/>
      <c r="P980" s="25"/>
      <c r="Q980" s="25"/>
      <c r="R980" s="25"/>
      <c r="S980" s="25"/>
      <c r="T980" s="25"/>
      <c r="U980" s="25"/>
      <c r="V980" s="25"/>
      <c r="W980" s="25"/>
      <c r="X980" s="68">
        <f t="shared" si="45"/>
        <v>1900</v>
      </c>
      <c r="Y980" s="25">
        <f t="shared" si="46"/>
        <v>1</v>
      </c>
      <c r="Z980" s="68">
        <f t="shared" si="47"/>
        <v>0</v>
      </c>
    </row>
    <row r="981" ht="13.85" spans="1:26">
      <c r="A981" s="25"/>
      <c r="F981" s="25"/>
      <c r="G981" s="25"/>
      <c r="H981" s="25"/>
      <c r="I981" s="25"/>
      <c r="J981" s="25"/>
      <c r="K981" s="25"/>
      <c r="L981" s="25"/>
      <c r="M981" s="25"/>
      <c r="N981" s="25"/>
      <c r="O981" s="25"/>
      <c r="P981" s="25"/>
      <c r="Q981" s="25"/>
      <c r="R981" s="25"/>
      <c r="S981" s="25"/>
      <c r="T981" s="25"/>
      <c r="U981" s="25"/>
      <c r="V981" s="25"/>
      <c r="W981" s="25"/>
      <c r="X981" s="68">
        <f t="shared" si="45"/>
        <v>1900</v>
      </c>
      <c r="Y981" s="25">
        <f t="shared" si="46"/>
        <v>1</v>
      </c>
      <c r="Z981" s="68">
        <f t="shared" si="47"/>
        <v>0</v>
      </c>
    </row>
    <row r="982" ht="13.85" spans="1:26">
      <c r="A982" s="25"/>
      <c r="F982" s="25"/>
      <c r="G982" s="25"/>
      <c r="H982" s="25"/>
      <c r="I982" s="25"/>
      <c r="J982" s="25"/>
      <c r="K982" s="25"/>
      <c r="L982" s="25"/>
      <c r="M982" s="25"/>
      <c r="N982" s="25"/>
      <c r="O982" s="25"/>
      <c r="P982" s="25"/>
      <c r="Q982" s="25"/>
      <c r="R982" s="25"/>
      <c r="S982" s="25"/>
      <c r="T982" s="25"/>
      <c r="U982" s="25"/>
      <c r="V982" s="25"/>
      <c r="W982" s="25"/>
      <c r="X982" s="68">
        <f t="shared" si="45"/>
        <v>1900</v>
      </c>
      <c r="Y982" s="25">
        <f t="shared" si="46"/>
        <v>1</v>
      </c>
      <c r="Z982" s="68">
        <f t="shared" si="47"/>
        <v>0</v>
      </c>
    </row>
    <row r="983" ht="13.85" spans="1:26">
      <c r="A983" s="25"/>
      <c r="F983" s="25"/>
      <c r="G983" s="25"/>
      <c r="H983" s="25"/>
      <c r="I983" s="25"/>
      <c r="J983" s="25"/>
      <c r="K983" s="25"/>
      <c r="L983" s="25"/>
      <c r="M983" s="25"/>
      <c r="N983" s="25"/>
      <c r="O983" s="25"/>
      <c r="P983" s="25"/>
      <c r="Q983" s="25"/>
      <c r="R983" s="25"/>
      <c r="S983" s="25"/>
      <c r="T983" s="25"/>
      <c r="U983" s="25"/>
      <c r="V983" s="25"/>
      <c r="W983" s="25"/>
      <c r="X983" s="68">
        <f t="shared" si="45"/>
        <v>1900</v>
      </c>
      <c r="Y983" s="25">
        <f t="shared" si="46"/>
        <v>1</v>
      </c>
      <c r="Z983" s="68">
        <f t="shared" si="47"/>
        <v>0</v>
      </c>
    </row>
    <row r="984" ht="13.85" spans="1:26">
      <c r="A984" s="25"/>
      <c r="F984" s="25"/>
      <c r="G984" s="25"/>
      <c r="H984" s="25"/>
      <c r="I984" s="25"/>
      <c r="J984" s="25"/>
      <c r="K984" s="25"/>
      <c r="L984" s="25"/>
      <c r="M984" s="25"/>
      <c r="N984" s="25"/>
      <c r="O984" s="25"/>
      <c r="P984" s="25"/>
      <c r="Q984" s="25"/>
      <c r="R984" s="25"/>
      <c r="S984" s="25"/>
      <c r="T984" s="25"/>
      <c r="U984" s="25"/>
      <c r="V984" s="25"/>
      <c r="W984" s="25"/>
      <c r="X984" s="68">
        <f t="shared" si="45"/>
        <v>1900</v>
      </c>
      <c r="Y984" s="25">
        <f t="shared" si="46"/>
        <v>1</v>
      </c>
      <c r="Z984" s="68">
        <f t="shared" si="47"/>
        <v>0</v>
      </c>
    </row>
    <row r="985" ht="13.85" spans="1:26">
      <c r="A985" s="25"/>
      <c r="F985" s="25"/>
      <c r="G985" s="25"/>
      <c r="H985" s="25"/>
      <c r="I985" s="25"/>
      <c r="J985" s="25"/>
      <c r="K985" s="25"/>
      <c r="L985" s="25"/>
      <c r="M985" s="25"/>
      <c r="N985" s="25"/>
      <c r="O985" s="25"/>
      <c r="P985" s="25"/>
      <c r="Q985" s="25"/>
      <c r="R985" s="25"/>
      <c r="S985" s="25"/>
      <c r="T985" s="25"/>
      <c r="U985" s="25"/>
      <c r="V985" s="25"/>
      <c r="W985" s="25"/>
      <c r="X985" s="68">
        <f t="shared" si="45"/>
        <v>1900</v>
      </c>
      <c r="Y985" s="25">
        <f t="shared" si="46"/>
        <v>1</v>
      </c>
      <c r="Z985" s="68">
        <f t="shared" si="47"/>
        <v>0</v>
      </c>
    </row>
    <row r="986" ht="13.85" spans="1:26">
      <c r="A986" s="25"/>
      <c r="F986" s="25"/>
      <c r="G986" s="25"/>
      <c r="H986" s="25"/>
      <c r="I986" s="25"/>
      <c r="J986" s="25"/>
      <c r="K986" s="25"/>
      <c r="L986" s="25"/>
      <c r="M986" s="25"/>
      <c r="N986" s="25"/>
      <c r="O986" s="25"/>
      <c r="P986" s="25"/>
      <c r="Q986" s="25"/>
      <c r="R986" s="25"/>
      <c r="S986" s="25"/>
      <c r="T986" s="25"/>
      <c r="U986" s="25"/>
      <c r="V986" s="25"/>
      <c r="W986" s="25"/>
      <c r="X986" s="68">
        <f t="shared" si="45"/>
        <v>1900</v>
      </c>
      <c r="Y986" s="25">
        <f t="shared" si="46"/>
        <v>1</v>
      </c>
      <c r="Z986" s="68">
        <f t="shared" si="47"/>
        <v>0</v>
      </c>
    </row>
    <row r="987" ht="13.85" spans="1:26">
      <c r="A987" s="25"/>
      <c r="F987" s="25"/>
      <c r="G987" s="25"/>
      <c r="H987" s="25"/>
      <c r="I987" s="25"/>
      <c r="J987" s="25"/>
      <c r="K987" s="25"/>
      <c r="L987" s="25"/>
      <c r="M987" s="25"/>
      <c r="N987" s="25"/>
      <c r="O987" s="25"/>
      <c r="P987" s="25"/>
      <c r="Q987" s="25"/>
      <c r="R987" s="25"/>
      <c r="S987" s="25"/>
      <c r="T987" s="25"/>
      <c r="U987" s="25"/>
      <c r="V987" s="25"/>
      <c r="W987" s="25"/>
      <c r="X987" s="68">
        <f t="shared" si="45"/>
        <v>1900</v>
      </c>
      <c r="Y987" s="25">
        <f t="shared" si="46"/>
        <v>1</v>
      </c>
      <c r="Z987" s="68">
        <f t="shared" si="47"/>
        <v>0</v>
      </c>
    </row>
    <row r="988" ht="13.85" spans="1:26">
      <c r="A988" s="25"/>
      <c r="F988" s="25"/>
      <c r="G988" s="25"/>
      <c r="H988" s="25"/>
      <c r="I988" s="25"/>
      <c r="J988" s="25"/>
      <c r="K988" s="25"/>
      <c r="L988" s="25"/>
      <c r="M988" s="25"/>
      <c r="N988" s="25"/>
      <c r="O988" s="25"/>
      <c r="P988" s="25"/>
      <c r="Q988" s="25"/>
      <c r="R988" s="25"/>
      <c r="S988" s="25"/>
      <c r="T988" s="25"/>
      <c r="U988" s="25"/>
      <c r="V988" s="25"/>
      <c r="W988" s="25"/>
      <c r="X988" s="68">
        <f t="shared" si="45"/>
        <v>1900</v>
      </c>
      <c r="Y988" s="25">
        <f t="shared" si="46"/>
        <v>1</v>
      </c>
      <c r="Z988" s="68">
        <f t="shared" si="47"/>
        <v>0</v>
      </c>
    </row>
    <row r="989" ht="13.85" spans="1:26">
      <c r="A989" s="25"/>
      <c r="F989" s="25"/>
      <c r="G989" s="25"/>
      <c r="H989" s="25"/>
      <c r="I989" s="25"/>
      <c r="J989" s="25"/>
      <c r="K989" s="25"/>
      <c r="L989" s="25"/>
      <c r="M989" s="25"/>
      <c r="N989" s="25"/>
      <c r="O989" s="25"/>
      <c r="P989" s="25"/>
      <c r="Q989" s="25"/>
      <c r="R989" s="25"/>
      <c r="S989" s="25"/>
      <c r="T989" s="25"/>
      <c r="U989" s="25"/>
      <c r="V989" s="25"/>
      <c r="W989" s="25"/>
      <c r="X989" s="68">
        <f t="shared" si="45"/>
        <v>1900</v>
      </c>
      <c r="Y989" s="25">
        <f t="shared" si="46"/>
        <v>1</v>
      </c>
      <c r="Z989" s="68">
        <f t="shared" si="47"/>
        <v>0</v>
      </c>
    </row>
    <row r="990" ht="13.85" spans="1:26">
      <c r="A990" s="25"/>
      <c r="F990" s="25"/>
      <c r="G990" s="25"/>
      <c r="H990" s="25"/>
      <c r="I990" s="25"/>
      <c r="J990" s="25"/>
      <c r="K990" s="25"/>
      <c r="L990" s="25"/>
      <c r="M990" s="25"/>
      <c r="N990" s="25"/>
      <c r="O990" s="25"/>
      <c r="P990" s="25"/>
      <c r="Q990" s="25"/>
      <c r="R990" s="25"/>
      <c r="S990" s="25"/>
      <c r="T990" s="25"/>
      <c r="U990" s="25"/>
      <c r="V990" s="25"/>
      <c r="W990" s="25"/>
      <c r="X990" s="68">
        <f t="shared" si="45"/>
        <v>1900</v>
      </c>
      <c r="Y990" s="25">
        <f t="shared" si="46"/>
        <v>1</v>
      </c>
      <c r="Z990" s="68">
        <f t="shared" si="47"/>
        <v>0</v>
      </c>
    </row>
    <row r="991" ht="13.85" spans="1:26">
      <c r="A991" s="25"/>
      <c r="F991" s="25"/>
      <c r="G991" s="25"/>
      <c r="H991" s="25"/>
      <c r="I991" s="25"/>
      <c r="J991" s="25"/>
      <c r="K991" s="25"/>
      <c r="L991" s="25"/>
      <c r="M991" s="25"/>
      <c r="N991" s="25"/>
      <c r="O991" s="25"/>
      <c r="P991" s="25"/>
      <c r="Q991" s="25"/>
      <c r="R991" s="25"/>
      <c r="S991" s="25"/>
      <c r="T991" s="25"/>
      <c r="U991" s="25"/>
      <c r="V991" s="25"/>
      <c r="W991" s="25"/>
      <c r="X991" s="68">
        <f t="shared" si="45"/>
        <v>1900</v>
      </c>
      <c r="Y991" s="25">
        <f t="shared" si="46"/>
        <v>1</v>
      </c>
      <c r="Z991" s="68">
        <f t="shared" si="47"/>
        <v>0</v>
      </c>
    </row>
    <row r="992" ht="13.85" spans="1:26">
      <c r="A992" s="25"/>
      <c r="F992" s="25"/>
      <c r="G992" s="25"/>
      <c r="H992" s="25"/>
      <c r="I992" s="25"/>
      <c r="J992" s="25"/>
      <c r="K992" s="25"/>
      <c r="L992" s="25"/>
      <c r="M992" s="25"/>
      <c r="N992" s="25"/>
      <c r="O992" s="25"/>
      <c r="P992" s="25"/>
      <c r="Q992" s="25"/>
      <c r="R992" s="25"/>
      <c r="S992" s="25"/>
      <c r="T992" s="25"/>
      <c r="U992" s="25"/>
      <c r="V992" s="25"/>
      <c r="W992" s="25"/>
      <c r="X992" s="68">
        <f t="shared" si="45"/>
        <v>1900</v>
      </c>
      <c r="Y992" s="25">
        <f t="shared" si="46"/>
        <v>1</v>
      </c>
      <c r="Z992" s="68">
        <f t="shared" si="47"/>
        <v>0</v>
      </c>
    </row>
  </sheetData>
  <sheetProtection formatCells="0" formatColumns="0" formatRows="0" insertRows="0" insertColumns="0" insertHyperlinks="0" deleteColumns="0" deleteRows="0" sort="0" autoFilter="0" pivotTables="0"/>
  <dataValidations count="1">
    <dataValidation type="list" allowBlank="1" showErrorMessage="1" errorTitle="错误提示" error="请输入下拉列表中的值" sqref="D274 D292 D297 D2:D157 D161:D269 D277:D280 D299:D313" errorStyle="information">
      <formula1>"商务扣款,退货,堆存费,滞期费"</formula1>
    </dataValidation>
  </dataValidations>
  <pageMargins left="0.7" right="0.7" top="0.75" bottom="0.75" header="0.3" footer="0.3"/>
  <pageSetup paperSize="9" orientation="portrait"/>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zoomScale="81" zoomScaleNormal="81" workbookViewId="0">
      <selection activeCell="E7" sqref="E7:F7"/>
    </sheetView>
  </sheetViews>
  <sheetFormatPr defaultColWidth="9" defaultRowHeight="13.5" outlineLevelRow="6" outlineLevelCol="5"/>
  <cols>
    <col min="1" max="6" width="14.6106194690265" customWidth="1"/>
  </cols>
  <sheetData>
    <row r="1" ht="21" customHeight="1" spans="1:6">
      <c r="A1" t="s">
        <v>1214</v>
      </c>
      <c r="B1" s="2" t="s">
        <v>525</v>
      </c>
    </row>
    <row r="2" ht="33" customHeight="1" spans="1:6">
      <c r="A2" s="3" t="s">
        <v>1215</v>
      </c>
      <c r="B2" s="3"/>
      <c r="C2" s="3"/>
      <c r="D2" s="3"/>
      <c r="E2" s="3"/>
      <c r="F2" s="3"/>
    </row>
    <row r="3" ht="42" customHeight="1" spans="1:6">
      <c r="A3" s="4" t="s">
        <v>6</v>
      </c>
      <c r="B3" s="5" t="str">
        <f>VLOOKUP(B1,流程!A:O,12,FALSE)</f>
        <v>JZXYMZSJJM26001</v>
      </c>
      <c r="C3" s="5"/>
      <c r="D3" s="6" t="s">
        <v>90</v>
      </c>
      <c r="E3" s="7" t="str">
        <f>VLOOKUP(B1,流程!A:P,13,FALSE)</f>
        <v>珠三角经营部</v>
      </c>
      <c r="F3" s="7"/>
    </row>
    <row r="4" ht="32.25" customHeight="1" spans="1:6">
      <c r="A4" s="8" t="s">
        <v>83</v>
      </c>
      <c r="B4" s="9" t="str">
        <f>VLOOKUP(B1,流程!A:G,5,FALSE)</f>
        <v>关于开平市绿皇JZXYMZSJJM26001合同商务扣款</v>
      </c>
      <c r="C4" s="9"/>
      <c r="D4" s="9"/>
      <c r="E4" s="9"/>
      <c r="F4" s="9"/>
    </row>
    <row r="5" ht="283" customHeight="1" spans="1:6">
      <c r="A5" s="10" t="str">
        <f>VLOOKUP(B1,流程!A:H,6,FALSE)</f>
        <v>YHSZ-25-121919、开平市绿皇农牧发展有限公司，2026年1月6日签订的《粮食销售合同》（合同编号：JZXYMZSJJM26001）合同数量1030吨，合同单价2450元/吨，结算数量1018.14，其中3柜，总共76.53吨，因工厂仓库收货开柜后发现玉米有霉味的现象，经过协商沟通，进行扣款处理。（1）车号:湘U6955,柜号:XYLU1191171，来货实收重量:21.55吨。（2）车号:湘MJ9132,柜号:XYLU1178631，来货实收重量:27.98吨。（3）车号:湘LD6811,柜号:XYLU1313449，来货实收重量:27吨。合计:76.53*20=1530.6元</v>
      </c>
      <c r="B5" s="11"/>
      <c r="C5" s="11"/>
      <c r="D5" s="11"/>
      <c r="E5" s="11"/>
      <c r="F5" s="12"/>
    </row>
    <row r="6" ht="19.1" customHeight="1" spans="1:6">
      <c r="A6" s="13" t="s">
        <v>91</v>
      </c>
      <c r="B6" s="14"/>
      <c r="C6" s="15" t="str">
        <f>VLOOKUP(B1,流程!A:R,15,FALSE)</f>
        <v>汤妮</v>
      </c>
      <c r="D6" s="16"/>
      <c r="E6" s="15" t="str">
        <f>VLOOKUP(B1,流程!A:S,16,FALSE)</f>
        <v>珠三角经营部</v>
      </c>
      <c r="F6" s="16"/>
    </row>
    <row r="7" ht="65" customHeight="1" spans="1:6">
      <c r="A7" s="17"/>
      <c r="B7" s="18"/>
      <c r="C7" s="19"/>
      <c r="D7" s="20"/>
      <c r="E7" s="19"/>
      <c r="F7" s="20"/>
    </row>
  </sheetData>
  <sheetProtection formatCells="0" formatColumns="0" formatRows="0" insertRows="0" insertColumns="0" insertHyperlinks="0" deleteColumns="0" deleteRows="0" sort="0" autoFilter="0" pivotTables="0"/>
  <mergeCells count="11">
    <mergeCell ref="A2:F2"/>
    <mergeCell ref="B3:C3"/>
    <mergeCell ref="E3:F3"/>
    <mergeCell ref="B4:F4"/>
    <mergeCell ref="A5:F5"/>
    <mergeCell ref="A6:B6"/>
    <mergeCell ref="C6:D6"/>
    <mergeCell ref="E6:F6"/>
    <mergeCell ref="A7:B7"/>
    <mergeCell ref="C7:D7"/>
    <mergeCell ref="E7:F7"/>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11"/>
  <sheetViews>
    <sheetView topLeftCell="A2" workbookViewId="0">
      <selection activeCell="C16" sqref="C16"/>
    </sheetView>
  </sheetViews>
  <sheetFormatPr defaultColWidth="9.02654867256637" defaultRowHeight="13.5"/>
  <sheetData>
    <row r="2" s="1" customFormat="1" spans="1:1">
      <c r="A2" s="1" t="s">
        <v>29</v>
      </c>
    </row>
    <row r="3" spans="1:1">
      <c r="A3" t="s">
        <v>54</v>
      </c>
    </row>
    <row r="4" spans="1:1">
      <c r="A4" t="s">
        <v>1216</v>
      </c>
    </row>
    <row r="5" spans="1:1">
      <c r="A5" t="s">
        <v>392</v>
      </c>
    </row>
    <row r="6" spans="1:1">
      <c r="A6" t="s">
        <v>1217</v>
      </c>
    </row>
    <row r="7" spans="1:1">
      <c r="A7" t="s">
        <v>165</v>
      </c>
    </row>
    <row r="8" spans="1:1">
      <c r="A8" t="s">
        <v>1218</v>
      </c>
    </row>
    <row r="9" spans="1:1">
      <c r="A9" t="s">
        <v>156</v>
      </c>
    </row>
    <row r="10" spans="1:1">
      <c r="A10" t="s">
        <v>34</v>
      </c>
    </row>
    <row r="11" spans="1:1">
      <c r="A11" t="s">
        <v>37</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���S�SR�:S�W+9�(u{|�W+�eg��Y5g29�e�v�y�^FU�Rcb>k�	�
</file>

<file path=customXml/item2.xml>��h�sQ�NTT�Scb>k�v��:ysQ�NTT�Scb>k�v��:ysQ�NTT�Scb>k�v��:ysQ�NTT�Scb>k�v��:ysQ�NTT�Scb>k�v��:ysQ�NTT�Scb>k�v��:ysQ�NTT�Scb>k�v��:ysQ�NTT�~�{�fsQ�N�|�TTT�ss|Bg(���hcb>ksQ�N�|�TTT�ss|Bg(���hcb>k�s	N҉�~%��h��O�
</file>

<file path=customXml/item3.xml>��
</file>

<file path=customXml/item4.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WWO_wpscloud_20260320220154-fb57003c44</Application>
  <HeadingPairs>
    <vt:vector size="2" baseType="variant">
      <vt:variant>
        <vt:lpstr>工作表</vt:lpstr>
      </vt:variant>
      <vt:variant>
        <vt:i4>4</vt:i4>
      </vt:variant>
    </vt:vector>
  </HeadingPairs>
  <TitlesOfParts>
    <vt:vector size="4" baseType="lpstr">
      <vt:lpstr>Sheet1</vt:lpstr>
      <vt:lpstr>流程</vt:lpstr>
      <vt:lpstr>联系单模版</vt:lpstr>
      <vt:lpstr>字段列表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蔡梅梅</dc:creator>
  <cp:lastModifiedBy>蔡土梅_caitumei</cp:lastModifiedBy>
  <dcterms:created xsi:type="dcterms:W3CDTF">2023-07-13T19:15:00Z</dcterms:created>
  <dcterms:modified xsi:type="dcterms:W3CDTF">2026-05-17T15:02:08Z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BCC4039DDBE44B45AFEC1EC0F4A5236D_12</vt:lpwstr>
  </property>
  <property fmtid="{D5CDD505-2E9C-101B-9397-08002B2CF9AE}" pid="4" name="CalculationRule">
    <vt:i4>0</vt:i4>
  </property>
</Properties>
</file>