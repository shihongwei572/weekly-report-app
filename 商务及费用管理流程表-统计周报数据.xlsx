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55"/>
  </bookViews>
  <sheets>
    <sheet name="Sheet1" sheetId="4" r:id="rId1"/>
    <sheet name="流程" sheetId="1" r:id="rId2"/>
    <sheet name="联系单模版" sheetId="2" r:id="rId3"/>
    <sheet name="字段列表" sheetId="3" state="hidden" r:id="rId4"/>
  </sheets>
  <calcPr calcId="191029" calcMode="manual"/>
  <pivotCaches>
    <pivotCache cacheId="0" r:id="rId9"/>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A1" authorId="0">
      <text>
        <r>
          <rPr>
            <b/>
            <sz val="9"/>
            <rFont val="宋体"/>
            <charset val="134"/>
          </rPr>
          <t xml:space="preserve"> :</t>
        </r>
        <r>
          <rPr>
            <sz val="9"/>
            <rFont val="宋体"/>
            <charset val="134"/>
          </rPr>
          <t xml:space="preserve">
编号原则：区域+费用类型+日期，如5月29日的福建商务扣款（FJSWKK250529）</t>
        </r>
      </text>
    </comment>
  </commentList>
</comments>
</file>

<file path=xl/sharedStrings.xml><?xml version="1.0" encoding="utf-8"?>
<sst xmlns="http://schemas.openxmlformats.org/spreadsheetml/2006/main" count="3405" uniqueCount="1190">
  <si>
    <t>年</t>
  </si>
  <si>
    <t>月</t>
  </si>
  <si>
    <t>(多项)</t>
  </si>
  <si>
    <t>日</t>
  </si>
  <si>
    <t>(全部)</t>
  </si>
  <si>
    <t>费用类型</t>
  </si>
  <si>
    <t>商务扣款</t>
  </si>
  <si>
    <t>发出部门</t>
  </si>
  <si>
    <t>计数项:接收部门</t>
  </si>
  <si>
    <t>求和项:费用金额</t>
  </si>
  <si>
    <t>求和项:费用对应吨数</t>
  </si>
  <si>
    <t>珠三角经营部</t>
  </si>
  <si>
    <t>粤西经营部</t>
  </si>
  <si>
    <t>广西经营部</t>
  </si>
  <si>
    <t>福建经营部</t>
  </si>
  <si>
    <t>海南经营部</t>
  </si>
  <si>
    <t>总计</t>
  </si>
  <si>
    <t>经营部</t>
  </si>
  <si>
    <t>商扣笔数</t>
  </si>
  <si>
    <t>商扣金额（万元）</t>
  </si>
  <si>
    <t>商扣吨数（万吨）</t>
  </si>
  <si>
    <t>单吨商扣
（元/吨）</t>
  </si>
  <si>
    <t>累计结算量（万吨）</t>
  </si>
  <si>
    <t>商扣均摊至结算量（元/吨）</t>
  </si>
  <si>
    <t>商扣数量占结算数量比例</t>
  </si>
  <si>
    <t>珠三角</t>
  </si>
  <si>
    <t>粤西</t>
  </si>
  <si>
    <t>广西</t>
  </si>
  <si>
    <t>福建</t>
  </si>
  <si>
    <t>海南</t>
  </si>
  <si>
    <t>扣款原因-清洗</t>
  </si>
  <si>
    <t>扣款原因</t>
  </si>
  <si>
    <t>扣款金额（元）</t>
  </si>
  <si>
    <t>占比</t>
  </si>
  <si>
    <t>杂质</t>
  </si>
  <si>
    <t>水分</t>
  </si>
  <si>
    <t>销售额外费用</t>
  </si>
  <si>
    <t>霉变</t>
  </si>
  <si>
    <t>毒素</t>
  </si>
  <si>
    <t>短重</t>
  </si>
  <si>
    <t>热损伤</t>
  </si>
  <si>
    <t>不完善粒</t>
  </si>
  <si>
    <t>容重</t>
  </si>
  <si>
    <t>联系单编号</t>
  </si>
  <si>
    <t>费用发生时间</t>
  </si>
  <si>
    <t>费用申请时间</t>
  </si>
  <si>
    <t>主题</t>
  </si>
  <si>
    <t>内容</t>
  </si>
  <si>
    <t>销售溢价是否覆盖扣款费用</t>
  </si>
  <si>
    <t>费用原因分类</t>
  </si>
  <si>
    <t>费用金额</t>
  </si>
  <si>
    <t>费用对应吨数</t>
  </si>
  <si>
    <t>费用对应大船名</t>
  </si>
  <si>
    <t>费用对应销售合同号</t>
  </si>
  <si>
    <t>接收部门</t>
  </si>
  <si>
    <t>发起人</t>
  </si>
  <si>
    <t>复核人1</t>
  </si>
  <si>
    <t>复核人2</t>
  </si>
  <si>
    <t>复核人3</t>
  </si>
  <si>
    <t>复核人4</t>
  </si>
  <si>
    <t>复核人5</t>
  </si>
  <si>
    <t>费用最终承担方</t>
  </si>
  <si>
    <t>承担方名称/对应合同号</t>
  </si>
  <si>
    <t>复核结果备注</t>
  </si>
  <si>
    <t>FJSWKK250529</t>
  </si>
  <si>
    <t>关于福建省邵武市华龙饲料有限公司商务扣款说明</t>
  </si>
  <si>
    <t xml:space="preserve">    兹有我司与福建省邵武华龙饲料有限公司签订《粮食销售合同》，合同号：YMFJFZ250015，合同数量3000吨，单价2240元/吨，截止2025年4月5日接货完毕。该合同提货2987.12吨，其中3月26日提货6车共计209.97吨，到货检测指标较差（杂质1.6%，霉变3.6%），经双方协商一致，退货转扣款接收，扣款10元/吨共计2099.7元，折合合同扣款0.7元/吨。
    以上扣款，对应内部发运散船航安顺/2507，是否可行，请领导批示。</t>
  </si>
  <si>
    <t>质量问题（霉变、霉味、生虫等）</t>
  </si>
  <si>
    <t>饲料原料部、风险管理部、财务部</t>
  </si>
  <si>
    <t>林玉婷</t>
  </si>
  <si>
    <t>大区品种线</t>
  </si>
  <si>
    <t>供应商</t>
  </si>
  <si>
    <t>5/13-5/15</t>
  </si>
  <si>
    <t>JZXYMGXXJ250003广西福祺保毒素箱子毒素超标扣款说明</t>
  </si>
  <si>
    <t>该批保毒素箱子21个，总计554.97吨，计划交付广西福祺饲料有限公司保毒素合同（合同号：JZXYMGXXJ250003），4月21日和4月25日从北方发出，5月3日至5月8日抵达贵港港（运单号：AUVTNTW250238777、ASNCLTL250258834），计划号YHSZ-25-032021。5月13日至5月15日全部提完。到厂检测毒素超标，7个箱子毒素指标在1100-1300ppb之间，14个箱子毒素指标在1400-1900ppb之间。我部及时与玉米品种线联系并向大区反映情况，后经大区协调，现场取样邮至北良港检测公司董乾仕复检，四个集装箱（ATHU1009372、ATHU1078877、FBIU0022667、FBIU0003991）分两个样品毒素检测结果值为1491ppb和1729ppb。下游客户要求商扣50元/吨，经我司协商最终扣20元/吨，总计11099.4元。</t>
  </si>
  <si>
    <t>品质不达标（容重、水分、毒素、蛋白等）</t>
  </si>
  <si>
    <t>JZXYMGXXJ250003</t>
  </si>
  <si>
    <t>侯霄</t>
  </si>
  <si>
    <t>2025/5/17、6/2</t>
  </si>
  <si>
    <t>关于龙岩华龙扣款说明</t>
  </si>
  <si>
    <t>我司与福建省龙岩市华龙饲料有限公司于2025年05月09日签署生效的《粮食销售合同》（合同编号：JZXYMFJZZ250004)，合同数量480吨，合同单价2420元/吨，截止至2025年06月04日，该合同累计提货471.075吨，客户于2025年5月17日接收玉米，检测呕吐毒素超标；检测容重未达标，合计产生扣款2704.76元，整批次提货471.075吨，折单吨扣款5.74元/吨</t>
  </si>
  <si>
    <t>饲料原料部</t>
  </si>
  <si>
    <t>陈静文</t>
  </si>
  <si>
    <t>2025/5/16、6/4</t>
  </si>
  <si>
    <t>关于龙岩鑫华港饲料有限公司扣款说明</t>
  </si>
  <si>
    <t>我司与龙岩鑫华港饲料有限公司于2025年05月09日签署生效的《粮食销售合同》（合同编号：JZXYMFJZZ250005)，合同数量420吨，合同单价2420元/吨，截止至2025年05月20日，该合同累计提货414.4吨，检测有呕吐毒素超标；检测容重未达标，以上情况合计产生扣款2204.80元，整批次提货414.4吨，折单吨扣款5.32元/吨</t>
  </si>
  <si>
    <t>关于武平鑫龙港饲料有限公司扣款说明</t>
  </si>
  <si>
    <t>我司与武平鑫龙港饲料有限公司于2025年05月09日签署生效的《粮食销售合同》（合同编号：JZXYMFJZZ250006)，合同数量220吨，合同单价2420元/吨，截止至2025年05月18日，该合同累计提货221.905吨，检测容重未达标，合计扣款1071.40元，整批次提货221.905吨，折单吨扣款4.83元/吨</t>
  </si>
  <si>
    <t>JZXYMFJZZ250004-lxd01</t>
  </si>
  <si>
    <t>福建省龙岩市华龙饲料有限公司</t>
  </si>
  <si>
    <t>玉米出险对应扣款</t>
  </si>
  <si>
    <t>JZXYMFJZZ250004</t>
  </si>
  <si>
    <t>YMFJZZ250152-lxd01</t>
  </si>
  <si>
    <t>双胞胎（集团）股份有限公司</t>
  </si>
  <si>
    <t>呕吐毒素超标</t>
  </si>
  <si>
    <t>YMFJZZ250152</t>
  </si>
  <si>
    <t>YMFJZZ250142-lxd01</t>
  </si>
  <si>
    <t>漳州温氏农牧有限公司</t>
  </si>
  <si>
    <t>杂质超标</t>
  </si>
  <si>
    <t>YMFJZZ250142</t>
  </si>
  <si>
    <t>YMFJZZ250173-lxd01</t>
  </si>
  <si>
    <t>正大原料供应有限公司</t>
  </si>
  <si>
    <t>杂质和破碎超标</t>
  </si>
  <si>
    <t>YMFJZZ250173</t>
  </si>
  <si>
    <t>YMFJZZ250130-lxd01</t>
  </si>
  <si>
    <t>漳州海大饲料有限公司</t>
  </si>
  <si>
    <t>YMFJZZ250130</t>
  </si>
  <si>
    <t>YHSZFJ250613XMX0001-lxd01</t>
  </si>
  <si>
    <t>四川新希望贸易有限公司</t>
  </si>
  <si>
    <t>容重不达标</t>
  </si>
  <si>
    <t>YHSZFJ250613XMX0001</t>
  </si>
  <si>
    <t>YMZSJJY250170</t>
  </si>
  <si>
    <t>丰顺县海新饲料有限公司</t>
  </si>
  <si>
    <t>丰顺县海新饲料有限公司，2025年11月12日签订《粮食销售合同(赊销)》(合同编号:YMZSJJY250170)，数量 500 吨，单价 2320 元/吨，该合同已累计交货 496吨，(其中 11月 20日3 车车号:赣 C5615D，重量 31.7吨，车号:粤 V05263,重量 33.77 吨，车号:粤 VN1708，重量 34.84吨，合计:100.31 吨)到货玉米经检验杂质 1.2%杂质和破碎粒超出合同约定指标(杂质≤1%),不符合客户接受指标。针对该批次到厂不合格玉米，经双方友好协商处理后，退货转扣款接收。经双方友好协商处理后，退货转扣款接收，合计扣款 1003.1元 折合10元/吨。</t>
  </si>
  <si>
    <t>恒通达/2529、锦航力鹏/2528</t>
  </si>
  <si>
    <t>蚁毓霖</t>
  </si>
  <si>
    <t>YMZSIIY250177</t>
  </si>
  <si>
    <t>丰顺县海新饲料有限公司,于2025年11月20日签订《粮食销售合同》(合同编号:YMZSIIY250177)，数量 500 吨，单价 2340 元/吨,该合同已累计交货 495.46吨，(其中12月2日4车车号:粤 BGT302,重量 34.97 吨，车号:赣C4M573，重量 36.5吨，车号:粤D28948，重量 38.6吨，车号:赣C7N367,重量 43.52 吨合计:153.59 吨)到货玉米经检验杂质 1.2%杂质和破碎粒超出合同约定指标(杂质≤19)，不符合客户接受指标。针对该批次到厂不合格玉米，经双方友好协商处理后，退货转扣款接收。</t>
  </si>
  <si>
    <t>鑫顺弘盛/2537</t>
  </si>
  <si>
    <t xml:space="preserve"> JZXYMZSJJM25047 玉米扣款—保险</t>
  </si>
  <si>
    <t>广东粮品农产品经验有限公司</t>
  </si>
  <si>
    <t>经双方友好协商处理后，退货转扣款接收，合计扣款 1535.9元 折合10 元/吨。</t>
  </si>
  <si>
    <t>包装破损、水湿、短重等</t>
  </si>
  <si>
    <t>箱子进水</t>
  </si>
  <si>
    <t>JZXYMZSJJM25047</t>
  </si>
  <si>
    <t>汤妮</t>
  </si>
  <si>
    <t xml:space="preserve"> JZXYMZSJJM25047 玉米扣款</t>
  </si>
  <si>
    <t>广东粮品农产品经验有限公司，于2025 年9月25 日签订的《粮食销售合同》合同编号:JZXYMZSJJM25047)合同数量 351 吨,合同单价 2460 元/吨，计划号 YHSZ-25-072128，运单号 AYWWCRX250607901A，共13 柜，截止到9月 29 日该合同下货物已提货完毕。其中 6柜玉米分别存在霉变和生虫的现象:
(1)TAHU1162503和ATHU1046083，26.73和7.78，霉变超标，扣款 50 元/吨                                        (2)ATHU1046083、ATHU1265939、ATHU1303556、ATHU1246651和ATHU1103202卸重分别为 26.86、26.85、26.9和 27.21，存在生虫现象，扣款 50 元/吨合计扣款金额为:7965.9元。</t>
  </si>
  <si>
    <t>YMZSJQY250219</t>
  </si>
  <si>
    <t>广东泰德饲料有限公司扣款</t>
  </si>
  <si>
    <t>广东泰德饲料有限公司于11月12日签订国产内贸合同(合同号YMZSJQY250219，合同量1000 吨，单价 2320 元/吨)，该合同为吉林经营部与我司珠三角经营部协同发往英德站的保1000 毒素玉米，客户于 11月19 日开始提货其中，有6车玉米呕吐毒素超出合同第二条:质量标准中:呕吐毒素&lt;1000ug/kg的约定，具体明细如下:经过双方友好协商，决定对该批次不合格的玉米进行扣款处理，经沟通，毒素超示的部分扣款一共 5451.6 元由上游吉林经营部承担。</t>
  </si>
  <si>
    <t>吉林经营部发运</t>
  </si>
  <si>
    <t>董典昊</t>
  </si>
  <si>
    <t>YMZSJQY250205</t>
  </si>
  <si>
    <t>郴州大北农饲料有限公司扣款</t>
  </si>
  <si>
    <t>郴州大北农饲料科技有限公司于 11月11日签订国产内贸合同(合同号YMZSJQY250205，合同量 800 吨，单价 2250 元/吨)，客户于 11月21 日开始提货我司麻涌港:国家能源 610/2511 轮玉米，现有部分玉米到厂后，出现杂质超标情况，明细如下:除湘 LB8781 提货杂质为 1.19%扣款 10 元/吨外，其余车辆杂质综合达到2.21%，该合同第二条质量标准约定:杂质≤1.0%，经过双方友好协商，决定对该批次不合格的玉米进行扣款处理，请领导审批。经沟通，该批次货物扣款共计:6649元。</t>
  </si>
  <si>
    <t>国家能源 610/2511</t>
  </si>
  <si>
    <t>YMZSJQY250179</t>
  </si>
  <si>
    <t>英德天农饲料有限公司扣款</t>
  </si>
  <si>
    <t>英德天农饲料有限公司，2025 年11月15日签订的《粮食销售合同》(合同编号:YMZSJQY250179)合同数量 1000 吨，合同单价 2310 元/吨，根据签订的《粮食销售合同》第二条款约定的质量标准，交付的玉米标准应当符合如下约定:“容重2685g儿L，水分≤15.0%，杂质≤1.0%，霉变粒≤2.0%，呕吐毒素≤1000ug/kg，”。客户提货我司从北方发运散改基玉米，2025年11月16日至24日到厂柜号:5588171、0809541、330766、6457540、0733826，共受委托承运供方玉米 120.01 吨，合同单价 2310 元/吨，到需方英德天农工厂，经品管技术部门抽样不达合同约定标准，经供需双方友好协商，需方同意2车玉米折价收货。其中 5588171、0809541柜毒素超标:1493.99、1147.01，双方友好协商折价 30元/吨，结算即 2280 元/吨为准;330766柜毒素超标:1081.93，双方友好协商折价5元/吨，结算即 2305 元/吨为准;6457540、0733826柜毒素超标:1066.21、1024.4，双方友好协商折价5元/吨，结算即 2305 元/吨为准。合计扣款1344.8元</t>
  </si>
  <si>
    <t>JCYMZSJQY250029-1</t>
  </si>
  <si>
    <t>关于安佑集团结算扣价</t>
  </si>
  <si>
    <t>苏州穗满德国际贸易有限公司，2025年11月13日签订的《粮食销售合同》(合同编号:JCYMZSJQY250029-1)合同数量1500吨，合同单价2302元/吨，提货新沙港国远86、中瑞祥79，三车到厂检测霉变为2.5%超出合同约定的标准，合计98.38吨，申请每吨扣款20元，扣款20元*98.38吨=1967.6元。</t>
  </si>
  <si>
    <t>国远86、中瑞祥79</t>
  </si>
  <si>
    <t>YMYXMM250768</t>
  </si>
  <si>
    <t>双胞胎（集团）股份有限公司扣款</t>
  </si>
  <si>
    <t>客户在对应外采船“锦富航 69/2530”轮提货过程中，反馈 706.74 吨玉米感官有黑粒，霉变超标，存在质量不合格问题，经饲料厂人员取样检测并复查，霉变达 2.3%，合同约定质量标准：霉变粒≤2%，不符合合同规定。经我部与客
户多次协商，秉承长期友好合同原则，共申请扣款 14134.8 元，单吨扣款 20 元/吨</t>
  </si>
  <si>
    <t>锦富航 69/2530</t>
  </si>
  <si>
    <t>余诗莹</t>
  </si>
  <si>
    <t>关于JZXYMZSJJM25048玉米扣款</t>
  </si>
  <si>
    <t>鹤山市广顺饲料有限公司</t>
  </si>
  <si>
    <t>鹤山市广顺饲料有限公司，于 2025 年 09 月 28 日签订的《粮食销售合同》合同编号:JZXYMZSJJM25048)合同数量 150 吨,合同单价 2400 元/吨，计划号JZXYMSZCG250076 和YHSZ-25-072128，运单号Q085591683和AYWWCRX250607901A，共6柜，截止到 10月 3日该合同下货物已提货完毕。
1、柜号 XYLU1060398，卸厂数 26.42 吨，水湿发霉，发热结块严重，价格按 1700 元/吨结算，已报保险，保险承担8800元。
2、柜号 00CU0908616和 ATHU1168857,卸厂数分别为 26.403和 9.9(半柜)，发热发霉价格按 2330 元/吨结算，其中00CU0908616已报保险，保险承担9920元。合计扣款金额为:18494+2541.21=21035.21元，已报保险，保险承担18720元.</t>
  </si>
  <si>
    <t>JZXYMZSJJM25048</t>
  </si>
  <si>
    <t>YMYXYJ250166</t>
  </si>
  <si>
    <t>阳江双胞胎饲料有限公司</t>
  </si>
  <si>
    <t>我司于2025年9月18日与阳江双胞胎饲料有限公司签订了玉米内贸合同YMYXYJ250166，签订主体为中粮贸易（深圳）有限公司。合同总量为1000吨，单价为2440元/吨，实际执行量为949.18吨。具体提货情况如下：在锦航万盛/2522船上提货473.68吨，在鑫晟奋发/2523船上提货475.50吨。合同约定标准：呕吐毒素含量不得超过1000PPB。
在2025年9月21日至2025年10月9日期间，客户提取了一批玉米（猪料），经检测，呕吐毒素含量在1131至1452之间，不符合合同约定的标准。考虑到双方后期的长期友好合作，对该批货物进行20元/吨的折价处理，总计折价金额为18938.6元。此次扣款已从预留的20000元中扣除。</t>
  </si>
  <si>
    <t>鑫晟奋发/2523、锦航万盛/2522</t>
  </si>
  <si>
    <t>刘佳莹</t>
  </si>
  <si>
    <t>茂名海航 YMYXMM250260 质量扣款的情况说明</t>
  </si>
  <si>
    <t>茂名海航饲料有限公司</t>
  </si>
  <si>
    <t>在外采大船“天台 19/2518”轮提货过程中，160.05 吨存在有异常发热、有霉味、杂质超标的质量问题，杂
质达 3.7%，不符合同规定。经我司业务人员核实，检测结果确实存在。秉承长期友好合同原则，经我部与客
户多次友好协商后，做扣价 30 元/吨处理，申请扣款金额合计 4801.5 元，该船质量问题已报备饲料原料部。
由于该合同已经结算，申请在 YMYXMM250747 做抵扣</t>
  </si>
  <si>
    <t>天台 19/2518</t>
  </si>
  <si>
    <t>YMYXMM250260</t>
  </si>
  <si>
    <t>YMFJFZ250147</t>
  </si>
  <si>
    <t>兹有我司与双胞胎（集团）股份有限公司签订《粮食销售合同》（合同号：YMFJFZ250147）合同数量1000吨，单价2310元/吨，合同约定呕吐毒素≤1000ppb。该合同实际接货1019.74吨，在提货过程中,出现部分车次呕吐毒素超标问题,扣款金额为 5264.4元,折合5.16元/吨。该批次提货对应军航码头散船瑞生16/2528轮（挑选出货），该批次销售为双胞胎集团下属工厂屏南双胞胎饲料有限公司，为首次开发工厂，客户扣款已在后续合同中以保毒素玉米价格加价给我司（YMFJFZ250188合同，1000吨，2425元/吨，加价16元/吨）。</t>
  </si>
  <si>
    <t>YMFJZZ250287</t>
  </si>
  <si>
    <t>福建湘大骆驼饲料有限公司</t>
  </si>
  <si>
    <t>JZXYMGXXJ250067</t>
  </si>
  <si>
    <t>广西南宁央卓粮食贸易有限公司</t>
  </si>
  <si>
    <t>客户名：广西南宁央卓粮食贸易有限公司,合同号：JZXYMGXXJ250067,单价：2275元/吨，签订指标：容重
≥710g/l，水分≤14.5%，霉变≤2%，热损≤1%，杂质≤1%，不完善≤8%，呕吐毒素≤1000ppb，计划号：
YHSZ-25-092334，运单号：AWKTRTT250772047、APSFCQC250784002，11月14日开始提货，在交货时，
下反馈毒素超标，经我放人员核实并重新取样邮寄至北良华正检测（检测结果如附件），客户反馈共计16柜（444.08吨）毒素超标，每吨扣款60元/吨，经我部与客户多次友好协商后，对其中14
柜（389.55吨）做扣价 20 元/吨处理，即本合同扣款389.55吨*20元/吨=7791元，</t>
  </si>
  <si>
    <t>朱雪语</t>
  </si>
  <si>
    <t>YHYMGXXS250904003</t>
  </si>
  <si>
    <t>9月13</t>
  </si>
  <si>
    <t>广西柳州桂柳牧业有限公司</t>
  </si>
  <si>
    <t>合同号：YHYMGXXS250904003，客户名：广西柳州桂柳牧业有限公司，合同数量：700吨，单价：2390元/
吨 , 提货数量：692.22吨，该批粮源为扬翔退货货源，在发运时，船运已反馈杂质大、破碎高，到达白沙港
时，我部人员朱雪语，现场检查，情况属实，并伴有发霉发热现场。退回白沙库（提珠三角“国远705”船，驳
船名：贵港兴泰82）另行销售，在销售时按照市场行情正价销售，于9月5日-9月13日陆续提货，到厂收货时，客
户反馈其中472.15吨出现发霉，发热等现象，客户提出该部分每吨扣款60元接收，经过跟客户友好协商，每吨按
照30元进行扣款让步接收，即472.15元*30元/吨=14,164.5元</t>
  </si>
  <si>
    <t>国远705</t>
  </si>
  <si>
    <t>YMZSJDG250122</t>
  </si>
  <si>
    <t>广州顺泽粮食贸易有限公司</t>
  </si>
  <si>
    <t>一体化计划号:YHSZ-25-062402，YHSZ-25-062403，YHSZ-25-062404共销售广州顺泽粮食贸易有限公司115 柜，2025年7月11日签订的《粮食销售合同》(合同编号:YMZSJDG250122)合同数量 3000吨，合同单价 2440 元/吨，结算数量 3054.678 吨。该合同交货过程中 102 柜质量问题产生扣款合计扣款91846.45 元:
其中 82 柜发热有霉味扣款 30 元/吨让步降价处理;1柜发热发霉结块扣款 80 元/吨让步接收，1 柜箱内有垃圾，水湿结块，扣款 40 元/吨降价处理,1柜发热发霉,有虫扣款 60 元/吨让步接收,1柜容重 702ppb复测 696ppb,不达标扣款 10 元/吨，1柜容重 695ppb 不达标扣款 20 元/吨。</t>
  </si>
  <si>
    <t>发霉发热</t>
  </si>
  <si>
    <t>天隆河/299S、延展228/043S、昌盛集 9/047S</t>
  </si>
  <si>
    <t>林佳琦</t>
  </si>
  <si>
    <t>关于南宁海大杂质超标扣款</t>
  </si>
  <si>
    <t>在珠三角提货，因交货为筒仓货物，交货时均为筒仓底部货物，杂质偏大</t>
  </si>
  <si>
    <t>东星海泰/077</t>
  </si>
  <si>
    <t>/YMGXQZ250275/YMGXQZ250276</t>
  </si>
  <si>
    <t>宁昕</t>
  </si>
  <si>
    <t>YHYMZSJXS251113002</t>
  </si>
  <si>
    <t>该合同交货过程中1柜箱号:OOLU2987138 箱底未干0.3 吨粘底卸不下来客户折价 1732 元/吨，扣款 519.6 元让步接收</t>
  </si>
  <si>
    <t>质量问题（水湿粘底）</t>
  </si>
  <si>
    <t>TIAN XIU HE 340S</t>
  </si>
  <si>
    <t>YMYXMM250558</t>
  </si>
  <si>
    <t>关于潘钟明、余剑玲、黄东宇、林雪清、许忠炯、广东双谷、双胞胎陈粮合同折价的情况说明</t>
  </si>
  <si>
    <t>因无陈粮库存交货，经多次反复沟通协商，以下打包厂、饲料厂陈粮合同剩余未提量在”佳升56/2521“、“锦江河/2519”、“海腾炜业6/2508”、“锦江河/2521”、“利泰朝阳/2524”新船执行，申请在新船执行量折价30元/吨，以下为具体明细</t>
  </si>
  <si>
    <t>佳升56/2521</t>
  </si>
  <si>
    <t>YMYXMM250554</t>
  </si>
  <si>
    <t>YMYXMM250602</t>
  </si>
  <si>
    <t>佳升56/2521、锦江河/2519、海腾炜业6/2508、锦江河/2521、利泰朝阳/2524</t>
  </si>
  <si>
    <t>YMYXMM250553</t>
  </si>
  <si>
    <t>佳升56/2521、锦江河/2519</t>
  </si>
  <si>
    <t>YMYXMM250596</t>
  </si>
  <si>
    <t>锦江河/2519</t>
  </si>
  <si>
    <t>YMYXMM250582</t>
  </si>
  <si>
    <t>YMYXMM250569</t>
  </si>
  <si>
    <t>YMYXMM250564</t>
  </si>
  <si>
    <t>YMYXMM250576</t>
  </si>
  <si>
    <t>YMYXMM250507</t>
  </si>
  <si>
    <t>利泰朝阳/2524</t>
  </si>
  <si>
    <t>YMLDW251027018</t>
  </si>
  <si>
    <t>关于福建省南平市悠农饲料有限公司商务扣款的申请</t>
  </si>
  <si>
    <t>2025年10月27日我司与福建省南平市悠农饲料有限公司签订《粮食销售合同》(合同编号:YMLDW251027018)，数量1500吨，单价2260元/吨，该票集装箱计划号:YHSZ-25-092308-1、YHSZ-25-092308-2沈阳鑫封缘发至漳州港，合计11个柜，10月31日到港，11月13日提货反馈水分超标，箱内玉米发热，大面积结块，底下一层全部发黑发霉结块，福建经营部销售人员严代亮、沈业润第一时间到厂核实后将情况上报集装箱小组并已在质量反馈表上填报。经过友好协商，客户同意接货做扣款处理，该三组10柜数量为303.82吨，按照单吨扣款100元/吨，合计扣款30382元(附上客户商函及工厂收货现场照片)。</t>
  </si>
  <si>
    <t>集装箱</t>
  </si>
  <si>
    <t>严代亮</t>
  </si>
  <si>
    <t>JZXYMFJZZ250045</t>
  </si>
  <si>
    <t>关于永安鑫华港饲料有限公司商务扣款的申请</t>
  </si>
  <si>
    <t>2025年10月20日我司与永安鑫华港饲料有限公司签订《粮食销售合同》(合同编号:JZXYMFJZZ250045)，数量685吨，单价2285元/吨，该票集装箱计划号:YHSZ-25-092307沈阳福满仓库发至漳州港，提单号:2G25098728090F，号:ZGXU2534719，该柜10月16日到港，10月27日提货反馈水分超标，发热有异味，经过友好协商，客户同意接货做扣款处理，该柜数量为28.37吨，按照单吨扣款50元/吨，合计扣款1418.5元(附上客户检验报告及扣款函)</t>
  </si>
  <si>
    <t>YMYXMM250594</t>
  </si>
  <si>
    <t>沈业润</t>
  </si>
  <si>
    <t>关于广东域强YMYXMM250594陈粮合同折价的情况说明</t>
  </si>
  <si>
    <t>广东域强粮油贸易有限公司YMYXMM250594，签订日期2025年10月15日，合同量2410元，单价2410元。该合同为陈粮合同，共提货1952.44吨。因无陈粮库存交货，经多次反复沟通协商，分别在”佳升56/2521“新船执行1863.78吨，在”锦江河/2521“新船执行88.66吨，现申请在新船执行量折价50元/吨，折价金额为97622元。</t>
  </si>
  <si>
    <t>YMFJFZ250174</t>
  </si>
  <si>
    <t>11-14-22</t>
  </si>
  <si>
    <t>兹有我司与双胞胎（集团）股份有限公司签订《粮食销售合同》（合同号：YMFJFZ250174）合同数量2000吨，单价2335元/吨，合同约定呕吐毒素≤1000ppb。该合同实际执行2007.92吨，在提货过程中,出现部分车次呕吐毒素超标问题,该合同扣款金额为9919.4元,折合扣款4.94元/吨。该批次提货对应军航码头散船弘泰612/2524、华源盛/2529（挑选出货），该批次销售为双胞胎集团下属工厂屏南双胞胎饲料有限公司，为首次开发工厂，客户扣款已在后续合同中以保毒素玉米价格加价给我司（YMFJFZ250188合同，1000吨，2425元/吨，加价16元/吨）</t>
  </si>
  <si>
    <t>YMHN250282</t>
  </si>
  <si>
    <t>河南牧原粮食贸易有限公司扣款说明</t>
  </si>
  <si>
    <t>我司与河南牧原粮食贸易有限公司于2025年11月3日签订的《粮食销售合同》（合同号： YMHN250282），合同数量285吨，合同单价2390元/吨（送到厂价）。截止目前到厂数量500吨，合同单价2330元/吨（送到厂价），合同约定水分≤15%。截止目前到货数量486.28吨，执行完毕。该合同货物在接卸过程中发现一车货物水分15.3%，不符合合同约定标准。此车玉米到厂数量32.32吨，经双方友好协商，此车玉米按5元/吨进行扣价接收，合计扣款¥161.6元。</t>
  </si>
  <si>
    <t>益嘉98/2528</t>
  </si>
  <si>
    <t xml:space="preserve"> YMHN250282</t>
  </si>
  <si>
    <t>范闻超</t>
  </si>
  <si>
    <t>YMFJZZ250298</t>
  </si>
  <si>
    <t>有关漳州大北农农牧科技有限公司玉米商务扣款事项</t>
  </si>
  <si>
    <t xml:space="preserve"> 我司与漳州大北农农牧科技有限公司于2025年11月19日签订《粮食销售合同（赊销）》（合同编号：YMFJZZ250298），数量1500吨，单价2350元/吨。该合同已累计提1300.32吨，客户于2025年11月月25日至11月26提货的提货玉米合计223.08吨，到货后检测出呕吐毒素超标、杂质的的情况，因我司与客户合同约定指标呕吐毒素指标≤1000ug/kg，杂质≤1.0%，经与工厂、物流等人员确认事实属实，经双方友好协商，该批次货物由退货转扣款接收。以上情况产生扣款5872.50元。</t>
  </si>
  <si>
    <t>三水809/2525</t>
  </si>
  <si>
    <t>YMFJFZ250114</t>
  </si>
  <si>
    <t>有关正大原料供应有限公司玉米商务扣款事项</t>
  </si>
  <si>
    <t>我司与正大原料供应有限公司于 2025 年8月27日签订《粮食销售合同》（合同编号：YMFJFZ250114 ），数量 500 吨，单价2400元/吨，合同约定杂质≤1%，不完善粒≤8%，呕吐毒素≤1000ug/kg。 客户于9月底前多次检测陈粮玉米利福开拓/2525轮上货物，但玉米毒素超过1500ug/kg，工厂无法使用，原计划交付正大的玉米我司改过筛对圣农集团玉米合同进行交付（交付JZXYMFJFZ250036合同，单价2600元/吨到厂，折算军航码头价格2500元/吨）。
 对于正大集团因我司无法按时交付满足质量标准的货物，9月末与10月初市场持续跌价约150元/吨，客户计划取消该合同。后经双方友好协商，我司换新产季玉米于10月底开始交付，客户延期执行上述销售合同，客户预计对该合同换新产季玉米接收预计折价60元/吨，该合同折单价2340元/吨。
 客户于2025年11月3日-11月19日提货的477.09吨玉米存在部分毒素超过1000ug/kg，杂质超标、破损较大的问题，存在品质扣款9,951.25元，折单吨20.8元/吨。所提货物匹配船：海百15/2523。
经双方多次沟通，客户对该批次货物进行折价接收，以上情况合计产生扣款38576.65元（大写：人民币叁万捌仟伍佰柒拾陆元陆角伍分）.该合同累计提货477.09吨，折单吨扣80.8元/吨。该合同我司为转新玉米对客户的合同进行交付,对于毒素扣款我司在前期销售时已加30元/吨，可覆盖品质扣款。
     以上扣款是否可行，烦请领导批示，谢谢。</t>
  </si>
  <si>
    <t>其他原因</t>
  </si>
  <si>
    <t>海百15/2523</t>
  </si>
  <si>
    <t>杜宜衡</t>
  </si>
  <si>
    <t>YMFJZZ250273</t>
  </si>
  <si>
    <t>我司与正大原料供应有限公司于 2025 年11月3日签订《粮食销售合同》（合同编号：YMFJZZ250273），数量 500 吨，单价2250元/吨。该合同已累计提505.74吨，客户2025年11月20日-11月26日接收的505.74吨玉米存在杂质超标、破损较大的问题。所提货物匹配船：宁兴18/2525。
     经双方友好协商，正大对该批次货物进行折价接收，以上情况合计产生扣款5240.75元（大写：人民币伍仟贰佰肆拾元柒角伍分），该批次累计提货505.74吨，合计折单吨扣款10.36元/吨。该合同销售时已加价10元/吨。
     以上扣款是否可行，烦请领导批示，谢谢。</t>
  </si>
  <si>
    <t>宁兴18/2525</t>
  </si>
  <si>
    <t>有关福建湘大骆驼饲料有限公司玉米商务扣款事项</t>
  </si>
  <si>
    <t>我司与福建湘大骆驼饲料有限公司于 2025 年9月22日签订《粮食销售合同》（合同编号：YMFJZZ250287），数量 300 吨，单价2310元/吨。
客户2025年11月22日-11月23日接收的196.3吨玉米客户检测杂质偏大（杂质检测在1.1%-1.8%），部分车辆杂质超标,与客户多次进行协商后，客户扣款2224.53元接收，所提货物匹配船：宁兴18/2525。该合同累计提货295.02吨，折合单吨扣款7.5元/吨。
     福建湘大骆驼饲料有限公司对该批次货物进行折价接收，以上情况合计产生扣款2224.53元（大写：人民币贰仟贰佰贰拾肆元伍角叁分）。该合同签订
     以上扣款是否可行，烦请领导批示，谢谢。</t>
  </si>
  <si>
    <t>JZXYMFJFZ250080</t>
  </si>
  <si>
    <t>有关三明市丰源饲料有限公司玉米商务扣款事项</t>
  </si>
  <si>
    <t>我司与三明市丰源饲料有限公司于 2025 年10月22日签订《粮食销售合同》（合同编号：JZXYMFJFZ250080），数量 500 吨，单价2260元/吨。该合同已累计提货490.35吨，客户2025年10月25日-10月30日接收的102.52吨集装箱货物，因新玉米水分不稳定，到货存在发热情况，扣款60元/吨。
经双方友好协商，三明市丰源饲料有限公司对该批次货物进行折价接收，以上情况合计产生扣款6151.2元（大写：人民币陆仟壹佰伍拾壹元贰角），该批次累计提货490.35吨，合计折单吨扣款12.55元/吨。
     以上扣款是否可行，烦请领导批示，谢谢。</t>
  </si>
  <si>
    <t>CSNU2898120
CSNU2889900
CSNU2906530
CSNU2821983
CSNU2806994</t>
  </si>
  <si>
    <t>JZXYMFJFZ250074</t>
  </si>
  <si>
    <t>有关福建省金同星汇贸易有限公司玉米商务扣款事项</t>
  </si>
  <si>
    <t>我司与福建省金同星汇贸易有限公司于 2025 年10月12日签订《粮食销售合同》（合同编号：JZXYMFJFZ250074），数量210吨，单价2345元/吨。该合同已累计提货209.155吨，客户2025年10月22日接收的集装箱CSNU2904028、CSNU2895414，因新玉米水分不稳定，到货存在发热情况，客户扣款接收。所提集装箱计划号：YHSZ-25-092310，禹泰库。该批集装箱10月18日到货。
经双方友好协商，福建省金同星汇贸易有限公司对该批次货物进行折价接收，以上情况合计产生扣款2,030.00 元（大写：人民币贰仟零叁拾），该批次累计提货209.155吨，合计折单吨扣款10元/吨。我司与客户签订该合同时间，已对比同期指导价格加价40元/吨进行销售，同时对后续批次交货进行挑选后出货，可覆盖扣款。</t>
  </si>
  <si>
    <t>CSNU2904028、CSNU2895414</t>
  </si>
  <si>
    <t>YMZSJQY250105</t>
  </si>
  <si>
    <t>关于安徽正康饲料有限责任公司扣款的说明</t>
  </si>
  <si>
    <t>我司与安徽正康饲料有限责任公司于 2025 年6月26 日签订的《粮食销售合同》合同号 YMZSJQY250105，单价 2555 元/吨，数量 2000 吨，客户提货我司库存前移驳船:粤海 36 轮货物(该船清仓我司弘泰 819 货物1069.982吨+京粮/250115合同货物 209.72吨，装货时已出现粉尘较大、霉变现象，后续出现发热情况)，共计库存前移 1279.702吨，客户于8月 26 日开始提货到厂 299.94 吨,反馈提货时出现大量粉尘。于 2025年8月31 日开始到货共计 299.86 吨，到厂后发现该船玉米有出现大量的粉尘杂质，玉米都被淹没在粉尘杂质里，碎粒、粉尘占比达5.75%，同时经过测验:呕吐毒素测试分别为1231.04，1837.26，不符合客户合同签订指标中质量验收标准，我司销售人员9月去现场查看后，确认情况属实，后经过销售与客户沟通,又于9月 16 日协助我司提货 99.82 吨共计三车货物。粤海 36 轮剩余货物 350.92吨由于质量较差无法使用，为避免货物质量进一步受损，销售给韶关市源饲料有限公司(价格:2270 元/吨)，经过销售与客户沟通，客户原计划扣款100元/吨，现经过双方友好协商，客户共计提货699.62吨，申请对8月26日开始提货到厂的299.94吨扣款 40元/吨，对8月31 日和9月 16 日提货的玉米共计 399.68 吨，进行扣款 70 元/吨，共计扣款 299.94*40+399.68*70=39975.2元。请领导批示</t>
  </si>
  <si>
    <t>弘泰819</t>
  </si>
  <si>
    <t>YMZSJDGJZX250422</t>
  </si>
  <si>
    <t>关于YMZSJDGJZX250422合同扣款说明</t>
  </si>
  <si>
    <t>我司与 中山市福大生物科技有限公司 于2025年 11月28日签署的粮食销售合同：YMZSJDGJZX250422（合同量：382吨，单价：2420元/吨）；客户提货到厂检测出现6个柜子出现容重低、毒素超标、水分超标情况（运单号：JZ21JZLX1454F7），对于该6个柜子扣款15元/吨处理，合计162.66吨*15元/吨=2439.9元；</t>
  </si>
  <si>
    <t>JZ21JZLX1454F7</t>
  </si>
  <si>
    <t>YMZSJDKHLY250180</t>
  </si>
  <si>
    <t>关于贵州漓源饲料有限公司YMZSJDKHLY250180扣款的请示</t>
  </si>
  <si>
    <t>我司于2025年11月6日与贵州漓源饲料有限公司签订内贸玉米合同，编号YMZSJDKHLY250180，数量1000吨，单价2240元/吨。
客户于南沙港东星海泰/077灌箱提货，提单号NSDXHT7725009，因工厂检测杂质偏高，综合平均杂质约2.99%。因对客户成品以及口碑造成影响，扣价15元/吨，需扣价:997.544*15=14963.16元。</t>
  </si>
  <si>
    <t>李长聪</t>
  </si>
  <si>
    <t>YMZSJDKHWS250037</t>
  </si>
  <si>
    <t>温氏集团扣款情况说明</t>
  </si>
  <si>
    <t>2025年11月24日 我司与  信丰温氏畜牧有限公司  签订内贸玉米合同，协议号：YMZSJDKHWS250037，数量1500吨，单价2360元/吨。客户提麻涌港 东星海泰/078货物，报161.76吨货物赤霉烯酮（250ppb）超标，单吨扣价10元，合计扣款1617.6元。</t>
  </si>
  <si>
    <t>东星海泰/078</t>
  </si>
  <si>
    <t>凌梓峰</t>
  </si>
  <si>
    <t>YMZSJDKHWS250025-3</t>
  </si>
  <si>
    <t>2025年11月13日我司与   富川广东温氏畜牧有限公司  签订内贸玉米转让协议，合同号：YMZSJDKHWS250025-3 ，数量1000 吨，单价2290元/吨。客户提麻涌港 东星海泰/078，报189.68吨货物赤霉烯酮( 290 ppb)超标，属于折价接收范围，单吨扣价10元，合计扣款1896.8元。</t>
  </si>
  <si>
    <t>YMZSJDKHWS250025-2</t>
  </si>
  <si>
    <t>2025年11月12日我司与  河源市温氏禽畜有限公司  签订内贸玉米转让协议，协议号：YMZSJDKHWS250025-2，数量1000吨，单价2290元/吨。客户提麻涌港 东星海泰/078货物，报29.2吨货物杂质（ 3.34 ）超标，属于折价接收范围，单吨扣价10元，合计扣款292元。</t>
  </si>
  <si>
    <t>YMZSJDKHWS250030</t>
  </si>
  <si>
    <t>2025年11月13日 我司与  道县温氏畜牧有限公司  签订内贸玉米合同，合同号：YMZSJDKHWS250030 ，数量2500吨，单价2305元/吨。客户提麻涌港 国家能源610/2511货物，报1154.2吨货物 杂质（2.07-13.07）超标，属于折价接收范围，单吨扣价10元，合计扣款11542元。</t>
  </si>
  <si>
    <t xml:space="preserve"> 国家能源610/2511</t>
  </si>
  <si>
    <t>YMZSJDKHWS250033</t>
  </si>
  <si>
    <t>2025年11月17日我司与  大余温氏畜牧有限公司  签订内贸玉米合同，协议号：YMZSJDKHWS250033，数量1000吨，单价2350元/吨。客户提麻涌港 国家能源610/2511货物，报549.32吨货物杂质（1.32%-1.67%）、呕吐毒素（2250-2440）和赤霉烯酮( 1734 ppb)超标，属于折价接收范围，单吨扣价15元，合计扣款8239.8元。</t>
  </si>
  <si>
    <t>国家能源610/2511</t>
  </si>
  <si>
    <t>YMYXMM250391</t>
  </si>
  <si>
    <t>关于茂名响亮 YMYXMM250391 质量扣款的情况说明</t>
  </si>
  <si>
    <t>茂名响亮饲料有限公司 YMYXMM250391（合同量 3000 吨，单价 2406 元），合同约定呕吐毒素≤
1000ug/kg。该合同执行 3005.77 吨，在中心不保毒大船“鑫海城 1/2516”轮提货过程中，252.01 吨存在
毒素超标的质量问题，在 1025-1574ppb 之间，不符合同规定。经我司业务人员核实，检测结果确实存在。
秉承长期友好合同原则，经我部与客户多次友好协商后，做扣价 30 元/吨处理，申请扣款金额合计 7560.3
元。该扣款情况已报备饲料原料部。已在 YMYXMM250391 合同成交时预留 30 元/吨溢价处理质量扣款，
预留价差可覆盖扣款。由于该合同已经结算完毕，申请在 JZXYMYXMM250507 合同抵扣扣款</t>
  </si>
  <si>
    <t>鑫海城 1/2516</t>
  </si>
  <si>
    <t>YMYXMM250392</t>
  </si>
  <si>
    <t>关于茂名金源 YMYXMM250392 质量扣款的情况说明</t>
  </si>
  <si>
    <t>茂名金源生物科技有限公司 YMYXMM250392（合同量 2000 吨，单价 2409 元），合同约定呕吐毒素
≤1000ug/kg。该合同执行 1972.24 吨，安排在中心大船“鑫海城 1/2516、远泰 99/2521”轮提货不保毒
素玉米，1754.02 吨存在毒素超标的质量问题，在 1012-1350ppb 之间，不符合同规定。经我司业务人员核
实，检测结果确实存在。秉承长期友好合同原则，经我部与客户多次友好协商后，做扣价 20 元/吨处理，申
请扣款金额合计 35080.4 元。该扣款情况已报备饲料原料部。已在 YMYXMM250392 合同成交时预留 20
元/吨溢价处理质量扣款，预留价差可覆盖扣款。由于该合同已经结算完毕，申请在 YMYXMM250778 合同
抵扣。</t>
  </si>
  <si>
    <t>鑫海城 1/2516、远泰 99/2521</t>
  </si>
  <si>
    <t>YMZSJJM25081</t>
  </si>
  <si>
    <t>关于YMZSJJM25081玉米杂质超标扣款费</t>
  </si>
  <si>
    <t>江门市旺海饲料实业有限公司，于2025 年 11 月24 日签订的《粮食销售合同（赊销）》合同编号:YMZSJJM25081)合同数量2000吨,合同单价2373元/吨，配送船只粤新会货 8093存在玉米杂质超标扣款费用：
船号粤新会货8093，卸船重量995.958吨，该批玉米验收过程时检测出杂质为3.34%,超出合同标准1.34%,江门市旺海饲料实业有限公司提出该船折价20元/吨让步接收处理，总计费用：995.958*20=19919.16元。</t>
  </si>
  <si>
    <t>东星海泰/076、东星海泰/078</t>
  </si>
  <si>
    <t>JZXYMFJFZ250075</t>
  </si>
  <si>
    <t>有关三明海大饲料有限公司玉米商务扣款事项</t>
  </si>
  <si>
    <t>我司与三明海大饲料有限公司于 2025 年10月20日签订《粮食销售合同》（合同编号：JZXYMFJFZ250075），数量500吨，单价2360元/吨。该合同已累计提498.07吨，客户2025年11月1日-2025年11月28日接收的167.16吨玉米存在水分超标发热、毒素超标等情况。所提货物匹配计划号：YHSZ-25-092324，宏泰源库；YHSZ-25-092311，禹泰库。
 经双方友好协商，三明海大饲料有限公司对该批次货物进行折价接收，以上情况合计产生扣款5133.43元（大写：人民币伍仟壹佰叁拾叁元肆角叁分），该批次累计提货498.07吨，折单吨扣款10.3元/吨，因合同签订保呕吐毒素，前期已加价15元/吨进行销售，可涵盖扣款损失.</t>
  </si>
  <si>
    <t>YHSZ-25-092324，宏泰源库；YHSZ-25-092311，禹泰库</t>
  </si>
  <si>
    <t>JZXYMFJFZ250072</t>
  </si>
  <si>
    <t>有关营口长源物流供应链管理有限公司玉米商务扣款事项</t>
  </si>
  <si>
    <t>我司与营口长源物流供应链管理有限公司于 2025 年10月13日签订《粮食销售合同》（合同编号：JZXYMFJFZ250072），数量 540吨，单价2300元/吨。合同约定杂质≤1%，不完善粒≤8%，呕吐毒素≤1000ug/kg。
客户于10月27日提货的集装箱经过水分检测均存在超15%的情况，部分集装箱有轻微发热的情况，根据检测结果，客户的对水分检测超15.5%的6柜集装箱，每吨扣款30元/吨接收，合计产生扣款4898.7元，折单吨扣款9元/吨。该批集装箱匹配计划号：YHSZ-25-092310，禹泰库。我司前期已对该批集装箱水分超标情况登记反馈。
因考虑到该客户为终端销售，该批次销售猪料客户，因此在销售时，已加价20元/吨进行销售，溢价可涵盖上述扣款损失。
以上扣款是否可行，烦请领导批示，谢谢。</t>
  </si>
  <si>
    <t>YHSZ-25-092310，禹泰库</t>
  </si>
  <si>
    <t>JCYMZSJDG25053-1</t>
  </si>
  <si>
    <t>关于播恩集团股份有限公司 JCYMZSJDG25053-1 扣款的请示</t>
  </si>
  <si>
    <t>客户于麻涌港东耀海泰提货，有一车（车号皖LD5749）32.40 吨玉米检测毒素不符合合同标准</t>
  </si>
  <si>
    <t>东耀海泰066</t>
  </si>
  <si>
    <r>
      <rPr>
        <sz val="14"/>
        <color rgb="FF000000"/>
        <rFont val="宋体"/>
        <charset val="134"/>
        <scheme val="minor"/>
      </rPr>
      <t>YMFJFZ250</t>
    </r>
    <r>
      <rPr>
        <sz val="14"/>
        <color rgb="FF000000"/>
        <rFont val="宋体"/>
        <charset val="134"/>
        <scheme val="minor"/>
      </rPr>
      <t>086</t>
    </r>
  </si>
  <si>
    <t>2025-8-14-9-14</t>
  </si>
  <si>
    <t>有关福建省邵武市华龙饲料有限公司玉米商务扣款事项</t>
  </si>
  <si>
    <t>我司与福建省邵武市华龙饲料有限公司于 2025 年7月14日签订《粮食销售合同》（合同编号：YMFJFZ250086），数量3000吨，单价2410元/吨。该合同累计提货3119.12吨，客户2025年8月14日-2025年9月13日接收的1084.11吨玉米，出现杂质及霉变超标情况，客户原诉求扣款51398.46元，经双方多次沟通后，客户同意扣款21584.2元（附客户扣款商函及照片），折合6.92元/吨。
     以上扣款，对应船舶昌晟隆/2523、明金2号/2523，是否可行，烦请领导批示，谢谢。</t>
  </si>
  <si>
    <t>昌晟隆/2523、明金2号/2523</t>
  </si>
  <si>
    <t>许开兴</t>
  </si>
  <si>
    <t>YMFJFZ250187</t>
  </si>
  <si>
    <t>11-24-29</t>
  </si>
  <si>
    <t>福清双胞胎饲料有限公司</t>
  </si>
  <si>
    <t>我司与福清双胞胎饲料有限公司于 2025 年11月18日签订《粮食销售合同》（合同编号：YMFJFZ250187），数量2000吨，单价2360元/吨。该合同已累计送货1918.48吨，累计接货1914.95吨，客户2025年11月24日-2025年11月29日接收的773.74吨玉米呕吐毒素超标，总计扣款20202.80元，折合10.55元/吨。对应船舶华源盛/2529。该客户原玉米，基本为北方自发到长乐，我部为推动福清双胞胎往军航码头提货，同时推动军航码头电车配送福清双胞胎业务。该单合作是近3年来内贸
玉米的首单合作，主要为双方再此合作磨合（品质、配送等），在销售时未加价销售。接货过程中，我司玉米出现了较大批次的呕吐毒素超标情况，工厂主要生产猪料，对品质要求较为严格，经双方多次友好协商，工厂进行扣款接货，该工厂后续合作，我部将充分考虑实际品质及工厂可能扣款情况，进行溢价销售，涵盖质量损失。
以上扣款是否可行，烦请领导批示，谢谢。</t>
  </si>
  <si>
    <t>华源盛/2529</t>
  </si>
  <si>
    <t>于2025年11月28日签订《粮食销售合同》(合同编号:YMZSJJY250186)，数量500吨，单价2410元/吨，该合同己累计交货499.49吨，(其中12月11日4车车号:C1715D，重量34.86吨车号:粤BGT302，重量35.49吨，车号:粤BFS784，重量35.87吨，车号:粤MA1287，重量39.53吨合计:145.75吨)到货玉米经检验杂质1.2%杂质和破碎粒超出合同约定指标(杂质≤1%),不符合客户接受指标针对该批次到厂不合格玉米，经双方友好协商处理后，退货转扣款接收</t>
  </si>
  <si>
    <t>杂质1.2%杂质和破碎粒超出合同约定指标</t>
  </si>
  <si>
    <t>YMZSJJY250186</t>
  </si>
  <si>
    <t>JCYMHN250088-1</t>
  </si>
  <si>
    <t>11-30-12-8</t>
  </si>
  <si>
    <t>海南省粮油产业有限公司</t>
  </si>
  <si>
    <t>我司与海南省粮油产业有限公司于2025年11月3日签订的《粮食销售合同》（合同号：JCYMHN250088-1），合同数量1500吨，合同单价2257元/吨，截止目前共计执行1487.7吨，执行完毕。该批货物在接卸过程中客户反水分及不完善粒超标等质量问题，我司现场人员范闻超和工厂品管人员共同抽样检测，检测结果事实存在，现场检测水分15.1-15.3%，不完善粒11.7-11.8%不等，合计数量1487.7吨。经双方友好协商，此批玉米按20元/吨进行扣价接收，合计扣款¥29754元。以上扣款具体执行航次为：2025年11月30日抵达马村港“益嘉9/2528”玉米轮执行430.12吨，8602.4元；2025年12月8日抵达马村港“炜业福星/2525”玉米轮执行1057.58吨，扣款21151.6元。</t>
  </si>
  <si>
    <t>益嘉9/2528、炜业福星/2525</t>
  </si>
  <si>
    <t>JZXYMFJFZ250081</t>
  </si>
  <si>
    <t>11月27日-11月30日</t>
  </si>
  <si>
    <t>三明海大饲料有限公司</t>
  </si>
  <si>
    <t>我司与三明海大饲料有限公司于 2025 年11月5日签订《粮食销售合同》（合同编号：JZXYMFJFZ250081），数量800吨，单价2330元/吨。该合同已累计提货788.73吨，客户2025年11月27日-2025年11月30日接收的100.74吨玉米存在毒素超标等情况。所提货物匹配计划号：YHSZ-25-092324，宏泰源库、新誉库。
明细如下：到厂日期 车号 重量/吨 备注
2025/11/27 TLLU3079330 10.14 1500ppb
2025/11/27 ZGXU3005031 27.28 1170ppb
2025/11/28 ZGLU3210656 27.34 1110ppb
2025/11/28 ZGXU3032042 8.45 1710ppb
2025/11/30 ZGLU3138757 27.53 1120ppb
 经双方友好协商，三明海大饲料有限公司对该批次货物进行折价接收，以上情况合计产生扣款1971.90元（大写：人民币壹仟玖佰柒拾壹元玖角），该批次累计提货788.73吨，折单吨扣款2.5元/吨，合同签订保呕吐毒素，前期已加价15元/吨进行销售，可涵盖扣款损失.
     以上扣款是否可行，烦请领导批示，谢谢。</t>
  </si>
  <si>
    <t>YHSZ-25-092324，宏泰源库、新誉库</t>
  </si>
  <si>
    <t>JCYMZSJQY250029-2</t>
  </si>
  <si>
    <t>苏州穗满德国际贸易有限公司，2025年11月19日签订的《粮食销售合同》(合同编号:JCYMZSJQY250029-2)合同数量2000吨，合同单价2297.5元/吨，提货麻涌港东星海泰/078，二车到厂检测杂质分别为1.71%、2.98%出合同约定的标准，合计64.92吨，申请分别扣款538与1472元，合计扣款2010元</t>
  </si>
  <si>
    <t>YMZSJDKHLY250195</t>
  </si>
  <si>
    <t>关于韶关市漓源饲料有限公司 YMZSJDKHLY250195 扣款的请示</t>
  </si>
  <si>
    <t>我司于 2025 年 11 月 26 日与韶关市漓源饲料有限公司签订内贸玉米合
同，编号 YMZSJDKHLY250195，数量 1000 吨，单价 2400 元/吨。
客户于麻涌港东星海泰/079 提货，提单号 MCDXHT07925039，因工厂到
厂抽样检测发现 200.04 吨玉米杂质检测均值在 1.82%，达不到合同指标
≤1% 。 因 对 客 户 成 品 以 及 口 碑 造 成 影 响 ， 扣 价 10 元 / 吨 ， 需 扣
价:200.04*10=2000.4 元。</t>
  </si>
  <si>
    <t>东星海泰/079</t>
  </si>
  <si>
    <t>JZXYMZSJQY250113</t>
  </si>
  <si>
    <t>关于双胞胎JZXYMZSJQY250113结算扣款</t>
  </si>
  <si>
    <t>双胞胎（集团）股份有限公司，2025年12月2日签订的《粮食销售合同》(合同编号:JZXYMZSJQY250113)合同数量400吨,合同单价 2470 元/吨,客户提货外采合同号JZXYMSZCG250092，运单号JZ21JZLX1454A，柜号FTAU1999604，到厂检测结果水分15.38，呕吐毒素1161，超出合同约定的标准，申请扣款35元/吨，26.93吨*35=942.55元。</t>
  </si>
  <si>
    <t>JZXYMSZCG250092</t>
  </si>
  <si>
    <t>JZXYMHN250170</t>
  </si>
  <si>
    <t>海南胜飞贸易有限公司商务扣款说明</t>
  </si>
  <si>
    <t>我司与海南胜飞贸易有限公司于2025年11月21日签订的《粮食销售合同》（合同号：JZXYMHN250170），合同数量550吨，合同单价2400元/吨，质量标准：容重≥700g/L，水分≤15%，杂质≤1.0%，霉变粒≤2.0%，不完善粒≤8%，呕吐毒素≤1000ug/kg。截止目前共计执行547.55吨，执行完毕。该批货物在接卸过程中发现箱号为CSNU3002368发运重量27.11吨，呕吐毒素1480.15ug/kg，不符合合同约定质量标准。经双方友好协商，此批玉米收货重量共计27.21吨，按30元/吨进行扣价接收，合计扣款¥816.3元。
以上扣款货物为对应发运计划编号YHSZ-25-102202，对应装箱库点：营口雨荷库</t>
  </si>
  <si>
    <t>发运计划编号YHSZ-25-102202，对应装箱库点：营口雨荷库
箱号为CSNU3002368发运重量27.11吨</t>
  </si>
  <si>
    <t>JZXYMYXMM250805</t>
  </si>
  <si>
    <t>关于客户潘钟明结算数量的说明</t>
  </si>
  <si>
    <t>2025年11月17日签订的的集装箱合同，潘钟明，合同号JZXYMYXMM250805（322吨，2370元每吨）；
客户在提货中发现提单号ASMWGSU250802497A，箱号：HJLU1340302；北方磅装货一组总数56.32吨。
该箱在码头转运过程中爆箱撒漏，12月3日到货后确认柜体侧面漏洞，撒漏，保险第三方已经处理，经双方协商，本合同扣款金额为4.26吨*2370元/吨=10096.2元。</t>
  </si>
  <si>
    <t>ASMWGSU250802497A</t>
  </si>
  <si>
    <t>许满</t>
  </si>
  <si>
    <t>JCYMZSJQY250011-1</t>
  </si>
  <si>
    <t>JCYMZSJQY250011-1联系单</t>
  </si>
  <si>
    <t>司与成都德康动物健康技术服务有限公司于2025年12月10日签订的&lt;&lt;粮食销售合同&gt;&gt;(赊销),合同号JCYMZSJQY250011-1,单价2361元/吨,数量2000吨。客户于2025年12月16日开单我司麻涌港大船:国家能源/2512轮货物共计1000吨，实际装货:996.818吨，提货驳船粤鼎湖货0388于12月19日到厂后发现有杂质超标情况，经检测杂质达3.43%，合同第二条:质量标准中约定:杂质2%，考虑到杂质检测方法尚存争议，且考虑到双方长期以来的友好合作关系，经双方友好协商，申请对12月19日开始提货到厂的996.818货物扣款23556.96元(折合单吨扣款四舍五入后为23.63元)。</t>
  </si>
  <si>
    <t>国家能源/2512</t>
  </si>
  <si>
    <t>郭良伟</t>
  </si>
  <si>
    <t>关于正大原料供应有限公司内贸玉米业务商务的说明</t>
  </si>
  <si>
    <t>提货杂质大，7车做 25 元/吨扣款，数量 311.46 吨，金额为 7786.5 元。</t>
  </si>
  <si>
    <t>国家能源610/2512</t>
  </si>
  <si>
    <t>YMYMGXXJ250141</t>
  </si>
  <si>
    <t>李戈</t>
  </si>
  <si>
    <t>JZXYMLCYDG251207</t>
  </si>
  <si>
    <t>关于合同号JZXYMLCYDG251207扣款说明</t>
  </si>
  <si>
    <t>联系单号:YHSZ-25-111427、YHSZ-25-111429销售广州顺泽粮食贸易有限公司，2025年12月5日签订的《粮食销售合同》(合同编号:JZXYMLCYDG251207)合同数量2500 吨，合同单价 2482元/吨。该合同交货过程中2柜因水湿粘底,杂质破碎杂质大,扣款 20-30 元/吨让步接收,车上粘住卸不下来的 0.36吨客户拒收退回码头仓库 600元/吨让步接收，合计扣款2011.22元</t>
  </si>
  <si>
    <t>Q088864200,Q088894811</t>
  </si>
  <si>
    <t>茂名正辉--关于“炜业68V2507“轮玉米质量扣款情况说明</t>
  </si>
  <si>
    <t>关于茂名正辉有限公司与我司签订了原料采购合同(合同编号:YMYXMM250863)，合同数量500吨，合同约定质量标准：容重≥690g/L，水分≤15%，杂质≤1%，霉变粒≤2%，不完善粒≤10%。客户共有两个合同共1000吨在该条船上提货。客户于1月2日在茂名市长晟码头世恒2仓“炜业68V2507“轮提货3车(98.85吨)发现玉米杂质达到4%，呕吐毒素达到2150ug/kg,客户为生产猪料工厂，杂质及呕吐毒素超标只能降级使用，经友好商务沟通，客户同意折价接收，现申请如下：
3车申请扣款20元/吨，共98.85吨，共计扣款1979元</t>
  </si>
  <si>
    <t>炜业68V2507</t>
  </si>
  <si>
    <t>YMYXMM250863</t>
  </si>
  <si>
    <t>JZXYMZSJJM25040</t>
  </si>
  <si>
    <t>广 州 顺 泽 粮 食 贸 易 有 限 公 司 ， 2025 年 9 月 8 日 签 订 的 《 粮 食 销 售 合 同 》 ( 合 同 编
号:JZXYMZSJJM25040)合同数量 540 吨，合同单价 2460 元/吨，该合同签订为按照乙方工厂磅单
结算，工厂磅重 537.78 吨，但结算时，按照集装箱北方发运数 538.805 吨进行了结算，差额为
1.025 吨，折合 2460*1.025 吨=2521.5 元，因 JZXYMZSJJM25040 已结算完毕关闭合同，申请
在后续合同 YHYMZSJXS251113002 中扣除该笔货款。</t>
  </si>
  <si>
    <t>\</t>
  </si>
  <si>
    <t>JZXYMFJFZ250084</t>
  </si>
  <si>
    <t>2025年12月4日-2025年12月12日</t>
  </si>
  <si>
    <t>有关成都东方希望农业有限公司玉米商务扣款事项</t>
  </si>
  <si>
    <t>我司与成都东方希望农业有限公司于 2025 年11月18日签订《粮食销售合同》（合同编号：JZXYMFJFZ250084），数量400吨，单价2440元/吨。该合同已累计提385.33吨，客户2025年12月4日-2025年12月12日接收有3柜出现呕吐毒素超标情况。所提货物匹配计划号：YHSZ-25-092324，新誉库。
经双方友好协商，成都东方希望农业有限公司对该批次货物进行折价接收，以上情况合计产生扣款2345.24元（大写：人民币贰仟叁佰肆拾伍元贰角肆分），该批次累计提货385.33吨，折单吨扣款6.08元/吨，因合同签订保呕吐毒素，前期已加价15元/吨进行销售，可涵盖扣款损失。</t>
  </si>
  <si>
    <t>YHSZ-25-092324，新誉库</t>
  </si>
  <si>
    <t>YMZSJDKHWS250040-2</t>
  </si>
  <si>
    <t>2025年12月5日我司与大余温氏畜牧有限公司订内贸玉米转让协议，合同号:YMZSJDKHWS250040-2，数量2000吨，单价2380元/吨，客户提涌港东星海泰078，报 488.7 吨货物杂质( 1.32-1.43)超标，属于折价接收范围，单吨扣价 10元，合计扣款4887 元.</t>
  </si>
  <si>
    <t>YMZSIDKHWS250038-5</t>
  </si>
  <si>
    <t>2025年12月2日我司与大余温氏畜牧有限公司签订内贸玉米转让协议，协议号:YMZSIDKHWS250038-5，数量1000吨，单价2330元/吨。客户提新港东亿603货物报360.04吨货物杂质(1.36-2.2)超标，属于折价接收范围，单吨扣价10元，合计扣款3600.4元。</t>
  </si>
  <si>
    <t>东亿603</t>
  </si>
  <si>
    <t>YMZSJDKHWS250041-2</t>
  </si>
  <si>
    <t>2025年12月8日我司与广西温氏畜牧有限公司签订内贸玉米合同，协议号YMZSJDKHWS250041-2,数量1650吨，单价2400 元/吨。客户提麻涌港 国家能源 610/2512货物，报375.14吨货物赤霉烯酮(317-1137ppb)超标和水分(15.38-15.41)，属于折价接收范围，单吨扣价 30元，合计扣款 11254.2元</t>
  </si>
  <si>
    <t>国家能源 610/2512</t>
  </si>
  <si>
    <t>YMGXXJ250144</t>
  </si>
  <si>
    <t>关于宾阳通威饲料有限公司内贸玉米商务的说明</t>
  </si>
  <si>
    <t xml:space="preserve">前期在 2025 年 12 月 8 日与宾阳通威饲料有限公司签署的内贸玉米合同，对应合同号YMGXXJ250144，单价 2465 元/吨，数量 800 吨。于 2025 年 12 月 27 日至 2026 年 1 月 4 日在白沙港“鸿丰 9678”上完成交付（珠三角大船名：国家能源 610/2512），交货数量 779.27 吨。  在实际交货中存在杂质超标情况，其中较为严重的有 5 车，抽检结果为：3-3.3%，通威集团原规定杂质超 2%需供方退货处理，经过友好协商后对这五车做 20 元/吨扣款，数量 199.63 吨，金额为3992.6 元。折算整合同为 5.12 元/吨。 </t>
  </si>
  <si>
    <t>YMGXXJ250134</t>
  </si>
  <si>
    <t>关于南宁通威生物科技有限公司内贸玉米商务的说明</t>
  </si>
  <si>
    <t>前期在2025年11月17日与南宁通威生物科技有限公司签署的内贸玉米合同，对应合同号
YMGXXJ250134，单价2360元/吨，数量1500吨。于2025年12月23日至2025年12月27日发散船"谢圩6878"配送到厂完成交付(珠三角大船名：国家能源610/2512)，交货数量1492.08吨。
在实际交货中存在水分超标的情况，我司与客户场抽样并邮寄第三方检测机构，实际检测水分为15.69%。经过友好协商后对实际交货数量做17元/吨扣款，数量1492.08吨，金额为25365.36元。</t>
  </si>
  <si>
    <t>YMFJFZ250159</t>
  </si>
  <si>
    <t>我司与三明海大饲料有限公司于 2025 年11月6日签订《粮食销售合同》（合同编号：YMFJFZ250159），数量500吨，单价2245元/吨。该合同已累计提货494.5吨，客户2025年11月20日-2025年11月22日接收的120.61吨玉米存在毒素超标等情况。所提货物匹配船号：弘泰612/2524。
明细如下：
到厂日期 车号 重量/吨 备注
2025/11/20 闽HB3996 39.16 1906ppb
2025/11/22 闽GA2988 41.30 1350ppb
2025/11/20 闽GA2988 40.15 2406.2ppb
     经双方友好协商，三明海大饲料有限公司对该批次货物进行折价接收，以上情况合计产生扣款6195.04元（大写：人民币陆仟壹佰玖拾伍元零角肆分），该批次累计提货120.61吨，折单吨扣款51元/吨。折整批单吨扣款为12.5元/吨，合同签订保呕吐毒素，加价15元/吨。可覆盖扣款。（该订单11月16日申请，当期先款价格2230元/吨，申请2245元/吨签订保毒素交付）
以上扣款是否可行，烦请领导批示，谢谢。</t>
  </si>
  <si>
    <t>弘泰612/2524</t>
  </si>
  <si>
    <t>YMFJFZ250134</t>
  </si>
  <si>
    <t>有关深圳市凌念网络科技有限公司玉米商务扣款事项</t>
  </si>
  <si>
    <t>我司与深圳市凌念网络科技有限公司于 2025 年10月23日签订《粮食销售合同》（合同编号：YMFJFZ250134），数量1000吨，单价2260元/吨，约定指标杂质≤1%，呕吐毒素≤1mg/Kg，福州军航码头自提；客户已累计提货985.31 吨。
客户于12月17日-12月19日提货的散粮，存在呕吐超标、杂质超标的情况，合计产生扣款7516.1元（大写：人民币柒仟伍佰壹拾陆元陆角），产生商务扣款货物共计248.53吨，折单吨扣款30.42元/吨。所提货物匹配船名：正海3/2506。（10月23日申请该订单时指导价格为先款2245元/吨，11月马尾港自提）。我司已加价15元/吨进行保毒素销售，溢价可覆盖扣款。
以上扣款是否可行，烦请领导批示，谢谢。</t>
  </si>
  <si>
    <t>正海3/2506</t>
  </si>
  <si>
    <t>YMGXQZ250316</t>
  </si>
  <si>
    <t>关于广西园丰牧业集团股份有限公司玉米水分商务扣款</t>
  </si>
  <si>
    <t>与广西园丰牧业集团股份有限公司签订的《粮食销售合同》，合同号：YMGXQZ250316，数量1000吨，单价2415元/吨，提“长峰98/2526”轮散装玉米，其中有6车共200.6吨水分指标远超出合同约定标准15%（合同提前预留有5元/吨商务），客户原则上拒收。经双方协商同意，工厂做商务扣款让步接收，合计扣款金额2679.00元，折合单吨扣款2.68元，溢余2.32元/吨对我司有利。（附商函）</t>
  </si>
  <si>
    <t>“长峰98/2526”</t>
  </si>
  <si>
    <t>杨伟文</t>
  </si>
  <si>
    <t>JZXYMLCYDG251212</t>
  </si>
  <si>
    <t>关于合同号 JZXYMLCYDG251212扣款说明</t>
  </si>
  <si>
    <t>联系单号 YHSZ-25-111428 销售蚌埠丰盛饲料贸易有限公司，2025年12月29 日签订的《粮食销售合同》(合同编号:JZXYMLCYDG251212)合同数量440 吨，合同单价 2450 元/吨。该合同送货过程中-柜运单号ZG25129672602箱号ZGLU3255732杂质偏多，客户需要增加过筛一遍才能处理，经友好协商该柜扣款 20 元/吨让步接收处理</t>
  </si>
  <si>
    <t>YMGXQZ250315</t>
  </si>
  <si>
    <t>关于钦州播恩生物YMGXQZ250315合同商务扣款</t>
  </si>
  <si>
    <t>合同号：YMGXQZ250315，数量600吨，单价2420元/吨，提“长峰98/V2526”轮散装玉米，其中有3车共99.68吨呕吐毒素超出双方约定标准1500（合同多预留有5元/吨商务），客户原则上拒收。经双方协商同意，工厂做商务扣款让步接收，合计扣款金额1324.20元，折合单吨扣款2.20元，溢余2.80元/吨对我司有利。（客户出有商函及检测报告）</t>
  </si>
  <si>
    <t>“长峰98/V2526”</t>
  </si>
  <si>
    <t>YMZSJJY250195</t>
  </si>
  <si>
    <t>关于 揭阳国雄饲料有限公司YMZSJJY250195合同商务 扣款</t>
  </si>
  <si>
    <t>，2025 年 12 月 11 日签订的《粮食销售合同（赊销）》(合同编号:YMZSJJY250195)
合同数量 1000 吨，合同单价 2415 元/吨，客户提货国翔 3/2540，提货重量 270.82 吨，经检测三车共计 126
吨杂质超出合同约定不符合合同约定标准（杂质≤1.0%），我司承担该批次下超标杂质 126 吨折合货款 1260 元。
经双方友好协商处理后，退货转扣款接收，合计扣款 1260 元 折合 10 元/吨。</t>
  </si>
  <si>
    <t>国翔 3/2540</t>
  </si>
  <si>
    <t>YMZSJJY250195 扣</t>
  </si>
  <si>
    <t>YMZSJDKHWS250045</t>
  </si>
  <si>
    <r>
      <rPr>
        <sz val="13"/>
        <color rgb="FF000000"/>
        <rFont val="宋体"/>
        <charset val="134"/>
        <scheme val="minor"/>
      </rPr>
      <t>2025年12月5日我司与   富川广东温氏畜牧有限公司  签订内贸玉米转让协议，合同号YMZSJDKHWS250045 ，数量1000 吨，单价2460元/吨。客户提麻涌港 国家能源610/2512货物，报374.62吨货物赤霉烯酮( 280-483ppb)超标，属于折价接收范围，单吨扣价30元，合计扣款</t>
    </r>
    <r>
      <rPr>
        <b/>
        <sz val="13"/>
        <color rgb="FF000000"/>
        <rFont val="宋体"/>
        <charset val="134"/>
      </rPr>
      <t>11238.6</t>
    </r>
    <r>
      <rPr>
        <sz val="13"/>
        <color rgb="FF000000"/>
        <rFont val="宋体"/>
        <charset val="134"/>
      </rPr>
      <t>元。</t>
    </r>
  </si>
  <si>
    <t>YMZSJDKHWS250046</t>
  </si>
  <si>
    <r>
      <rPr>
        <sz val="13"/>
        <color rgb="FF000000"/>
        <rFont val="宋体"/>
        <charset val="134"/>
        <scheme val="minor"/>
      </rPr>
      <t>2025年12月5日 我司与  连州温氏畜牧有限公司 签订内贸玉米合同，协议号：YMZSJDKHWS250046，数量1000吨，单价2460元/吨。客户提麻涌港 国家能源610/2512货物，报192.64吨货物杂质( 1.62)超标，属于折价接收范围，单吨扣价10元，合计扣款</t>
    </r>
    <r>
      <rPr>
        <b/>
        <sz val="13"/>
        <color rgb="FF000000"/>
        <rFont val="宋体"/>
        <charset val="134"/>
        <scheme val="minor"/>
      </rPr>
      <t>1926.4</t>
    </r>
    <r>
      <rPr>
        <sz val="13"/>
        <color rgb="FF000000"/>
        <rFont val="宋体"/>
        <charset val="134"/>
        <scheme val="minor"/>
      </rPr>
      <t>元。</t>
    </r>
  </si>
  <si>
    <t>YMZSJXXW260001</t>
  </si>
  <si>
    <t>关于广东嘉好农产品有限公司 YMZSJXXW260001 扣款的请示</t>
  </si>
  <si>
    <t>我司于 2026 年 1 月 5 日与广东嘉好农产品有限公司签订内贸玉米合同，编号 YMZSJXXW260001，数量 1000 吨，单价 2400 元/吨。
客户于南沙港东星海泰/80 提货，提单号 NSDXHT8026021，因工厂检测水分偏高，综合平均水分 15.71%。因对客户成品以及口碑造成影响，扣价
10 元/吨，需扣价:999.38*10=9993.8 元。</t>
  </si>
  <si>
    <t xml:space="preserve">东星海泰/080 </t>
  </si>
  <si>
    <t>YMYXYJ250250-1</t>
  </si>
  <si>
    <t>关于阳春温氏、阳东温氏扣款的说明</t>
  </si>
  <si>
    <t>我司于2025年12月31日与阳江市阳东温氏畜牧有限公司签订了玉米内贸合同YMYXYJ250250-1，签订主体为中粮贸易（深圳）有限公司。合同总量为1000吨，单价为2430元/吨，实际执行量为1013.12吨。大船名：益嘉88/2528。合同约定标准：水分≤15%，赤霉烯酮≤200ppb。1.6-1.9日客户提取了一批玉米（猪料），经检测，其中有330.02吨水分在15.65-15.66之间，赤霉烯酮达到240ppb,不符合合同约定的标准。考虑到双方后期的长期友好合作，对该批货物进行15元/吨的折价处理，折价金额为4950.3元,在货款中扣除。</t>
  </si>
  <si>
    <t>水分≤15%，赤霉烯酮≤200ppb</t>
  </si>
  <si>
    <t>益嘉88/2528</t>
  </si>
  <si>
    <t>YMYXYJ250250-3</t>
  </si>
  <si>
    <t>我司于2025年12月31日与阳江市阳东温氏畜牧有限公司签订了玉米内贸合同YMYXYJ250250-3，签订主体为中粮贸易（深圳）有限公司。合同总量为1000吨，单价为2430元/吨，实际执行量为1002.32吨。大船名：益嘉88/2528。合同约定标准：水分≤15%，赤霉烯酮≤200ppb，黄曲霉毒素B1（ppb）≤30。1.7-1.8日客户提取了一批玉米（猪料），经检测，其中有317.6吨水分在15.39-15.66之间，赤霉烯酮在318-597之间，黄曲霉毒素达到51，不符合合同约定的标准。考虑到双方后期的长期友好合作，对该批货物进行20元/吨的折价处理，折价金额为6352元，在货款中扣除。</t>
  </si>
  <si>
    <t>水分≤15%，赤霉烯酮≤200ppb，黄曲霉毒素B1（ppb）≤30</t>
  </si>
  <si>
    <t>YMZSJJY250201</t>
  </si>
  <si>
    <t>关于丰顺海新商务扣款</t>
  </si>
  <si>
    <t>丰顺县海新饲料有限公司，2025年 12月 18 日签订《粮食销售合同》(合同编号:YMZSJY250201)，数量500 吨,单价 2390 元/吨,该合同已累计交货497.09 吨,提货锦航佰福/2532(其中1月2日6车车号:粤 BGT302重量 32.02 吨,车号: CC8777,重量 32.23 吨,车号:豫 PU7705,重量 32.26 吨,车号: C4M573,重量 33.14吨，车号:粤 MR7785，重量 33.230 吨，车号:赣 COP948，重量 34.91 吨合计:197.79 吨)到货玉米经检验杂质.2%杂质和破碎粒超出合同约定指标(杂质&lt;1%)，不符合客户接受指标针对该批次到厂不合格玉米。经双方友好协商处理后，退货转扣款接收。合计产生扣款 1977.9元。折合10元/吨</t>
  </si>
  <si>
    <t>杂质.2%杂质和破碎粒超出合同约定指标(杂质&lt;1%)</t>
  </si>
  <si>
    <t>锦航佰福/2532</t>
  </si>
  <si>
    <t>YMZSJJY250201)</t>
  </si>
  <si>
    <t>YMZSJDGJZX250427</t>
  </si>
  <si>
    <t>关于合同号YMZSJDGJZX250427扣款的请示</t>
  </si>
  <si>
    <t>YHSZ-25-111425，台山市向星饲料有限公司，2025年12月11日签订的《粮
食销售合同》(合同编号：YMZSJDGJZX250427)合同数量1080吨，合同单价2472元/吨，
结算数量 1082.09 吨 ，其中10柜，总共267.9吨，因工厂检测抽检发现水份15.19%至
15.62%偏高。不符合合同约定的标准。经过双方友好协商，该10柜按减价4元/吨结算处
理使用，即总共扣款267.9吨*4元/吨=1071.6元</t>
  </si>
  <si>
    <t>YMGXQZ250317</t>
  </si>
  <si>
    <t>关于钦州播恩生物YMGXQZ250317合同商务扣款</t>
  </si>
  <si>
    <t>与钦州播恩生物技术有限公司签订的《粮食销售合同》，合同号：YMGXQZ250317，数量800吨，单价2425元/吨，提“长峰98/V2526”轮散装玉米，其中有9车共283.06吨呕吐毒素超出双方约定1500（客户多预留5元/吨商务），工厂原则上拒收。经双方协商同意，决定做商务扣款让步接收，合计扣款金额3108.20元，折合单吨扣款3.88元，溢余1.12元/吨对我司有利。（客户出有商函及检测报告）</t>
  </si>
  <si>
    <t>JZXYMZSJJM26001</t>
  </si>
  <si>
    <t>关于开平市绿皇JZXYMZSJJM26001合同商务扣款</t>
  </si>
  <si>
    <t>YHSZ-25-121919、开平市绿皇农牧发展有限公司，2026年1月6日签订的《粮食销售合同》（合同编号：JZXYMZSJJM26001）合同数量1030吨，合同单价2450元/吨，结算数量1018.14，其中3柜，总共76.53吨，因工厂仓库收货开柜后发现玉米有霉味的现象，经过协商沟通，进行扣款处理。（1）车号:湘U6955,柜号:XYLU1191171，来货实收重量:21.55吨。（2）车号:湘MJ9132,柜号:XYLU1178631，来货实收重量:27.98吨。（3）车号:湘LD6811,柜号:XYLU1313449，来货实收重量:27吨。合计:76.53*20=1530.6元</t>
  </si>
  <si>
    <t>质量问题（霉变、霉味）</t>
  </si>
  <si>
    <t>关于“中恒顺丰/2533“轮玉米质量扣款情况说明</t>
  </si>
  <si>
    <t>关于广东凤凰饲料有限公司与我司签订了原料采购合同(合同编号:YMYXMM250904)，合同数量900吨，合同签订指标:容重&gt;690g,呕吐毒素&lt;1000ugkg,水分&lt;15%,杂质&lt;1%,霉变粒&lt;2%,不完善粒&lt;10%未约定的其它质量标准按实际交货品质标准执行。于1月14日及1月19日在茂名市远海码头“中恒顺丰/2533“轮提货配送2车均发现玉米霉变及呕吐毒素超标，实测霉变4.1%、4.8%、呕吐毒素1270、1301。经友好商务沟通，客户同意折价接收，现申请如下：
其中桂KB3339、粤K87698 车辆申请扣款20元/吨，共61.15吨，共计扣款1223元；合同签订有做溢价10元销售，可覆盖扣款金额。</t>
  </si>
  <si>
    <t>质量问题（呕吐/霉变）</t>
  </si>
  <si>
    <t>中恒顺丰/2533</t>
  </si>
  <si>
    <t>YMYXMM250904</t>
  </si>
  <si>
    <t>YMHN250338</t>
  </si>
  <si>
    <t>2026/1/6-1/13</t>
  </si>
  <si>
    <t>我司与河南牧原粮食贸易有限公司于2025年12月3日签订的《粮食销售合同》（合同号： YMHN250338），合同数量1000吨，合同单价2470元/吨（送到厂价）。该合同已执行完毕，到厂数量979.4吨，但该合同货物在接卸过程中客户发现部分货不符合合同约定标准。扣重2车的执行数量为65.14吨，杂质每超0.01%减重0.01%，合计减重2.65%（0.867吨），此合同实际结算重量变更为978.533吨；扣款具体执行航次为：2026年1月3日抵达马村港“炜业福星/2527”玉米轮执行193.02吨，扣款2256.8元；2026年1月11日抵达马村港“锦富航69/2601”玉米轮执行97.08吨，扣款970.8元。综上，该合同合计扣重0.867吨，扣款3227.6元。</t>
  </si>
  <si>
    <t>质量问题（不完善粒）</t>
  </si>
  <si>
    <t>锦富航69/2601、炜业福星/2527</t>
  </si>
  <si>
    <t>YMZSJQY250182、YMZSJQY250189</t>
  </si>
  <si>
    <t>关于成都德康动物健康技术服务有限公司扣款的说明</t>
  </si>
  <si>
    <t>我司与成都德康动物健康技术服务有限公司于2025年10月31日签订的《粮食销售合同》(赊销)，合同号YMZSJQY250182，单价2220元/吨，数量5000吨。于2025年10月31日签订的《粮食销售合同》(赊销)，合同号YMZSJQY250189单价2220元/吨，数量5000吨。现有如下情况:YMZSJQY250189合同于2025年12月24日开单我司南沙港大船:国远707/2526轮，于1月3日开始到货。提货驳船名:贵港东旺6178，提货1470.62吨，汽运到厂后取样综合样有1467.65吨出现杂质超标情况，经工厂检测，取样后杂质平均达2.98%，YMZSJQY250182合同于2026年1月7日开始提货我司南沙港大船:东星海泰/080轮，桂远航838轮提货2098.902吨，汽运到厂后取样综合样有1916.81吨出现杂质超标情况，取样后杂质平均达2.47%，大福8658轮提货1397.264吨，汽运到厂后取样综合样有1395.56吨出现杂质超标情况，取样后杂质平均达2.16%，共计有4958.95吨货物杂质超过合同约定的杂质≤2%的指标，我司与客户沟通要求汽运到厂后进行二次采样检测，经过双方友好协商，对杂质在1%-2%之间的不合格货物扣款5元/吨，对杂质在2%-2.5%之间的货物扣款10元/吨，对杂质在2.5%-3%之间的货物扣款20元/吨，对杂质超过3%的货物扣款30元/吨。</t>
  </si>
  <si>
    <t>质量问题（杂质）</t>
  </si>
  <si>
    <t>国远707/2526、东星海泰/80</t>
  </si>
  <si>
    <t>谭鑫</t>
  </si>
  <si>
    <t>YMZSJQY250280</t>
  </si>
  <si>
    <t>关于郴州大北农饲料科技有限公司扣款的说明</t>
  </si>
  <si>
    <t>我司与郴州大北农饲料科技有限公司于2025年12月12日签订的《粮食销售合同》，合同号YMZSJQY250280，单价2420元/吨，数量1000吨。客户于1月8日开始提货我司外采大船:南方地采-谷润/25200，共计提货387.2吨，到厂后检测该批玉米存在不同程度的水分超标(合同约定水分≤15%)，共计13台车共计387.2吨货物出现水分超标情况，经与品种线沟通，客户提货外采大船不合格的部分扣款由上游京粮承担，共计扣款8873.9元</t>
  </si>
  <si>
    <t>南方地采-谷润/25200</t>
  </si>
  <si>
    <t>YMZSJQY250293</t>
  </si>
  <si>
    <t>关于南宁大北农饲料科技有限责任公司扣款的说明</t>
  </si>
  <si>
    <t>2026我司与南宁大北农饲料科技有限责任公司于2025年12月26日签订的《粮食销售合同》，合同号YMZSJQY250293，单价2385元/吨，数量1000吨。客户于1月7日开始提货我司南沙港大船:东星海泰/80，共计提货998.98吨，到厂后检测该批玉米存在水分、杂质超标(合同约定水分≤15%，杂质≤1%)，检测结果取平均值:水分15.6、杂质1.37，经过双方友好协商，决定对该批货物按照15元/吨的方案进行扣款，共计扣款998.98吨*15元/吨=14984.7元</t>
  </si>
  <si>
    <t>质量问题（杂质、水分）</t>
  </si>
  <si>
    <t>东星海泰/80</t>
  </si>
  <si>
    <t>YMZSJQY250294</t>
  </si>
  <si>
    <t>关于贵港湘大骆驼饲料有限公司扣款说明</t>
  </si>
  <si>
    <t>现有贵港湘大骆驼饲料有限公司与我司于2025年12月17日签订的内贸玉米合同YMZSJQY250284，数量1000吨，单价2380元/吨，客户于1月9日提货我司南沙港大船:东星海泰/80，(驳船名:贵港兴泰5288，提货998.69吨)到厂后检测有水分超标情况，超出合同质量签订标准:水分≤15%的约定，申请对水分超标的驳船扣款5元/吨。</t>
  </si>
  <si>
    <t>YMZSJQY250284</t>
  </si>
  <si>
    <t>YMFJFZ250183</t>
  </si>
  <si>
    <t>关于成都东方希望农业有限公司商务处理说明</t>
  </si>
  <si>
    <t>兹有我司与成都东方希望农业有限公司司签订《粮食销售合同》(合同号:YMFJFZ250183)，合同数量1500吨，单价2410元/吨，配送到厂，合同约定容重(g/L)≥710，水分≤15%，呕吐毒素≤1000ppb。该合同于2025年11月17日-2026年1月9日提货玉米，其中137.97吨，结果检验指标不符合合同标准(毒素超标，毒素在1400ppb-1500ppb)，扣款5244元。该合同累计收货1499.43吨，折扣款3.5元/吨。所提货物匹配计划号:YHSZ-25-092324、YHSZ-25-102222。
该合同在销售时已按保毒素价格加价15元/吨销售，以上扣款是否可行，请领导批示。</t>
  </si>
  <si>
    <t>质量问题（毒素）</t>
  </si>
  <si>
    <t>YHSZ-25-092324、YHSZ-25-102222</t>
  </si>
  <si>
    <t>YMFJFZ250188</t>
  </si>
  <si>
    <t>关于双胞胎（集团）股份有限公司玉米商务扣款说明</t>
  </si>
  <si>
    <t>兹有我司与双胞胎（集团）股份有限公司签订《粮食销售合同》（合同号：YMFJFZ250188）合同数量1000吨，单价2425元/吨，合同约定呕吐毒素≤1000ppb。该合同于2025年12月30日前执行完毕，共计执行989.1吨，在提货过程中,出现部分车次呕吐毒素超标问题,扣款20元/吨，扣款金额为1506.6元,</t>
  </si>
  <si>
    <t>质量问题（呕吐毒素）</t>
  </si>
  <si>
    <t>华源盛/2531</t>
  </si>
  <si>
    <t>YHYMZSJXS251118002</t>
  </si>
  <si>
    <t>关于广东九联禽业养殖有限公司玉米商务扣款说明</t>
  </si>
  <si>
    <t>兹有我司与贵司于2025年11月18号签定《粮食销售合同》（合同编号：YHYMZSJXS251118002），数量1000吨，单价2365元/吨，该合同已累计到货991.72吨，我司检测杂质超出合同约定的0.5%，检测杂质为0.73347%，不符合我司接收标准，贵司承担该批次筛下杂质2.308吨折合货款5458.42元，另有：水分超出合同约定2.619吨折合扣货款6193.93元，霉变不合格扣款2687.28元。目前情况合计产生扣款14339.63元（大写：壹万肆仟叁佰叁拾玖元陆角叁分）</t>
  </si>
  <si>
    <t>YMZSJDKHWS250048-1</t>
  </si>
  <si>
    <t>2026年1月7日我司与温氏集团下属子公司签订内贸玉米合同，合同号:YMZSJDKHWS250048-1，客户提新沙港国家能源610/2513货物，报1197.12吨货物杂质（1.49-2.04）超标，属于折价接收范围.</t>
  </si>
  <si>
    <t>国家能源610/2513</t>
  </si>
  <si>
    <t>YMZSJDKHWS250049-3</t>
  </si>
  <si>
    <t>2026年1月7日我司与温氏集团下属子公司签订内贸玉米合同，合同号:YMZSJDKHWS250049-3，客户提新沙港国家能源610/2513货物，报1197.12吨货物杂质（1.11-2.69）和赤霉烯酮（264-1884）超标，属于折价接收范围.</t>
  </si>
  <si>
    <t>YMZSJJM26007</t>
  </si>
  <si>
    <t>关于贵港瑞康YMZSJJMYX25052、YMZSJJMYX25057和YMZSJJMYX25050的物流费用扣款</t>
  </si>
  <si>
    <t>饲料原料部、物流仓储部:
贵港瑞康饲料有限公司，2025年9月9日签订的《粮食销售合同》(合同编号:YMZSJMYX25052)合同数量4000 吨,合同单价2420元/吨;2025 年9月15 日签订的《粮食销售合同》(合同编号:YMZSJMYX25057)合同数量5000吨，合同单价2475元/吨;2025年9月5日签订的《粮食销售合同》(合同编号:YMZSJMYX25050)合同数量3000吨，合同单价2380元/吨。
上述合同原计划2025年9月18日计划派船提货，因货源紧张，需等大船国家能源610抵港才有货物交付，期间耽误约4 天。后因台风桦加沙登陆影响未能按期发运且台风过后又发生跑船换船，直至9月28日装出1500吨。又有国庆假期面临放假，同时台风影响西江上游发生洪涝，预期国庆期间西江航道面临停航风险，为保障供应安全，经双方协商同意贵港瑞康委派物流进行在新沙港、湛江港、桂平启用汽运提货，发生的物流费用合计247396.05元。
具体费用对比明细如下：
一、YMZSJJMYX25052，单价2420元/吨，合同数1000吨，收货数966.56吨
1、原计划：新沙港—白沙港—瑞康，船+汽运，我司配送，配送费40元/吨。
2、变更后：新沙港—瑞康，改为汽运，运费124.3元/吨。
3、费用增加情况：每吨运费客户承担84.3元，共计增加81481.01元。
二、YMZSJJMYX25057，单价2475元/吨，合同数1000吨，收货数954.32吨
1、原计划：新沙港—白沙港—瑞康，船+汽运，我司配送，配送费40元/吨。
2、变更后：湛江—瑞康，改为汽运，运费120元/吨。
3、费用增加情况：每吨运费客户承担80元，共计增加76345.60元。
三、YMZSJJMYX25052，单价2420元/吨，合同数500吨，收货数500.21吨
1、原计划：新沙港—白沙港—瑞康，船+汽运，我司配送，配送费40元/吨。
2、变更后：新沙港—桂平港—瑞康，改为汽运，运费80元/吨。
3、费用增加情况：每吨运费客户承担40元，共计增加20008.40元。
四、YMZSJJMYX25057，单价2475元/吨，合同数1000吨，收货数997.21吨
1、原计划：新沙港—白沙港—瑞康，船+汽运，我司配送，配送费40元/吨。
2、变更后：新沙港—桂平港—瑞康，改为汽运，运费80元/吨。
3、费用增加情况：每吨运费客户承担40元，共计增加39888.40元。
五、YMZSJJMYX25050，单价2380元/吨，合同数3000吨，卸船数3002.525，运输收货数3002.225
1、原计划：新沙港—白沙港—瑞康，船+汽运，我司配送，配送费40元/吨。
2、变更后：新沙港—苏湾港—瑞康，台风因素在桂平港卸货，费用49元/吨。
3、费用增加情况：每吨费用客户承担9元，共计增加27020.925元，详情如下：
码头费：3元/吨，新增费用3002.525x3=9007.575元
汽运费：6元/吨，新增费用3002.225x6=18013.35元
六、YMZSJJMYX25052，单价2420元/吨，合同300吨，卸船数294.635，运输收货数294.635
1、原计划：新沙港—白沙港—瑞康，船+汽运，我司配送，配送费40元/吨。
2、变更后：新沙港—苏湾港—瑞康，台风因素在桂平港卸货，费用49元/吨。
3、费用增加情况：每吨费用客户承担9元，共计增加2651.715元，详情如下：
码头费：3元/吨，新增费用294.635x3=883.905元
汽运费：6元/吨，新增费用294.635x6=1767.81元
以上变更产生的费用共计：81481.01+76345.60+20008.40+39888.40+27020.925+2651.715=247396.05
此次费用分到YMZSJM26007合同开票结算时扣除，具体金额247396.05元(附扣款商函)
请领导批示。</t>
  </si>
  <si>
    <t>其他原因（运费）</t>
  </si>
  <si>
    <t>国家能源610</t>
  </si>
  <si>
    <t>YMZSJJMYX25050、YMZSJJMYX25052、YMZSJJMYX25057</t>
  </si>
  <si>
    <t>饲料原料部、物流仓储部</t>
  </si>
  <si>
    <t>YMZSJJM25103-2</t>
  </si>
  <si>
    <t>关于贵港瑞康YMZSJM25103合同玉米杂质超标扣款</t>
  </si>
  <si>
    <t>贵港瑞康饲料有限公司，2025年12月27日签订的《粮食销售合同》（合同编号：YMZSJJM25103）合同数量2000吨，合同单价2400元/吨。
2026年01月21-26日送货至工厂的贵港兴泰55船玉米，经质检部门检测，该船杂质超标，该船玉米共入库1996.19吨，其中杂质49.62吨，杂质占比例2.49%。按原合同质量标准杂质≤1%;则杂质超标扣款合计:1996.19吨*(2.49%-1%)*2,400元/吨=71383.75元，在开票结算时扣除。</t>
  </si>
  <si>
    <t>YMZSJJM25103</t>
  </si>
  <si>
    <t>YMFJZZ250304</t>
  </si>
  <si>
    <t>我司与双胞胎（集团）股份有限公司于2025年11月21日签署生效的《粮食销售合同（赊销）》（合同编号：YMFJZZ250304)，合同数量5000吨，合同单价2350元/吨，该合同累计提货5009.52吨，客户于2025年12月30日至2026年1月8日提货批次玉米存在水分、杂质均超标等问题（水分检测为15.17%至15.54%，杂质超1%），对应船名：浙洋97/2537</t>
  </si>
  <si>
    <r>
      <rPr>
        <sz val="10"/>
        <color rgb="FF000000"/>
        <rFont val="微软雅黑"/>
        <charset val="134"/>
      </rPr>
      <t>质量问题（水分、</t>
    </r>
    <r>
      <rPr>
        <sz val="10"/>
        <color rgb="FF000000"/>
        <rFont val="华文细黑"/>
        <charset val="134"/>
      </rPr>
      <t>杂质</t>
    </r>
    <r>
      <rPr>
        <sz val="10"/>
        <color rgb="FF000000"/>
        <rFont val="微软雅黑"/>
        <charset val="134"/>
      </rPr>
      <t>超标）</t>
    </r>
  </si>
  <si>
    <t>浙洋97/2537</t>
  </si>
  <si>
    <t>YMFJZZ250315</t>
  </si>
  <si>
    <t>关于正大贸易（中国）有限公司玉米商务扣款说明</t>
  </si>
  <si>
    <t>我司与正大贸易（中国）有限公司于2025年12月22日签署生效的《粮食销售合同（赊销）》（合同编号：YMFJZZ250315)，合同数量3000吨，合同单价2425元/吨，该合同累计提货2985.66吨，客户于2026年1月6日至1月12日提货2985.66吨玉米存在杂质超标、破损较大问题，对应船名：浙洋97/2537 ；</t>
  </si>
  <si>
    <t>质量问题（杂质超标）</t>
  </si>
  <si>
    <t>YMFJFZ260011</t>
  </si>
  <si>
    <t>有关南平华农恒青农牧有限公司玉米商务事项</t>
  </si>
  <si>
    <t>我司与南平华农恒青农牧有限公司于 2026 年1月7日签订《粮食销售合同》（合同编号：YMFJFZ260006），数量400吨，赊销，单价2410元/吨，合同约定水分≤15%，杂质≤1%，呕吐毒素≤1000ppb。该合同已累计提货399.66吨，客户2026年1月13日-2026年1月19日接收209.04吨玉米，存在提货杂质超标、呕吐超标的情况。所提货物匹配船名：轩祥3/2535。 经与客户多次协商沟通，客户对该批玉米扣款接收，其中209.04吨玉米产生商务扣款6371.22元（人民币陆仟叁佰柒拾壹元贰角贰分），折单吨扣款30.48元/吨（整笔合同折单吨扣款15.9元/吨）。我司在1月7日销售时，当日赊销指导价格2388元/吨，我司已加价20元/吨，可覆盖扣款。
     以是否可行，烦请领导批示，谢谢。</t>
  </si>
  <si>
    <t>质量问题（杂质超标\、毒素）</t>
  </si>
  <si>
    <t>轩祥3/2535</t>
  </si>
  <si>
    <t>YMFJFZ260006</t>
  </si>
  <si>
    <t>YMFJFZ260002</t>
  </si>
  <si>
    <t>有关福州海龙生物科技有限公司玉米商务事项</t>
  </si>
  <si>
    <t>我司与福州海龙生物科技有限公司于 2026 年1月6日签订《粮食销售合同》（合同编号：YMFJFZ260002），数量500吨，赊销，单价2400元/吨，合同约定水分≤15%，杂质≤1%。该合同已累计提480.79吨，客户2026年1月13日接收的110.08吨玉米，存在提货杂质超标情况。所提货物匹配船名：轩祥3/2535。 经与客户多次协商沟通，其中110.08吨玉米客户扣款接收，产生商务扣款2201.6元(人民币贰仟贰佰零壹元陆角），折单吨扣款20元/吨（整笔合同折单吨扣款4.5元/吨）。我司在1月7日销售时，当日赊销指导价格2375元/吨自提，我司已加价5元/吨，可覆盖扣款。
     以是否可行，烦请领导批示，谢谢。</t>
  </si>
  <si>
    <t>JZXYMDG26003</t>
  </si>
  <si>
    <t>关于合同号JZXYMDG26003扣款的请示</t>
  </si>
  <si>
    <t>联系单号：YHSZ-25-111427，广州顺泽粮食贸易有限公司，2026年1月6日签订的《粮
食销售合同》(合同编号：JZXYMDG26003)合同数量1000吨，合同单价2432元/吨，结算
数量 1080.34 吨
该合同在1月22日交货过程中1柜产生质量问题，经过双方友好协商，1柜霉变超标按照
40元/吨扣款结算，即总共扣款27.57吨*40元/吨=1102.8元</t>
  </si>
  <si>
    <t>质量问题（水分、杂质超标）</t>
  </si>
  <si>
    <t>YMZSJDG250415</t>
  </si>
  <si>
    <t>关于 YMZSJDG250415 扣款的请示</t>
  </si>
  <si>
    <t>播恩集团股份有限公司，2026 年 1 月 16 号 于 南 沙 港 东 星 海 泰 /80 提 货 ， 提 单 号
NSDXHT8026008，因工厂检测抽检，其中 224.78 吨玉米呕吐毒素为
1550ppb-1660ppb，不符合合同约定的标准。经过双方友好协商，按 10 元/
吨扣款接收，其中一车呕吐毒素检测为 1660ppb，按 20 元/吨扣款接收，
即总共扣款 193.36 吨*10 元/吨+31.42 吨*20 元/吨=2562 元</t>
  </si>
  <si>
    <t xml:space="preserve"> 东 星 海 泰 /80</t>
  </si>
  <si>
    <t>YMZSJDG250414</t>
  </si>
  <si>
    <t>关于 YMZSJDG250414 扣款的请示</t>
  </si>
  <si>
    <t>播恩集团股份有限公司，2025 年 12 月 18 号于麻涌港国家能源 610/2512 提货，提单号
GJNY6101225011，因工厂检测抽检，其中 31.76 吨玉米毒素为 1550ppb，
不符合合同约定的标准。经过双方友好协商，按 10 元/吨扣款接收，即总
共扣款 31.76 吨*10 元/吨=317.60 元</t>
  </si>
  <si>
    <t xml:space="preserve">国家能源 610/2512 </t>
  </si>
  <si>
    <t>YMZSJDG250446</t>
  </si>
  <si>
    <t>关于 YMZSJDG250446 扣款的请示</t>
  </si>
  <si>
    <t>广东泰德饲料有限公司 于 南 沙 港 东 星 海 泰 /80 提 货 ， 提 单 号
NSDXHT8026002，因工厂检测抽检，平均水份为 15.22%，不符合合同约定
标准，经过双方友好协商，超出水分 0.22%*2370 元/吨=5.2 元/吨，即总
共扣款 1498.032 吨*5.2 元/吨=7789.77 元</t>
  </si>
  <si>
    <t>东 星 海 泰 /80</t>
  </si>
  <si>
    <t>JZXYMDG26007</t>
  </si>
  <si>
    <t>关于JZXYMDG26007合同结算说明</t>
  </si>
  <si>
    <t>我司于2026年1月16日和深圳市中佳粮食有限公司签订粮食销售合同JZXYMDG26007(合同量:800吨、单价:2430元/吨),对应运单号:Q089668881:由于运单号:Q089668881，柜号:00LU0108760，出现漏玉米预计少1.325吨，已报保险处理，现申请该组柜子按照工磅单结算，即25.19吨(北方重量26.515吨)</t>
  </si>
  <si>
    <t>其他原因，已报保险处理</t>
  </si>
  <si>
    <t>JZXYMLCYDG251208</t>
  </si>
  <si>
    <t>关于合同号JZXYMLCYDG251208扣款的请示</t>
  </si>
  <si>
    <t>联系单号：YHSZ-25-121503，广州顺泽粮食贸易有限公司，2025年12月8日签订的《
粮食销售合同》(合同编号：JZXYMLCYDG251208)合同数量2500吨，合同单价2482元/吨
，结算数量2366.84吨
该合同在1月14号交货过程中，5柜水分检测超标，经过双方友好协商，5柜工厂检测平
均水份为15.41%，不符合合同约定标准，按约定比例扣重 0.35338吨，即总共扣款
0.35338吨*2482元/吨=877.09元</t>
  </si>
  <si>
    <t>JZXYMLCYDG251209</t>
  </si>
  <si>
    <t>2026/1/143</t>
  </si>
  <si>
    <t>关于合同号JZXYMLCYDG251209扣款的请示</t>
  </si>
  <si>
    <t>联系单号：YHSZ-25-121503，广州顺泽粮食贸易有限公司，2025年12月8日签订的《
粮食销售合同》(合同编号：JZXYMLCYDG251209)合同数量2500吨，合同单价2482元/吨
，结算数量2366.42吨
该合同在1月13号交货过程中，其中2柜存在发热、霉味问题，另有14柜水分检测超标，
经过双方友好协商，2柜发热有霉味按照40元/吨扣款处理，14柜工厂检测平均水份为
15.23%，不符合合同约定标准，按约定比例扣重 1.06166吨，即总共扣款26.82吨*40元
/吨+1.06166吨*2482元/吨=3707.84元</t>
  </si>
  <si>
    <t>YMGXNN250144-01</t>
  </si>
  <si>
    <t>关于河南牧原粮食贸易有限公司 YMGXNN250144 玉米散粮合同扣款事宜</t>
  </si>
  <si>
    <t>河南牧原粮食贸易有限公司YMGXNN250144玉米散粮合同（5000吨，现金2400元/吨,珠三角自提)于1月9日至11日期间，珠三角自提“东星海泰/80”4996.054吨，出现水分超出合同标准情况。客户原则上拒收，经过沟通，要求整体扣款30元/吨，后再次沟通，客户要求扣款20元/吨并发出商函，最终经反复多次沟通，本着长远战略友好合作出发，客户让步同意对该合同整体进行15元/吨扣款接收，合计扣款：74940.81元。</t>
  </si>
  <si>
    <t>质量问题（水分超标）</t>
  </si>
  <si>
    <t>YMGXNN250144</t>
  </si>
  <si>
    <t>刘源</t>
  </si>
  <si>
    <t xml:space="preserve"> 关于南宁海大生物科技有限公司商务处理的说明</t>
  </si>
  <si>
    <t>前期与南宁海大生物科技有限公司签约的内贸玉米合同，合同号YMGXQZ250329，数量600吨，合同单价2370元/吨，签约时间2025年12月19日。
该合同执行于2026年1月23日-1月26日完成了该批次的提货，提货大船为长峰98/2526，提货地点钦州，执行数量为583.86吨。在接货过程中出现杂质超标情况，经我部到现场抽样检测后，其检测结果最低为2.04%，最高2.94%。
经过多次沟通后最终决定将项下的377.26吨做单吨5元扣款处理，扣款金额为1886.3元。</t>
  </si>
  <si>
    <t>长峰98/2526</t>
  </si>
  <si>
    <t>YMGXQZ250329</t>
  </si>
  <si>
    <t>JCYMZSJM25006-4</t>
  </si>
  <si>
    <t>关于JCYMZSJJM25006-4玉米杂质超标扣款费用</t>
  </si>
  <si>
    <t>隆安县扬翔饲料有限公司，于2025年12月12日签订的《粮食销售合同(赊销)》合同编号:JCYMZSJJM25006-4)。合同数量1500吨,合同单价2352元/吨，提货大船为麻涌港的国家能源610/2512。
隆安县扬翔饲料有限公司于2025年12月15日派桂平鸿达1689船舶提该合同玉米，提货数量1498.166吨。到货检测该批玉米检测综合样杂质1.7%，超出合同标准(合同标准杂质≤1%).隆安县扬翔饲料有限公司现提出对该船玉米进行扣重处理，即扣重为1498.166吨*(1.7%-1%)=10.487吨,按合同单价换算扣款金额为10.487吨*2352元/吨=24665.42元(人民币大写:贰万肆仟陆佰陆拾伍元肆角贰分)。
因JCYMZSJJM25006-4合同已经开发票，该笔扣款将在玉米合同YMZSJM25101中扣减。</t>
  </si>
  <si>
    <t>YMZSJJM25084</t>
  </si>
  <si>
    <t>关于YMZSJJM25084玉米杂质超标扣款费用</t>
  </si>
  <si>
    <t>南宁扬翔农牧有限公司，于2025年11月26日签订的《粮食销售合同》合同编号:YMZSJJM25084)，合同数量5000吨，合同单价2340元/吨。提货大船为麻涌港的国家能源
610/2512.南宁扬翔农牧有限公司于2025年12月15日贵港兴泰828船舶提该合同玉米，提货数量2395.88吨。到货检测该批玉米检测综合样杂质1.9%，超出合同标准(合同标准杂质≤1%)。南宁扬翔农牧有限公司现提出对该船玉米进行扣重处理，即扣重为2395.88吨*(1.9%-1%)=21.563吨,按合同单价换算扣款金额为21.563吨*2340元/吨=50457.42元(人民币大写:伍万零肆佰伍拾柒元肆角贰分)。
因YMZSJJM25084合同已经开发票，该笔扣款将在玉米合同YMZSJJM25100中扣减。</t>
  </si>
  <si>
    <t>YMFJFZ250210</t>
  </si>
  <si>
    <t>我司与正大原料供应有限公司于 2025 年12月11日签订《粮食销售合同》（合同编号：YMFJFZ250210），数量 1500 吨，单价2425元/吨，合同约定杂质≤1%，不完善粒≤8%，呕吐毒素≤1000ug/kg。 客户于2026年1月4日-1月16日提货的1453.96吨玉米存在杂质、水分超标情况，合计产生扣款24282.25元（大写：人民币贰万肆仟贰佰捌拾贰元贰角伍分），折单吨扣16.71元/吨。所提货物匹配船名：轩祥3/2535提货986.86吨，福兴9/2538提货467.1吨。合同约定交付期2026年1月，2025年12月11日对1月交付的指导价格2385元/吨（扣除补偿阿根廷高粱问题10元/吨，实际溢价30元/吨），溢价可覆盖扣款。
      以上扣款请领导批示，谢谢。</t>
  </si>
  <si>
    <t>轩祥3/2535提货986.86吨，福兴9/2538提货467.1吨</t>
  </si>
  <si>
    <t>YMFJZZ250316</t>
  </si>
  <si>
    <t xml:space="preserve">    兹有我司与正大原料供应有限公司2025年12月29日签署生效的《粮食销售合同》（合同编号：YMFJZZ250316)，合同数量1500吨，合同单价2425元/吨，截止至2026年01月21日，该合同累计提货1491.92吨，客户于2026年1月14日至1月20日提货玉米经检测杂质超标，破碎大，对应船名：同庆18/2539 </t>
  </si>
  <si>
    <t>同庆18/2539</t>
  </si>
  <si>
    <t>YMFJZZ250313</t>
  </si>
  <si>
    <t>关于“炜业19”轮玉米品质问题及商务扣款的申请</t>
  </si>
  <si>
    <t>福建经营部通过延伸粮源池采购的散船玉米“炜业19”轮（航次号：2511），发运至漳州港，发运数量19541.03吨，实际卸货数量19499.46吨。该船于2025年12月23日靠泊漳州港并启动卸货，12月25日卸货工作全部完成。
卸货期间，经营部物流工作人员现场监卸发现该批玉米存在水分、杂质超标问题。经华正检测，玉米水分含量在15.2%-15.5%区间，超出标准0.2%-0.5%，部分杂质指标亦未达到规定要求。针对上述品质问题，福建经营部第一时间报告饲料原料部及上游供应商进行反馈，客户在接货过程中，亦反馈该批玉米存在相同品质问题。
为妥善处置该问题，福建经营部与饲料原料部、客户充分沟通协商，确定按正常商务流程给予扣款，并同步推进货物提货工作。截至2026年1月21日，该批玉米已全部出库，累计出库数量19440.36吨</t>
  </si>
  <si>
    <t>质量问题（水分、杂质）</t>
  </si>
  <si>
    <t>炜业19/2511</t>
  </si>
  <si>
    <t>YMFJZZ250313等30笔合同</t>
  </si>
  <si>
    <t>JZXYMZSJM26002</t>
  </si>
  <si>
    <t>关于粮品JZXYMZSJM26002合同玉米杂质超标扣款</t>
  </si>
  <si>
    <t>广东粮品农产品经营有限公司，2025年1月7日签订的《粮食销售合同》(合同编号:JZXYMZSJJM26002)合同数量400吨，合同单价2430元/吨，提货港为新会新港。
计划号：YHSZ-25-111430-1，运单号：Q089492200，箱号00LU0694125，卸货净重27.44，杂质超标1.7%，扣款金额478.27元。
计划号：YHSZ-25-111430-1，运单号：Q089492200，箱号FCIU3159167，卸货净重27.4，杂质超标1.7%，扣款金额477.58元。
合计扣款金额为:955.85元。</t>
  </si>
  <si>
    <t>JZXYMZSJJM26009</t>
  </si>
  <si>
    <t>关于粮品JZXYMZSJJM26009合同玉米杂质超标扣款</t>
  </si>
  <si>
    <t>广东粮品农产品经营有限公司，2025年1月23日签订的《粮食销售合同》(合同编号:JZXYMZSJJM26009)合同数量380吨，合同单价2430元/吨，提货港为新会新港。
计划号：YHSZ-25-121923，运单号：Q089671463，箱号CSNU3235781，卸货净重27.32，杂质超标1.5%，扣款金额341.5元。
计划号：YHSZ-25-121923，运单号：Q0896714630，箱号CSNU3031290，卸货净重9.86
，杂质超标3.1%，扣款金额517.65元。
    计划号：YHSZ-25-121923，运单号：Q0896714630，箱号CSNU3077942，卸货净重27.6，
杂质超标1.7%，扣款金额483元。
合计扣款金额为:1342.15元。</t>
  </si>
  <si>
    <t>YMGXQZ250335</t>
  </si>
  <si>
    <t>关于金钱农牧（广西）有限公司玉米水分商务扣款</t>
  </si>
  <si>
    <t>与金钱农牧（广西）有限公司签订的《粮食销售合同》，合同号：YMGXQZ250335，数量300吨，单价2390元/吨，提“三水809/2601”轮散装玉米，其中有6车共199.16吨水分指标远超出合同约定标准15%，客户原则上拒收。经双方协商同意，做商务扣款让步接收，合计扣款金额1991.60元，合同折合单吨扣款6.63元。</t>
  </si>
  <si>
    <t>“三水809/2601”</t>
  </si>
  <si>
    <t>YMGXQZ250314</t>
  </si>
  <si>
    <t>关于广西柯特农业发展YMGXQZ250314合同商务扣款</t>
  </si>
  <si>
    <t>与广西柯特农业发展有限公司签订的《粮食销售合同》，合同号：YMGXQZ250314，数量1000吨，单价2410元/吨，提“长峰98/V2526”轮散装玉米，其中有21车共704.54吨水分指标远超出合同约定标准15%，客户原则上拒收。经双方协商同意，做商务扣款让步接收，合计扣款金额7045.40元，整合同折合单吨扣款7.04元。</t>
  </si>
  <si>
    <t>YMZSJDKHLY250202</t>
  </si>
  <si>
    <t>关于贵港市漓源饲料有限公司YMZSJDKHLY250202扣款的请示</t>
  </si>
  <si>
    <t>我司于2025年12月16日与贵港市源饲料有限公司签订内贸玉米合同，编号YMZSJDKHLY250202，数量1500吨，单价2350元/吨。
客户于2026年1月13日在新沙港国家能源610/2513提货，提单号GJNY61025130031。因工厂检测水分偏高，综合平均水分15.5%。因对客户成品以及口碑造成影响，扣价15元/吨，需扣价:1499.88*15=22498.2元</t>
  </si>
  <si>
    <t>YMZSJDKHLY250206</t>
  </si>
  <si>
    <t>关于北流市响亮饲料有限公司YMZSJDKHLY250206 扣款的请示</t>
  </si>
  <si>
    <t>我司于2024年12月16日与北流市响亮饲料有限公司签订内贸玉米合同，编号YMZSJDKHLY250206，数量1500吨，单价2350元/吨。
客户于南沙港东星海泰/80提货，提单号NSDXHT8026031，因工厂检测杂质超标，平均值达3.03%(合同签订指标:杂质≤1.0%)。因对客户成品以及口碑造成影响，扣价25元/吨，需扣价:1496.97*25=37424.25元</t>
  </si>
  <si>
    <t>YMZSJJY250204</t>
  </si>
  <si>
    <t>关于正大原料供应有限公司YMZSJJY250204 扣款的请示</t>
  </si>
  <si>
    <t>贵我双方于 2025 年 12 月 30 日签订 2000 吨玉米《粮食销售合同》
（合同编号：YMZSJJY250204），单价 2380 元/吨，合同约定以港口外
磅结算。2026 年 1 月 8 日—2026 年 1 月 17 日收到贵司港口外磅共计
1951.44 吨玉米。经我司品管检测，此批玉米杂质 1.5%，超出约定标准
1%，影响使用，我司系统扣款 23319.7 元。经双方协商，另按 10 元/吨
扣款，即按 1951.44 吨*10 元/吨=19514.4 元做扣款接收处理。综上合计
扣款 19514.4+23319.7=42834.1 元。</t>
  </si>
  <si>
    <t>品质不达标（杂质）</t>
  </si>
  <si>
    <t>YMFJZZ260004</t>
  </si>
  <si>
    <t>有关正大贸易（中国）有限公司玉米商务扣款事项</t>
  </si>
  <si>
    <t>兹有我司与正大贸易（中国）有限公司于2026年01月16日签署生效的《粮食销售合同（赊销）》（合同编号：YMFJZZ260004)，合同数量3000吨，合同单价2435元/吨，截止至2026年02月05日，该合同累计提货2999.56吨，客户于2026年1月23日至2月6日提货批次玉米经检测杂质超标，对应船名：中安89/2601</t>
  </si>
  <si>
    <t>中安89/2601</t>
  </si>
  <si>
    <t>YMFJZZ260019</t>
  </si>
  <si>
    <t>兹有我司与正大原料供应有限公司于2026年01月19日签署生效的《粮食销售合同（赊销）》（合同编号：YMFJZZ260019)，合同数量2000吨，合同单价2430元/吨，截止至2026年02月04日，该合同累计提货2000.08吨，客户于2026年1月22日至2月4日批次提货批次玉米检测杂质超标，对应船名：弘泰625/2601；</t>
  </si>
  <si>
    <t>弘泰625/2601</t>
  </si>
  <si>
    <t>JZXYMFJFZ250086</t>
  </si>
  <si>
    <t>有关将乐温氏家禽有限公司玉米商务事项</t>
  </si>
  <si>
    <t>我司与将乐温氏家禽有限公司于 2025 年11月26日签订《粮食销售合同》（合同编号：JZXYMFJFZ250086），数量1000吨，赊销，单价2450元/吨到厂，合同约定水分≤15%，杂质≤1%。该合同已累计提货970.5吨，其中客户2025年12月3日-2026年1月3日接收的528.75吨玉米，存在破碎粒、杂质粉尘较多、水分超标的情况。所提货物匹配船名：福兴9/2538（水分超标）、华源盛/2531（提货到仓底，粉尘与破碎超标）。    
     客户原需对于该批有质量问题的货物扣款50元/吨接收，经与客户多次协商沟通，对破碎粒、杂质粉尘超标的586.2吨玉米客户按扣款25元/吨接收，产生商务扣款13218.75元（人民币壹万叁仟贰佰壹拾捌元柒角伍分），整笔合同折单吨扣款13.62元/吨。</t>
  </si>
  <si>
    <t>福兴9/2538（水分超标）、华源盛/2531（提货到仓底，粉尘与破碎超标）</t>
  </si>
  <si>
    <t>YMZSJDG26010</t>
  </si>
  <si>
    <t>关于 YMZSJDG26010 扣款的请示</t>
  </si>
  <si>
    <t>我司于 2026 年 1 月 30 日与金钱饲料（东莞）有限公司签订内贸玉米合同，编号 YMZSJDG26010 ，合同数量 2000 吨，结算数量 1991.3 吨，单价
2346 元/吨。客户 2026 年 1 月 30 号于新沙港长鑫 86 提货，提单号 XSCX8625003，因工厂检测抽检，其中 1292.42 吨平均水分为 15.49%，平均杂质为 4.19%，不符合合同约定标准，经过双方友好协商，按 10 元/吨扣款接收，即总共扣款 1292.42 吨*10 元/吨=12924.20 元</t>
  </si>
  <si>
    <t>JZXYMDG26016</t>
  </si>
  <si>
    <t>关于合同号JZXYMDG26016扣款的请示</t>
  </si>
  <si>
    <t>联系单号：YHSZ-25-121920，中山市福大生物科技有限公司，2026年1月28日签订的
《粮食销售合同(赊销）》(合同编号：JZXYMDG26016)合同数量225吨，合同单价2445
元/吨，结算数量222.214吨
该合同在2月1号交货过程中，7柜产生质量问题，经过双方友好协商，其中222.24吨工
厂检测平均水份为15.47%，不符合合同约定标准，经过双方友好协商，按10元/吨扣款
接收，即总共扣款222.24吨*10元/=2222.4元</t>
  </si>
  <si>
    <t>YMFJFZ260003</t>
  </si>
  <si>
    <t>我司与将乐温氏家禽有限公司于 2026年1月6日签订《粮食销售合同》（合同编号：YMFJFZ260003），数量1500吨，赊销，单价2465元/吨，合同约定水分≤15%，杂质≤1%。该合同已累计提货1499.88吨，客户2026年1月13日接收的159.87吨玉米，存在杂质粉尘超标。所提货物匹配船名：轩祥3/2535。    
     经与客户多次协商沟通，对杂质破碎超标的159.87吨玉米客户扣款5元/吨接收，产生商务扣款799.35元（人民币柒佰玖拾玖元叁角伍分），整笔合同折单吨扣款0.5元/吨。该批次提货出现提货到杂质集中部位，后续将加强对码头存粮与出货作业的管理。</t>
  </si>
  <si>
    <t>YMFJZZ260010</t>
  </si>
  <si>
    <t>我司与将乐温氏家禽有限公司于 2025 年12月24日签订《粮食销售合同》（合同编号：YMFJZZ260010），数量1000吨，赊销，单价2360元/吨，合同约定水分≤15%，杂质≤1%。该合同已累计提货973.28吨，客户2026年1月1日-2026年1月9日接收的586.2吨玉米，存在破碎粒、杂质粉尘较多情况。所提货物匹配船名：浙洋97/2537。    
     原定对于存在商务的货物按扣款30元/吨接收，经与客户多次协商沟通，对杂质破碎超标的586.2吨玉米，客户扣款减半按15元/吨接收，产生商务扣款8793元（人民币壹万柒仟伍佰捌拾陆），整笔合同折单吨扣款9元/吨。</t>
  </si>
  <si>
    <t>关于清远大北农生物科技有限公司扣款说明</t>
  </si>
  <si>
    <t>现有清远大北农生物科技有限公司与我司于2025年12月26日签订的内贸玉米合同YMZSJQY250294，数量1500吨，单价2385元/吨，客户于1月23日提货我司新沙港大船:国家能源610/2513，到厂后有两台车呕吐毒素检测超出合同质量签订标准:呕吐毒素≤1200的约定，申请对以下提货毒素超标的两车扣款5元/吨。</t>
  </si>
  <si>
    <t>JZXYMZSJQY260002</t>
  </si>
  <si>
    <t>关于关于广州顺泽粮食贸易有限公司扣款说明</t>
  </si>
  <si>
    <t>广州顺泽粮食贸易有限公司于2025年9月10日签订国产内贸合同(合同号JZXYMZSJQY250069,合同量270吨，单价2450元/吨)，该合同已结算完毕。由于上次扣款时，由保险方承担的CSLU1499746柜子扣款的5218元未在之前的合同扣除，申请在我司与广州顺泽粮食贸易有限公司签订的JZXYMZSJQY260002合同中扣除(签订时间2026年1月21日，数量1070吨，单价2432元/吨)，请领导批示</t>
  </si>
  <si>
    <t>质量问题（发霉结块）</t>
  </si>
  <si>
    <t>JZXYMLCYDG251210</t>
  </si>
  <si>
    <t>关于合同号JZXYMLCYDG251210扣款的请示</t>
  </si>
  <si>
    <t>联系单号:YHSZ-25-121921，广州顺泽粮食贸易有限公司，2025年12月8日签订的《粮食销售合同》(合同编号:JZXYMLCYDG251210合同数量2500吨，合同单价2482元/吨，结算数量2389.511吨)
该合同在1月27号交货过程中，1柜存在杂质破碎严重超标，工厂退货，经过双方友好协商，27.3吨因质量问题导致的直接损失由工厂承担，该批货物往返所产生的运输费用由我司承担，申请在JZXYMLCYDG251210销售合同中扣除，即总共扣款1550元(附扣款商函)</t>
  </si>
  <si>
    <t>YMZSJDKHSBT250017</t>
  </si>
  <si>
    <t>2026年1月7日和2025年11月12日我司与双胞胎集团签订内贸玉米合同合同号:YMZSJDKHSBT260001、YMZSJDKHSBT250017，单价分别为2390、2290元/吨。客户提新沙港 国家能源 610/2513和国远 86货物，报 490.96 和 358.93 吨货物呕吐毒素和赤霉希酮超标，属于折价接收范围，扣款明细如下:</t>
  </si>
  <si>
    <t>国远86</t>
  </si>
  <si>
    <t>YMZSJDKHSBT260001</t>
  </si>
  <si>
    <t>2026年1月7日和2025年11月12日我司与双胞胎集团签订内贸玉米合同合同号:YMZSJDKHSBT260001、YMZSJDKHSBT250017，单价分别为2390、2290元/吨。客-提新沙港 国家能源 610/2513和国远 86货物，报 490.96 和 358.93 吨货物呕吐毒素和赤霉希酮超标，属于折价接收范围，扣款明细如下:</t>
  </si>
  <si>
    <t>YMYXYJ250218</t>
  </si>
  <si>
    <t>正大康地阳江饲料有限公司</t>
  </si>
  <si>
    <t>我司于2025年11月25日与正大康地阳江饲料有限公司签订了玉米内贸合同YMYXYJ250218，签订主体为中粮贸易（深圳）有限公司，大船:益嘉88/2528。签订主体:中粮贸易(深圳)有限公司，合同量2000吨，合同单价2402元/吨，执行量1983.62吨，其中该批货物999.86吨水分检测在15.3-15.8之间，赤霉260-500。不符合合同约定标准。考虑到双方后期的长期友好合作，对该批货物做折价10元/吨处理，总计9998.60元，在货款中扣除。</t>
  </si>
  <si>
    <t>质量问题（水分）</t>
  </si>
  <si>
    <t>YMYXYJ250225</t>
  </si>
  <si>
    <t>我司于2025年12月3日与正大康地阳江饲料有限公司签订了玉米内贸合同YMYXY250225，签订主体:中粮贸易(深圳)有限公司，大船:益嘉88/2528，合同量2000吨，合同单价2442元/吨，执行量1980.12吨，其中该批货物980.56吨水分检测在15.3-15.5之间，赤霉238-624。不符合合同约定标准。考虑到双方后期的长期友好合作，对该批货物做折价10元/吨处理，总计9805.60元，在货款中扣除。</t>
  </si>
  <si>
    <t>YMZSJDKHWS250049-2</t>
  </si>
  <si>
    <t>2026年1月7日 我司与  温氏集团下属子公司 签订内贸玉米合同，合同号：YMZSJDKHWS250049-2，单价分别为2350元/吨。客户提新沙港 国家能源610/2513货物，报194.4吨货物赤霉烯酮超标，属于折价接收范围</t>
  </si>
  <si>
    <t>JZXYMDG26014</t>
  </si>
  <si>
    <t>关于合同号JZXYMDG26014扣款的请示</t>
  </si>
  <si>
    <t>联系单号:YHSZ-25-121922，深圳市中佳粮食有限公司，2026年1月21日签订的《粮食销售合同》(合同编号:JZXYMDG26014合同数量1080吨，合同单价2420元/吨，结算数量1074.753吨)
该合同在2月6号交货过程中，AYLZAXV260013424B运单2柜产生质量问题，其中53.35吨工厂检测杂质超标，TELU2283128(26.58吨)杂质为2.86%，GCXU2171181(26.77吨)杂质为3.05%，不符合合同约定标准，经过双方友好协商，TELU2283128按55元/吨扣款接收，GCXU2171181按61元/吨扣款接收，即总共扣款26.58吨*55元/吨+26.77吨*61元吨=3094.87元</t>
  </si>
  <si>
    <t>JCYMHN260002-1</t>
  </si>
  <si>
    <t>关于海南省粮油产业有限公司商务扣款说明</t>
  </si>
  <si>
    <t>我司与海南省粮油产业有限公司于2026年1月30日签订的《粮食销售合同》（合同号：JCYMHN260002-1），合同数量1500吨，合同单价2441元/吨，截止目前共计执行1499.4吨，执行完毕。该批货物在接卸过程中客户反馈不完善粒及杂质超标等质量问题，我司现场人员范闻超和工厂品管人员共同抽样检测，检测结果事实存在，现场检测不完善粒11.75%，杂质1.2%，合计数量1499.4吨。经双方友好协商，此批玉米按20元/吨进行扣价接收，合计扣款¥29988元。</t>
  </si>
  <si>
    <t>质量问题（杂质、不完善）</t>
  </si>
  <si>
    <t>鑫跨翔/2601</t>
  </si>
  <si>
    <t>YMGXNN250131-01</t>
  </si>
  <si>
    <t>关于广西辽大农业科技股份有限公司YMGXNN250131玉米散粮合同扣款请示</t>
  </si>
  <si>
    <t>广西辽大农业科技股份有限公司YMGXNN250131玉米散粮合同（2000吨，现金2405元/吨,钦州港自提)于1月8日至31日期间，钦州港提“长峰98/V2526”1986.82吨，出现水分超出合同标准情况。客户原则上拒收，经过沟通，要求整体扣款15元/吨，后经反复多次沟通，客户要求扣款5元/吨并发出商函，最终沟通后，本着长期友好合作理念，客户让步同意对该合同整体进行4元/吨扣款接收，合计扣款：7,947.28元</t>
  </si>
  <si>
    <t>长峰98/V2526</t>
  </si>
  <si>
    <t>YMGXNN250131</t>
  </si>
  <si>
    <t>YMZSJQY260016</t>
  </si>
  <si>
    <t>关于赣州湘大骆驼饲料有限公司扣款说明</t>
  </si>
  <si>
    <t>现有赣州湘大骆驼饲料有限公司与我司于2026年1月26日签订的内贸玉米合同YMZSJQY260016，数量1500吨，单价2320元/吨，客户于2月5日开始提货我司新沙港大船：长鑫86，共计提货980.4吨，到厂后有部分车辆水分检测超出合同质量签订标准：水分≤ 15%的约定，经过双方友好协商，申请对以下提货水分超标的车辆共计扣款8059.68元（单吨扣款约8.22元/吨）</t>
  </si>
  <si>
    <t>长鑫86</t>
  </si>
  <si>
    <t>YMZSJDKHWS250048-2</t>
  </si>
  <si>
    <t>2026年1月7日我司与温氏集团下属子公司签订内贸玉米合同，合同号YMZSJDKHWS250048-2、YMZSJDKHWS250048-3.单价为2360 元/吨。客户提新沙港国家能源 610/2513 货物，报 2259.88吨货物破碎粒、杂质、水分、赤霉烯酮等超标，属于折价接收范围</t>
  </si>
  <si>
    <t>YMZSJDKHWS250048-3</t>
  </si>
  <si>
    <t>YMZSJJY250224</t>
  </si>
  <si>
    <t>关于梅州大北农 YMZSJJY250224 扣款</t>
  </si>
  <si>
    <t>梅州大北农生物科技有限公司，2026 年 1 月 29 日签订的《粮食销售合同（赊销）》(合同编号:YMZSJJY250224)
合同数量 1000 吨，合同单价 2425 元/吨，客户提货航安顺/2603，共计提货重量 994.92 吨，经检测三车 199.38
吨水分分别为 15.22%、15.43%、15.43%超出合同约定不符合合同约定标准（水分≤15%），我司承担该批次下
超标水分 199.38 吨折合货款 1740.59 元。</t>
  </si>
  <si>
    <t>航安顺/2603</t>
  </si>
  <si>
    <t>JCYMZSJDG25051-1</t>
  </si>
  <si>
    <t>关于 JCYMZSJDG25051-1 扣款的请示</t>
  </si>
  <si>
    <t>我司于 2025 年 12 月 12 日与佛山播恩生物科技有限公司签订内贸玉米
合同，编号 JCYMZSJDG25051-1 ，合同数量 500 吨，单价 2378 元/吨。
客 户 2026 年 2 月 1 号 于 南 沙 港 东 星 海 泰 /80 提 货 ， 提 单 号
NSDXHT8026064，因工厂检测抽检，其中 32.72 吨毒素为 1654ppb，不符合
合同约定标准，经过双方友好协商，按 10 元/吨扣款接收，即总共扣款 32.72
吨*10 元/吨=327.2 元</t>
  </si>
  <si>
    <t>YMFJFZ250158</t>
  </si>
  <si>
    <t>2025年11月14日-2026年1月20日</t>
  </si>
  <si>
    <t>关于福州海龙生物科技有限公司商务处理说明</t>
  </si>
  <si>
    <t>兹有我司与福州海龙生物科技有限公司司签订《粮食销售合同》（合同号：YMFJFZ250158），合同数量1200吨，单价2265元/吨，配送到厂，合同约定容重（g/L)≥685，霉变≤2%，水分≤15%，热损≤2%，呕吐毒素≤1000ppb。该合同于2025年11月14日-2026年1月20日提货玉米，共计提货1185.85吨，接货1183.97吨，其中部分到货检测结果不符合合同标准（呕吐毒素超标，在1200ppb-1800ppb，杂质超标，霉变超标等情况），扣款15213.7元（明细详见商函），折合12.8元/吨。该合同考虑为不保毒素玉米中挑选出货，在销售时已考虑扣款因素加价15元/吨销售，加价可涵盖扣款。
以上扣款是否可行，请领导批示</t>
  </si>
  <si>
    <t>弘泰612/2524、正海3/2506、华源盛/2531、福兴9/2538</t>
  </si>
  <si>
    <t>YMZSJDG250412</t>
  </si>
  <si>
    <t>关于 YMZSJDG250412 扣款的请示</t>
  </si>
  <si>
    <t>我司于 2025 年 10 月 30 日与佛山播恩生物科技有限公司签订内贸玉米
合同，编号 YMZSJDG250412 ，合同数量 1500 吨，单价 2220 元/吨。
客户 2025 年 12 月 14 号于麻涌港国家能源 610/2512 提货，提单号
GJNY6101225003，因工厂检测抽检，其中 31.38 吨毒素为 1820ppb，不符
合合同约定标准，经过双方友好协商，按 30 元/吨扣款接收，即总共扣款
31.38 吨*30 元/吨=941.4 元</t>
  </si>
  <si>
    <t>YMGXXJ250149
YMGXXJ260002
YMGXXJ260003</t>
  </si>
  <si>
    <t>2026/1/15-2026/1/23
2026/1/23
2026/1/24</t>
  </si>
  <si>
    <t>关于正大集团执行内贸玉米商务情况的说明</t>
  </si>
  <si>
    <t>通过实地抽样及多轮复测后，整体杂质多超过合同约定的≤1%的指标，
平均杂质在2.5-2.8%之间，经过多次沟通后计划扣款25018.07元，折合单吨
6.26元/吨。由于年前涉及到部分合同货款到期，为避免逾期货款产生故在春
节前做了部分结算，对于该扣款金额折到YMGXXJ250149合同上结算。</t>
  </si>
  <si>
    <t>国家能源610/2513
东星海泰/81</t>
  </si>
  <si>
    <t>YMZSJDG250500</t>
  </si>
  <si>
    <t>关于YMZSJDG250500扣款的请示</t>
  </si>
  <si>
    <t>我司于2025年12月26日与正大康地(广州番禺)有限公司签订内贸玉米合同，编号YMZSJDG250500 ，合同数量3000吨，单价2370元/吨。
客户2026年2月7号于南沙港东星海泰/82提货，提单号NSDXHT8226003，因工厂检测抽检，其中278.14吨平均水分为15.2%，不符合合同约定标准，经过双方友好协商，按6元/吨扣款接收，即总共扣款278.14吨*6元/吨=1668.84 元</t>
  </si>
  <si>
    <t>东星海泰/82</t>
  </si>
  <si>
    <t>JZXYMDG26018</t>
  </si>
  <si>
    <t>关于合同号JZXYMDG26018扣款的请示</t>
  </si>
  <si>
    <t>联系单号：YHSZ-25-121922，广州顺泽粮食贸易有限公司，2026年2月3日签订的《粮
食销售合同》(合同编号：JZXYMDG26018)合同数量377吨，合同单价2430元/吨，结
算数量376.585吨
该合同在2月7号交货过程中，2柜工厂检测杂质超标，不符合合同约定标准，经过双方
友好协商，按照20元/吨扣款接收，即总共扣款52.52吨*20元/吨=1050.4元</t>
  </si>
  <si>
    <t>YMFJFZ260012</t>
  </si>
  <si>
    <t>我司与南平华农恒青农牧有限公司于 2026 年1月20日签订《粮食销售合同》（合同编号：YMFJFZ260012），数量400吨，赊销，单价2450元/吨，合同约定水分≤15%，杂质≤1%，呕吐毒素≤1000ppb。该合同已累计提货405.12吨，客户2026年2月9日接收100.17吨玉米，存在提货杂质超标的情况。所提货物匹配船名：铭宏发展/2603。    经与客户多次协商沟通，客户对该批玉米扣款接收，其中100.17吨玉米产生商务扣款2161.58元（人民币贰仟壹佰陆拾壹元伍角捌分），折单吨扣款21.6元/吨（整笔合同折单吨扣款5.3元/吨）。我司在1月20日销售时，当日赊销指导价格2435元/吨，我司已加价15元/吨，可覆盖扣款。
     以是否可行，烦请领导批示，谢谢。</t>
  </si>
  <si>
    <t>铭宏发展/2603</t>
  </si>
  <si>
    <t>JZXYMZSJJM26005</t>
  </si>
  <si>
    <t>关于英海JZXYMZSJJM26005的水分超标扣款</t>
  </si>
  <si>
    <t>江门市英海饲料有限公司，2026年1月19日签订的《粮食销售合同》(合同编号:JZXYMZSJJM26005)合同数量610 吨,合同单价2430元/吨，提货港为新会新港。
江门市英海饲料有限公司于1月29日收到3个柜子，经检验发现水分整体超标约0.4%-0.5%，超过合同约定的水分≤15.0%，经双方协商同意，做商务扣款让步接收。总卸货数为44.78吨，扣款为10元/吨，具体明细如下：
计划号YHSZ-25-121923，运单号Q089671468，箱号CSNU1470499，卸货数8.58吨，水分15.4%，扣款为10元/吨，扣款金额8.58x10=85.8元。
计划号YHSZ-25-121923，运单号Q089613601，箱号CSNU1612612，卸货数9.07吨，水分15.5%，扣款为10元/吨，扣款金额9.07x10=90.7元。
计划号YHSZ-25-121923，运单号Q089810130，箱号CSLU2246130，卸货数27.13吨，水分15.4%，扣款为10元/吨，扣款金额27.13x10=271.3元。
总扣款金额为85.8+90.7+271.3=447.8元</t>
  </si>
  <si>
    <t>YMZSJDKHLY260001</t>
  </si>
  <si>
    <t>关于永州市漓源饲料有限公司YMZSJDKHLY260001扣款的请示</t>
  </si>
  <si>
    <t>我司于2026年1月6日与永州市漓源饲料有限公司签订内贸玉米合同，编号YMZSJDKHLY260001，数量1100吨，单价2330元/吨。
客户于南沙港东星海泰/81与东方祥通/2518提货，提单号NSDXHT8126028与NSDFXT2518030，因工厂检测杂质偏高，综合平均杂质4.29%。因对客户成品以及口碑造成影响，扣价30元/吨，需扣价:1099.48*30=32984.4元。
请领导批示。</t>
  </si>
  <si>
    <t>东星海泰/81与东方祥通/2518</t>
  </si>
  <si>
    <t>YMZSJDKHLY250204</t>
  </si>
  <si>
    <t>关于梧州柳新农牧科技有限公司YMZSJDKHLY250204扣款的请示</t>
  </si>
  <si>
    <t>我司于2025年12月16日与梧州柳新农牧科技有限公司签订内贸玉米合同，编号YMZSJDKHLY250204，数量2000吨，单价2350元/吨。
客户于2026年1月10日在南沙港东星海泰/80提货，提单号NSDXHT8026026，驳船名:广通0819。因工厂检测赤烯酮与杂质偏高综合平均赤霉烯酮326.75ppb，杂质平均值4.56%。因对客户成品以及口碑造成影响，扣价40元/吨，需扣价:1999.706*40=79988.24元。
请领导批示。</t>
  </si>
  <si>
    <t>质量问题（杂质/赤霉）</t>
  </si>
  <si>
    <t>YMFJFZ250164</t>
  </si>
  <si>
    <t>2025-12-1-2026-2-10</t>
  </si>
  <si>
    <t>关于福建圣农发展（浦城）有限公司商务扣款说明</t>
  </si>
  <si>
    <t>兹有我司与福建圣农发展（浦城）有限公司签订YMFJFZ250164号《粮食销售合同》，合同数量2000吨，单价2390元/吨，截止2月28日，该合同实际送货1949.73吨，接货1949.64吨，质量扣款23183元，折合扣款11.85元/吨，该扣款为圣农杂质及不完善粒固定扣款，在销售合同时已进行加价15元/吨进行销售，实际无损失。
以上扣款，是否可行，请领导批示。</t>
  </si>
  <si>
    <t>弘泰612/2524、华源盛/2529、正海3/2506、华源盛/2531</t>
  </si>
  <si>
    <t>YMFJFZ250165</t>
  </si>
  <si>
    <t>2026-1-14-2-28</t>
  </si>
  <si>
    <t>关于圣农发展（政和）有限公司商务扣款说明</t>
  </si>
  <si>
    <t xml:space="preserve">兹有我司与圣农发展（政和）有限公司签订YMFJFZ250165号《粮食销售合同》，合同数量1000吨，单价2390元/吨，截止2月28日，该合同实际送货954.42吨，接货953.99吨，质量扣款12839.3元，折合扣款13.46元/吨，该扣款为圣农杂质及不完善粒固定扣款，在销售合同时已进行加价15元/吨进行销售，实际无损失。
以上扣款，是否可行，请领导批示。
</t>
  </si>
  <si>
    <t>轩祥3/2535、正海3/2601</t>
  </si>
  <si>
    <t>JZXYMDG26017</t>
  </si>
  <si>
    <t>关于JZXYMDG26017合同结算说明</t>
  </si>
  <si>
    <t>我司于2026年2月2日和深圳市中佳粮食有限公司签订粮食销售合同JZXYMDG26017(合同量:587吨、单价:2420元/吨),对应运单号:Q090050033;由于运单号:Q090050033、柜号:CSNU1256790在中转码头撒漏玉米，出现少重情况报保险处理，现申请该组柜子按照工厂磅单结算，即14.53吨(北方重量26.7875吨)</t>
  </si>
  <si>
    <t>JZXYMDG26015</t>
  </si>
  <si>
    <t>关于JZXYMDG26015合同结算说明</t>
  </si>
  <si>
    <t>我司于2026年1月23日和深圳市中佳粮食有限公司签订粮食销售合同JZXYMDG26015(合同量:1650吨、单价:2430元/吨),对应运单号:ZG26019808062-B，Q090050032由于运单号:ZG26019808062-B、柜号:ZGXU2827614出现少重情况，报保险处理，现申请该组柜子按照工厂磅单结算，即23.92吨(北方重量27.06吨)运单号Q090050032，柜号CSLU2018167出现少重情况，报保险处理，现申请该组子按照工厂磅单结算，即25.12吨(北方重量27.8375吨)</t>
  </si>
  <si>
    <t>YMFJFZ250189</t>
  </si>
  <si>
    <t>2025-12-1-2026-1-10</t>
  </si>
  <si>
    <t>关于南平海大生物科技有限公司商务处理说明</t>
  </si>
  <si>
    <t>兹有我司与南平海大生物科技有限公司司签订《粮食销售合同》（合同号：YMFJFZ250189）及《补充协议》（协议号：YMFJFZ250189-1），合同数量500吨，单价2370元/吨，配送到厂，合同约定容重（g/L)≥685，霉变≤2%，水分≤15%，热损≤2%。该合同原为军航码头散粮出货，与客户沟通交付南平港集装箱玉米，对应福满仓及禹泰库。该合同总计提货495.14吨，因提货过程中有玉米发霉、水分超标、发热情况，经双方友好沟通扣款15134.5元，折30.56元/吨。
以上扣款是否可行，请领导批示。</t>
  </si>
  <si>
    <t>YMFJFZ250189-1</t>
  </si>
  <si>
    <t>YMYXYJ260001-2</t>
  </si>
  <si>
    <t>关于温氏扣款情况说明</t>
  </si>
  <si>
    <t>YMYXYJ260001-2，阳春市温氏畜牧有限公司，签订主体:中粮贸易(深圳)有限公司，合同量1500吨，单价2430元/吨，执行量1491.94吨，合同签订标准：玉米赤霉烯酮&lt;200μg/kg，水分≤15%，经检验，该批货物有702.2吨赤霉在368-407之间，水分在15.2-15.51之间，不符合合同约定标准，考虑到双方后期的长期友好合作，对该批货物做15元/吨折价处理，扣款10533元，在货款中扣除。</t>
  </si>
  <si>
    <t>质量问题（赤霉、水分）</t>
  </si>
  <si>
    <t>YMYXYJ260004-2</t>
  </si>
  <si>
    <t>关于温氏在锦鑫 6 轮 2601 航次下的扣款情况说明</t>
  </si>
  <si>
    <t xml:space="preserve"> YMYXYJ260004-2，阳江市阳东温氏畜牧有限公司，签订主体:中粮贸易(深圳)有限公司，大船：锦鑫6/2601，合同量1000吨，单价2415元/吨，执行量1002吨，同签订标准：玉米赤霉烯酮&lt;200μg/kg，杂质≤1%，经检验，该批货物有529.76吨赤霉在349-597之间，杂质在1.15-1.93之间，不符合合同约定标准，考虑到双方后期的长期友好合作，对该批货物做15元/吨折价处理，扣款7946.4元，在货款中扣除。</t>
  </si>
  <si>
    <t>质量问题（赤霉）</t>
  </si>
  <si>
    <t>锦鑫6/2601</t>
  </si>
  <si>
    <t>YMYXYJ260013-2</t>
  </si>
  <si>
    <t>YMYXYJ260013-2，阳江市阳东温氏畜牧有限公司，签订主体:中粮贸易(深圳)有限公司，大船：锦鑫6/2601，合同量1000吨，单价2350元/吨，执行量983.44吨，合同签订标准：玉米赤霉烯酮&lt;200μg/kg，杂质≤1%，经检验，该批货物有114.02吨赤霉烯酮在273-311之间，杂质在1.17-2.68之间，不符合合同约定标准，考虑到双方后期的长期友好合作，对该批货物做15元/吨折价处理，扣款1710.3元，在货款中扣除。</t>
  </si>
  <si>
    <t>质量问题（赤霉、杂质）</t>
  </si>
  <si>
    <t>JCYMGXQZ260002-1</t>
  </si>
  <si>
    <t>关于广东嘉好执行内贸玉米商务情况的说明</t>
  </si>
  <si>
    <t>现有于与广东嘉豪签署的内贸玉米合同JCYMGXQZ260002-1，数量2000吨，在2026年2月6日-13日期间在执行过程中因水分不符产生了相应的商务问题，执行大船为钦州港“三水809/2601”，执行数量1990.86吨，在抽检过程中水分高点在15.45%，中间值平均在15.2%左右，与客户多次沟通协商后按照扣款3564.89元进行接收，折算到单吨为1.79元/吨。</t>
  </si>
  <si>
    <t>三水809/2601</t>
  </si>
  <si>
    <t>YMYXYJ260013-3</t>
  </si>
  <si>
    <t>YMYXYJ260013-3，阳西温氏禽畜有限公司，签订主体:中粮贸易(深圳)有限公司，大船：锦鑫6/2601，合同量1000吨，单价2350元/吨，执行量981.08吨，合同签订标准：不完善粒≤10%，经检验，该批货物有216.3吨不完善粒在11.3-16.1，不符合合同约定标准，考虑到双方后期的长期友好合作，对该批货物做5元/吨折价处理，扣款1081.5元，在货款中扣除。</t>
  </si>
  <si>
    <t>YMYXYJ260013-1</t>
  </si>
  <si>
    <t>YMYXYJ260013-1，阳春市温氏畜牧有限公司，签订主体:中粮贸易(深圳)有限公司，大船：锦鑫6/2601，合同量1000吨，单价2350元/吨，执行量1005.48吨，合同签订标准：杂质≤1%，经检验，该批货物有397.22吨杂质为2.28，不符合合同约定标准，考虑到双方后期的长期友好合作，对该批货物做15元/吨折价处理，扣款5958.3元，在货款中扣除。</t>
  </si>
  <si>
    <t>JCYMYXMM260005-1</t>
  </si>
  <si>
    <t>关于茂名通威JCYMYXMM260005-1质量扣款的情况说明</t>
  </si>
  <si>
    <t>茂名通威生物科技有限公司JCYMYXMM260005-1(合同量1000吨，单价2440元)，签订日期2026年2月3日。该合同共执行999.67吨。2026年2月8日客户在中心船“中伟顺/2603"轮提货过程中，反馈到货的3车共84.58吨玉米存在水分超标的质量问题，经饲料厂人员取样检测并复查，玉米水分达15.3%，超合同规定标准。经我部与客户多次协商，秉承长期友好合同原则，共申请扣款592.06元，单吨扣款7元/吨。</t>
  </si>
  <si>
    <t>中伟顺/2603</t>
  </si>
  <si>
    <t>YMZSJQY250282</t>
  </si>
  <si>
    <t>关于清远加乐饲料有限公司扣款说明</t>
  </si>
  <si>
    <t>现有清远加乐饲料有限公司与我司于2025年12月17日签订的内贸玉米合同YMZSJQY250282，数量1000吨，单价2380元/吨，客户于2月4日于深粮码头开始提货我司外采粮源:南方地采-谷润/25197合同货物，到厂后有4车杂质检测超出合同质量签订标准:杂质≤2%的约定，经过双方友好协商，决定对杂质超标的货物进行扣款，申请对以下提货杂质超标的4车扣款30元/吨。扣款由上游京粮承担</t>
  </si>
  <si>
    <t>南方地采-谷润/25197</t>
  </si>
  <si>
    <t>YMYXMM260016</t>
  </si>
  <si>
    <t>关于苏州穗满德YMYXMM260016质量扣款的情况说明</t>
  </si>
  <si>
    <t>苏州穗满德国际贸易有限公司YMYXMM260016(合同量600吨，单价2400元)，签订日期2026年1月7日。该合同共执行590.84吨。2026年1月23日客户在中心船"益嘉98/2534”轮提货过程中，反馈到货的2车共62.94吨玉米杂质超标的质量问题，经饲料厂人员取样检测并复查，玉米杂质达1.91%，超合同规定标准。经我部与客户多次协商，秉承长期友好合同原则，共申请扣款1258.8元，单吨扣款20元/吨。</t>
  </si>
  <si>
    <t>益嘉98/2534</t>
  </si>
  <si>
    <t>YMGXQZ260018</t>
  </si>
  <si>
    <t>关于钦州海大桂柳生物内贸玉米商务情况的说明</t>
  </si>
  <si>
    <t>现有于与钦州海大桂柳生物科技有限公司的内贸玉米合同YMGXQZ260018，
数量650吨，在2026年2月10日-13日期间在执行过程中因水分不符产生了相应的
商务问题，执行大船为钦州港“三水809/2601”，执行数量638.7吨。在抽检过程中水分高点在15.46%，中间值平均在15.3%左右，与客户多次
沟通协商后按照单吨5元/吨进行扣款接收。</t>
  </si>
  <si>
    <t>YMFJZZ250325</t>
  </si>
  <si>
    <t>有关漳浦县海新饲料科技有限公司玉米商务扣款事项</t>
  </si>
  <si>
    <t>兹有我司与漳浦县海新饲料科技有限公司于2025年12月30日签署生效的《粮食销售合
同》（合同编号：YMFJZZ250325)，合同数量1000吨，合同单价2420元/吨，截止至2026
年01月15日，该合同累计提货1031.03吨，客户于2026年1月4日至1月6日提货158.85吨，
经检测杂质、水份超标，对应船名：浙洋97/2537，该船在卸船时已向品种线报备杂质超
、部分水分异常的情况。</t>
  </si>
  <si>
    <t>JCYMZSJJM25007-4</t>
  </si>
  <si>
    <t>关于广西兴安扬翔JCYMZSJJM25007-4的货物质量扣款</t>
  </si>
  <si>
    <t>广西兴安县扬翔饲料有限公司，2026年1月27日签订的《粮食销售合同》(合同编号:JCYMZSJJM25007-4)合同数量2500 吨,合同单价2394.7元/吨，提货大船名：东星海泰082。
广西兴安县扬翔于2月12日派桂平安运138船舶到南沙港的东星海泰082提货，提货数量 1497.048 吨。客户检测该批玉米检测综合样杂质1.53%，超出合同标准（合同标准杂质≤1%）。现 
双方友好协商该船玉米扣款10元/吨，扣款金额1497.048吨*10元/吨=14970.48元。</t>
  </si>
  <si>
    <t>东星海泰082</t>
  </si>
  <si>
    <t>YMGXQZ260004</t>
  </si>
  <si>
    <t>关于钦州播恩生物技术YMGXQZ260004合同商务扣款</t>
  </si>
  <si>
    <t>与钦州播恩生物技术有限公司签订的《粮食销售合同》，合同号：YMGXQZ260004，数量1500吨，单价2425元/吨，提“长峰98/V2526”轮散装玉米，其中有9车共295.26吨水分指标远超出合同约定标准15%，客户原则上拒收。经双方协商同意，做商务扣款让步接收，合计扣款金额1538.22元，合同折合单吨扣款1.025元，该合同预留有5元/吨商务，溢余3.975元/吨，于我司有利。</t>
  </si>
  <si>
    <t>JCYMGXXJ260003-1</t>
  </si>
  <si>
    <t>关于南宁通威执行内贸玉米商务情况的说明</t>
  </si>
  <si>
    <t>现有于南宁通威生物科技有限公司签署的内贸玉米合同在执行过程中因
杂质不符产生了相应的商务问题，具体如下：JCYMGXXJ260003-1合同在执行钦州港最后一公里配送的三水809/2601中
因水分超标产生了其商务纠纷，经多次协商抽取水分较高的13车428.84吨做
扣款2144.2元接收处理（详细见附件一），对应扣款吨数折合单吨5元/吨。</t>
  </si>
  <si>
    <t>YMGXXJ250157</t>
  </si>
  <si>
    <t>YMGXXJ250157合同在执行珠三角最后一公里配送的东方详通/18中因水分
超标产生了其商务纠纷，经多次协商抽取水分较高的3车139.07吨做扣款
695.35元接收处理（详细见附件二），对应扣款吨数折合单吨5元/吨。</t>
  </si>
  <si>
    <t>695.35元</t>
  </si>
  <si>
    <t>东方详通/18</t>
  </si>
  <si>
    <t>JZXYMZSJQY260019</t>
  </si>
  <si>
    <t>关于韶关海大生物科技有限公司合同扣款说明</t>
  </si>
  <si>
    <t>现有韶关海大生物科技有限公司我司于2026年2月11日签订的内贸集装箱玉米合同JZXYMZSJQY260019,数量500吨，单价2465元/吨,客户于2月14日开始接货我司集装箱玉米(计划号:YHSZ-25-121915,运单号:Q090134490、Q090134491)，到厂后，有4车水分检测超出合同质量签订标准:水分≤15%的约定，经过双方友好协商，决定对水分超标的货物进行扣款。</t>
  </si>
  <si>
    <t>关于广州顺泽JZXYMZSJQY260022合同扣款说明</t>
  </si>
  <si>
    <t>现有广州顺泽粮食贸易有限公司我司于2026年3月2日签订的内贸集装箱玉米合同JZXYMZSJQY260022，数量220吨，单价2472元/吨，客户于3月4日接货我司集装箱玉米，计划号:YHSZ-26-011509,运单号:WBYNA262X0055。客户于3月4日接货的TEMU0253426柜存在柜子破洞，漏水情况，该柜底部货物水湿结块严重，有5.36吨货物受损，已经向保险公司报险理赔，保险公司同意对结块粘底货物扣款1000元/吨，共计扣款5360元，已经沟通保险，由保险公司承担该部分费用</t>
  </si>
  <si>
    <t>质量问题（霉变结块）</t>
  </si>
  <si>
    <t>JZXYMZSJQY260022</t>
  </si>
  <si>
    <t>YMZSJDG26001</t>
  </si>
  <si>
    <t>关于YMZSJDG26001扣款的请示</t>
  </si>
  <si>
    <t>我司于2026年1月8日与广州市禾润兴饲料有限公司签订内贸玉米合编号 YMZSJDG26001，合同数量 2000 吨，单价 2370 元/吨。同，
客户 2026年3月2号于新沙港长鑫86 提货，提单号 XSCX8625039因工厂检测抽检，其中 62.74 吨杂质为 2.5%，不符合合同约定标准，经过双方友好协商,按 30 元/吨扣款接收,即总共扣款62.74吨*30 元/吨=1882.2元</t>
  </si>
  <si>
    <t>YMZSJDG26002</t>
  </si>
  <si>
    <t>关于 YMZSJDG26002 扣款的请示</t>
  </si>
  <si>
    <t>我司于2026年1月8日与金钱饲料(东莞)有限公司签订内贸玉米合同，编号 YMZS.JDG26002，合同数量 2500 吨，单价 2406 元/吨。客户2026年2月27号于新沙港安丰 09/2604 提货，提单号XSAF0926006,因工厂检测抽检,其中2498.42吨杂质为 3.45%,水分 15.65%,不符合合同约定标准，经过双方友好协商，按10元/吨扣款接收，即总共扣款 2498.42 吨*10 元/吨=24984.2元</t>
  </si>
  <si>
    <t>YMYXMM250880</t>
  </si>
  <si>
    <r>
      <rPr>
        <sz val="12"/>
        <color rgb="FF000000"/>
        <rFont val="微软雅黑"/>
        <charset val="134"/>
      </rPr>
      <t>关于双胞胎 YMYXMM250880 在“</t>
    </r>
    <r>
      <rPr>
        <sz val="11.05"/>
        <color rgb="FF000000"/>
        <rFont val="微软雅黑"/>
        <charset val="134"/>
      </rPr>
      <t>中恒顺丰/2602”</t>
    </r>
    <r>
      <rPr>
        <sz val="12"/>
        <color rgb="FF000000"/>
        <rFont val="微软雅黑"/>
        <charset val="134"/>
      </rPr>
      <t>质量扣款的情况说明</t>
    </r>
  </si>
  <si>
    <t>双胞胎（集团）股份有限公司 YMYXMM250880（合同量 6000 吨，单价 2360 元），签订日期为 202
5 年 12 月 23 日，合同约定杂质≤1%。该合同执行 5965.74 吨，2026 年 2 月 2 日-2026 年 2 月 5 日在中心
大船“中恒顺丰/2602”轮提货，862.65 吨杂质 1.43-1.67%超标，不符合同规定。经我司业务人员核实，检
测结果确实存在。秉承长期友好合同原则，经我部与客户多次友好协商后，862.65 吨申请扣款 10 元/吨，申
请扣款金额合计 8626.5 元。</t>
  </si>
  <si>
    <t>关于双胞胎 YMYXMM250880 在“锦江河/2523”质量扣款的情况说明</t>
  </si>
  <si>
    <t>双胞胎（集团）股份有限公司 YMYXMM250880（合同量 6000 吨，单价 2360 元），签订日期为 202
5 年 12 月 23 日，合同约定水分≤15%、杂质≤1%。该合同执行 5965.74 吨，2026 年 1 月 7 日-2026 年 1
月 9 日在外采大船“锦江河/2523”轮提货，67.33 吨水分 15.18-15.6%超标；461.44 吨水分 15.18-15.6%
且杂质 1.2-1.4%超标，不符合同规定。经我司业务人员核实，检测结果确实存在。秉承长期友好合同原则，
经我部与客户多次友好协商后，67.33 吨申请扣款 10 元/吨，461.44 吨申请扣款 20 元/吨，申请扣款金额合
计 9902.1 元。该扣款情况已报备饲料原料部，由饲料原料部向供应方扣款弥补我司损失。</t>
  </si>
  <si>
    <t>YMZSJJY250221</t>
  </si>
  <si>
    <t>关于 YMZSJJY250221 扣款</t>
  </si>
  <si>
    <t>丰顺县海新饲料有限公司，2026 年 1 月 22 日签订的《粮食销售合同（赊销）》(合同编号:YMZSJJY250221)
合同数量 2000 吨，合同单价 2425 元/吨，数量 1000 吨，单价 2430 元/吨，客户提货鑫泰 128/2604，该合同
已累计交货 976.79 吨，(其中 2 月 14 日 1 车车号:粤 VT7065，重量 33.1 吨，2 月 25 日 3 车车号:粤 V34913，
重量 32.54 吨，车号:粤 D03333，重量 32.62 吨，车号:粤 MA1287，重量 33.86 吨，合计:132.12 吨)到货玉米
经检验杂质 1.2%杂质和破碎粒超出合同约定指标(杂质≤1%)，不符合客户接受指标。针对该批次到厂不合格玉
米，经双方友好协商处理后，退货转扣款接收。</t>
  </si>
  <si>
    <t>鑫泰 128/2604</t>
  </si>
  <si>
    <t xml:space="preserve"> YMZSJJY250221</t>
  </si>
  <si>
    <t>YMZSJJY250228</t>
  </si>
  <si>
    <t>关于 YMZSJJY250228 扣款</t>
  </si>
  <si>
    <t>梅州双胞胎饲料有限公司，2026 年 2 月 3 日签订的《粮食销售合同（赊销）》(合同编号:YMZSJJY250228)
合同数量 1500 吨，合同单价 2420 元/吨，客户提货航安顺/2603，提货重量 1494.03 吨，经检测十四车共计 520.87
吨水分超出合同约定不符合合同约定标准（水分≤15%），一车 43.11 吨赤霉毒素超过合同约定标准（赤霉≤
200ppb）我司承担该批次下超标水分、赤霉 563.98 吨折合货款 8926.81元。</t>
  </si>
  <si>
    <t>质量问题（水分/赤霉）</t>
  </si>
  <si>
    <t>JZXYMHN260011</t>
  </si>
  <si>
    <t>2026/2/4-5</t>
  </si>
  <si>
    <t>海口金长城饲料有限公司扣款说明</t>
  </si>
  <si>
    <t>我司与海口金长城饲料有限公司于2026年1月26日签订的《粮食销售合同》（合同号：JZXYMHN260011），合同数量550吨，合同单价2480元/吨。截止目前共计执行553.705吨，执行完毕。该批货物在接卸过程中客户发现玉米水分超过合同约定标准，我司现场人员范闻超和工厂品管人员共同抽样，样品邮寄北方复测后，确认结果事实存在，复测水分15.2-15.5%。经双方友好协商，此批玉米共305.84吨，客户计划扣款7246.9元，经与客户协商，扣款5000元，折合单吨扣款16.35元/吨。</t>
  </si>
  <si>
    <t>YMFJFZ260029</t>
  </si>
  <si>
    <t>我司与南平华农恒青农牧有限公司于 2026 年2月10日签订《粮食销售合同》（合同编号：YMFJFZ260029），数量400吨，赊销，单价2450元/吨，合同约定水分≤15%，杂质≤1%，呕吐毒素≤1000ppb。该合同已累计提货397.25吨，客户2026年2月28日接收174.67吨玉米，存在提货杂质超标的情况。所提货物匹配船名：正海3/2601。
  经与客户多次协商沟通，客户对该批玉米扣款接收，其中174.67吨玉米，原产生商务扣款11608.13元，经双方多次协商扣款5804.06元（人民币伍仟捌佰零肆元零角陆分），折单吨扣款33.2元/吨（整笔合同折单吨扣款14.6元/吨）。我司在2月10日销售时，当日赊销指导价格2430元/吨，我司已加价20元/吨，可覆盖扣款。
     以是否可行，烦请领导批示，谢谢。</t>
  </si>
  <si>
    <t>正海3/2601</t>
  </si>
  <si>
    <t>JCYMFJFZ250017-1</t>
  </si>
  <si>
    <t>关于福建省金华龙饲料有限公司商务处理说明</t>
  </si>
  <si>
    <t>兹有我司与福建省金华龙饲料有限公司于2026年1月19日签订《粮食销售合同》，合同号:JCYMFJFZ250017-1，合同数量500吨，单价2378元/吨，该合同截止2月10日共计提货515.32吨，检测水分超标(合同约定水分≤15.9%，实测结果15.11%~15.5%)，已超出合同约定标准，经双方友好协商按15元/吨扣款，以上质量扣款合计7729.8元。
以上扣款对应兆丰6/2601(一体化粮源，经华正检验重新复测水分整体超标)，以上扣款是否可行，请领导批示。</t>
  </si>
  <si>
    <t>兆丰6/2601</t>
  </si>
  <si>
    <t>张子杰</t>
  </si>
  <si>
    <t>YMFJFZ250196</t>
  </si>
  <si>
    <t>关于福建省福清华龙饲料有限公司商务处理说明</t>
  </si>
  <si>
    <t>兹有我司与福建省福清华龙饲料有限公司于2025年11月28日签订《粮食销售合同》，合同号:YMFJFZ250196，合同数量500吨，截止3月4日提货完毕，共计提货517.52吨，其中2026年1月19日至2026年1月29日提货397.59吨，其中提货165.6吨检测水分霉变超标(合同约定水分≤15.0%，霉变≤2%，实测结果15.54%~16.2%)，已超出合同约定标准，经双方友好协商按25元/吨扣款，以上质量扣款4140元;其中188.78吨检测水分霉变超标(合同约定水分≤15.0%，实测结果15.1%~15.5%)，已超出合同约定标准，经双方友好协商按15元/吨扣款，以上质量扣款2831.7元，该合同共计扣款6971.7元。折合合同扣款13.47元/吨。以上扣款玉米，实际对应兆丰6/2601(一体化粮源，经华正检验重新复测水分整体超标)以上扣款是否可行，请领导批示。</t>
  </si>
  <si>
    <t>质量问题（水分/霉变）</t>
  </si>
  <si>
    <t>JZXYMGXQZ260007</t>
  </si>
  <si>
    <t>关于广西诚轩粮汇贸易有限公司玉米水分商务扣款</t>
  </si>
  <si>
    <t>与广西诚轩粮汇贸易有限公司签订的《粮食销售合同》，合同号:JZXYMGXQZ260007，数量300吨，单价2490元/吨。客户于3月4日到3月5日提货到厂的以下箱号玉米水分超标，不符合合同质量标准，检测指标在15.4-15.9区间。发运计划号：JZXYMSZCG260008；运单：ZG26025109096；ZG26025109104；ZG26015060048，共10箱，301.80吨。经双方协商扣款让步接收，标准为8元/吨，合计金额2414.40元。</t>
  </si>
  <si>
    <t>能覆盖</t>
  </si>
  <si>
    <t>YMLDW2603033001-1</t>
  </si>
  <si>
    <t>关于广西忠昇饲料有限公司 YMLDW2603033001 玉米集装箱合同扣款请示</t>
  </si>
  <si>
    <t>广西忠昇饲料有限公司 YMLDW2603033001玉米集装箱合同（1000吨，现金2490元/吨,钦州港自提)于3月4日至6日期间提货到厂出现水分超出合同标准情况（15.3-16.4）。发运计划号：JZXYMSZCG260008，运单：ZG26015060118,ZG26015060036,ZG26015060106,ZG26015060098,ZG26015060086,ZG26015060074,ZG26015060062,ZG26015060050,ZG26010008536共34箱，合计1023.42吨。客户原则上拒收，经过沟通，要求整体扣款27428.79元（折单吨27元/吨）并发出商函，经最终沟通后，本着长期友好合作理念，客户让步同意对该合同整体进行5元/吨扣款接收，合计扣款：5117.1元。</t>
  </si>
  <si>
    <t>YMLDW2603033001</t>
  </si>
  <si>
    <t>YMYXMM260008-1</t>
  </si>
  <si>
    <r>
      <rPr>
        <sz val="12"/>
        <color rgb="FF000000"/>
        <rFont val="微软雅黑"/>
        <charset val="134"/>
      </rPr>
      <t>关于北流响亮 YMYXMM260008-1 在“</t>
    </r>
    <r>
      <rPr>
        <sz val="11.05"/>
        <color rgb="FF000000"/>
        <rFont val="微软雅黑"/>
        <charset val="134"/>
      </rPr>
      <t>益嘉 98/2534”</t>
    </r>
    <r>
      <rPr>
        <sz val="12"/>
        <color rgb="FF000000"/>
        <rFont val="微软雅黑"/>
        <charset val="134"/>
      </rPr>
      <t>质量扣款的情况说明</t>
    </r>
  </si>
  <si>
    <t>北流市响亮饲料有限公司 YMYXMM260008-1（合同量 3000 吨，单价 2420 元），签订日期为 2026
年 1 月 19 日，合同约定容重≥685g/L，呕吐毒素≤2000ug/kg，水分≤15.0%，杂质≤1.0%，霉变粒≤2.0%，
不完善粒≤10%，黄曲霉毒素 B1≤20μg/kg，玉米赤霉烯酮≤200μg/kg。该合同执行 2991.4 吨，2026 年 1
月 27 日-2026 年 1 月 31 日在中心大船“益嘉 98/2534”轮提货，711.58 吨呕吐毒素超标，在 2004.27pp
b-2135.38ppb，不符合同规定。经我司业务人员核实，检测结果确实存在。秉承长期友好合同原则，经我部
与客户多次友好协商后，申请扣款 20 元/吨，申请扣款金额合计 14231.6 元。成交时预留 5 元/吨溢价处理质
量扣款，预留价差可覆盖扣款。</t>
  </si>
  <si>
    <t>益嘉 98/2534</t>
  </si>
  <si>
    <t>关于北流响亮 YMYXMM260008-1 在“锦江河/2523”质量扣款的情况说明</t>
  </si>
  <si>
    <t>北流市响亮饲料有限公司 YMYXMM260008-1（合同量 3000 吨，单价 2420 元），签订日期为 2026
年 1 月 19 日，合同约定容重≥685g/L，呕吐毒素≤2000ug/kg，水分≤15.0%，杂质≤1.0%，霉变粒≤2.0%，
不完善粒≤10%，黄曲霉毒素 B1≤20μg/kg，玉米赤霉烯酮≤200μg/kg。该合同执行 2991.4 吨，2026 年 1
月 23 日-2026 年 1 月 26 日在外采大船“锦江河/2523”轮提货，784.12 吨水分 15.21-15.46%，杂质 1.12
-1.38%，不符合同规定。经我司业务人员核实，检测结果确实存在。秉承长期友好合同原则，经我部与客户
多次友好协商后，申请扣款 20 元/吨，申请扣款金额合计 15682.4 元。该扣款情况已报备饲料原料部。</t>
  </si>
  <si>
    <t>质量问题（水分/杂质）</t>
  </si>
  <si>
    <t>锦江河/2523</t>
  </si>
  <si>
    <t>YMZSJJY250230</t>
  </si>
  <si>
    <t>关于揭阳市温氏畜牧有限公司YMZSJJY250230扣款</t>
  </si>
  <si>
    <r>
      <rPr>
        <sz val="10.5"/>
        <color theme="1"/>
        <rFont val="微软雅黑"/>
        <charset val="134"/>
      </rPr>
      <t>2026年2月10日签订的《粮食销售合同（赊销）》(合同编号:YMZSJJY250230)合同数量2000吨，合同单价2410元/吨，客户提货鑫泰128/2604，提货重量693.43吨，经检测十三车共计459.7吨赤霉烯酮（266-1099）、呕吐毒素(2300)超出合同约定不符合合同约定标准（</t>
    </r>
    <r>
      <rPr>
        <sz val="10.5"/>
        <color rgb="FF000000"/>
        <rFont val="宋体"/>
        <charset val="134"/>
        <scheme val="minor"/>
      </rPr>
      <t>赤霉烯酮≤200ppb、呕吐毒素≤2000ppb</t>
    </r>
    <r>
      <rPr>
        <sz val="10.5"/>
        <color theme="1"/>
        <rFont val="微软雅黑"/>
        <charset val="134"/>
      </rPr>
      <t>），我司承担该批次下超标水分459.7吨折合货款 9194元。</t>
    </r>
  </si>
  <si>
    <t>鑫泰128/2604</t>
  </si>
  <si>
    <t>YMZSJJY250216</t>
  </si>
  <si>
    <t>关于丰顺县海新饲料有限公司YMZSJJY250216商务扣款</t>
  </si>
  <si>
    <t>2026年1月7日签订的《粮食销售合同》(合同编号:YMZSJJY250216)合同数量5000吨，合同单价2400元/吨，客户提货国翔3/2540、锦航佰福/2532，该合同已累计交货4945.39吨，(其中1月26日4车车号:赣C1715D,重量34.26吨，车号:粤VT7065，重量34.47吨，车号:赣C2186D，重量35.75吨，车号:赣C3535D，重量38.12吨，1月27日2车车号:CU2823，重量33.1吨，车号:粤MA1287,重量35.36吨,2月10日4车车号:粤MR7785,重量34.55吨，车号:粤D28948，重量36.46吨，车号:粤VR5572，重量37.42吨，车号:赣C88710，重量42.57吨合计:362.06吨)到货玉米经检验杂质1.2%杂质和破碎粒超出合同约定指标(杂质≤1%)，不符合客户接受指标。针对该批次到厂不合格玉米，经双方友好协商处理后退货转扣款接收。
目前情况合计产生扣款3620.6元</t>
  </si>
  <si>
    <t>国翔3/2540</t>
  </si>
  <si>
    <t>YMZSJJY250227</t>
  </si>
  <si>
    <t>关于丰顺县海新饲料有限公司YMZSJJY250227商务扣款</t>
  </si>
  <si>
    <t>2026年1月7日签订的《粮食销售合同》(合同编号:YMZSJJY250227)合同数量1000吨，合同单价2425元/吨，客户提货鑫泰128/2604，该合同己累计交货988.43吨，(其中2月26日3车车号:粤D28948，重量34.73吨，车号:赣COP948，重量34.72吨，车号:C7N331，重量36.2吨，3月8日2车车号:粤VZ1486，重量30.47吨，车号:C5615D，重量32.47吨，合计:168.59吨)到货玉米经检验杂质1.2%杂质和破碎粒超出合同约定指标(杂质≤1%)，不符合客户接受指标。针对该批次到厂不合格玉米，经双方友好协商处理后，退货转扣款接收。目前情况合计产生扣款1685.9元</t>
  </si>
  <si>
    <t>:JCYMZSJQY250043-2</t>
  </si>
  <si>
    <t>关于苏州穗满德国际贸易有限公司商务扣款</t>
  </si>
  <si>
    <t>苏州穗满德国际贸易有限公司，2026 年 1 月 27 日签订的《粮食销售合同》(合同编
号:JCYMZSJQY250043-2)合同数量 800 吨,合同单价 2439 元/吨,客户提货大船东星海泰/82（一
体化粮源），3.9 日，客户提货到厂，检测结果霉变、杂质超标，超出合同约定标准，申请扣款 19
元/吨，合计扣款 15041.16 元，由一体化承担。</t>
  </si>
  <si>
    <t>质量问题（杂质、霉变）</t>
  </si>
  <si>
    <t>JZXYMZSJJM26026</t>
  </si>
  <si>
    <t>关于广州市天伟生物科技有限公司垫付柜子的费用联系单</t>
  </si>
  <si>
    <t>一、运单 ASNJNSN250754887, 箱号 TELU2369392、TEMU1234924 和 GCXU2010844,该3个柜子，原先计划卖给开平市绿皇农牧发展有限公司(JZXYMZSJM25059、560、单价2280元)，合同签订日期2025年10月29日。因质量问题，绿皇退回给港口后，转卖给广州市天伟生物科技有限公司(JZXYMZSJM25069、84吨、单价1800元)，合同签订日期2025年11月13日。期间3个柜子共产生滞期费180*3=540元，当时由客户先行帮忙垫付以便接收柜子。因当时临近年末结算，不便冲销发票重新开票，双方经协商后，此费用在后续的JZXYMZSJM26026合同结算
中扣除。二、运单AQMHQKE260081920A，箱号ATHU1228154，原先计划卖给开平市绿皇农牧发展有限公司(ZXYMZSJM26017、535、单价2460元)，合同签订日期2025年3月3日。因质量问题，绿皇退回给港口后，转卖给广州市天伟生物科技有限公司(JZXYMZSJM26026、17.5吨、单价2200元)，合同签订日期2026年3月11日。
期间该柜子产生了重出重回的运费，共计780元，当时由客户先行帮忙垫付以便接收柜子，此费用在后续结算中扣除。
综上，共计540+780=1320元，现申请由我司承担，在JZXYMZSJM26026合同结算中扣除。</t>
  </si>
  <si>
    <t>YMZSJDKHISBT2600017</t>
  </si>
  <si>
    <t>2026年2月6日我司与双胞胎集团签订内贸玉米合同，合同号:YMZSJDKHISBT2600017，单价分别为2400元/吨。客户提南沙港东星海泰/82货物，报32.06屯货物杂质超标，属于折价接收范围，单吨扣价10元</t>
  </si>
  <si>
    <t>YMZSJHD260076</t>
  </si>
  <si>
    <t>海大商务扣款</t>
  </si>
  <si>
    <t>2026年2月11日我司与海大集团下属子公司签订内贸玉米合同，合同号:YMZSJHD260076,单价为2380元/吨。客户提南方地采-谷润/25199货物,报1096.92吨货物水分超标，在货物中挑拣出石块86.1KG，单吨扣价10元</t>
  </si>
  <si>
    <t>南方地采-谷润/25199</t>
  </si>
  <si>
    <t>YMGXXJ260017</t>
  </si>
  <si>
    <t>贵港万千执行内贸玉米商务</t>
  </si>
  <si>
    <t>合同在执行苏湾码头最后一公里配送的集改散玉米中因霉变超标产生了其商务纠纷，经多次协商对本合同执行的 2 车(桂R01608D、桂 R02918D)84.4 吨做扣款 422 元接收处理。另一车桂 R05931D 霉变指标较高，退回苏湾仓库。</t>
  </si>
  <si>
    <t>质量问题（霉变）</t>
  </si>
  <si>
    <t>JCYMGXXJ260002-1</t>
  </si>
  <si>
    <t>广西绿永内贸玉米商务</t>
  </si>
  <si>
    <t>JCYMGXXJ260002-1 合同在执行珠三角的福顺 338 中因杂质超标产生了
其商务纠纷，经多次协商对本合同执行的 12 车 455.47 吨，总计扣款 2277.4
元接收处理</t>
  </si>
  <si>
    <t>福顺 338</t>
  </si>
  <si>
    <t>JCYMGXXJ260004-2</t>
  </si>
  <si>
    <t>宾阳通威执行内贸玉米商务</t>
  </si>
  <si>
    <t>JCYMGXXJ260004-2 合同在执行白沙码头最后一公里配送的长鑫 86 中
因水分超标产生了其商务纠纷，经多次协商对本合同执行的 15 车 748.82 吨
做扣款 3744.1 元接收处理（详细见附件一），对应扣款吨数折合单吨 5 元/
吨</t>
  </si>
  <si>
    <t>长鑫 86</t>
  </si>
  <si>
    <t>YMFJFZ260005</t>
  </si>
  <si>
    <t>有关南平海大生物科技有限公司玉米商务事项</t>
  </si>
  <si>
    <t>我司与南平海大生物科技有限公司于 2026 年1月6日签订《粮食销售合同》（合同编号：YMFJFZ260005），数量540吨，单价2390元/吨，合同约定水分≤15%，杂质≤1%。该合同已累计提货537.54吨，客户2026年1月20日-2月11日接收288.03吨玉米，存在提货杂质超标严重的情况，部分水分超标。所提货物来源船名：兆丰6/2601。
经与客户多次协商沟通，客户对该批玉米扣款接收，共计288.03吨玉米，产生商务扣款14401.5元，（人民币壹万肆仟肆佰零壹元伍角），折单吨扣款50元/吨。该船玉米已与第三方检测人员一同检测，同时对于客户反馈的商务第一时间与第三方检测人员到工厂核实情况。客户原需退货处理，经多次协商，客户同意扣款接收。
     以是否可行，烦请领导批示，谢谢。</t>
  </si>
  <si>
    <t>质量问题（杂质水分）</t>
  </si>
  <si>
    <t>YMFJZZ260043</t>
  </si>
  <si>
    <t>有关龙岩大北农生物科技有限公司玉米商务扣款事项</t>
  </si>
  <si>
    <t>兹有我司与龙岩大北农生物科技有限公司于2026年02月04日签署生效的《粮食销售合同(赊销)》(合同编号:YMFJZZ260043)，合同数量300吨，合同单价2410元/吨，截止至2026年03月08日，该合同累计提货282.4吨，其中客户于2026年3月1日提货批次对应2车合计65.46吨玉米经检测水分超标，经双方友好协商，该批次货物由退货转扣款接收。以上情况合计产生扣款566.35元。</t>
  </si>
  <si>
    <t>信耀/2604</t>
  </si>
  <si>
    <t>YMZSJJY250229</t>
  </si>
  <si>
    <t>有关丰顺温氏家禽有限公司玉米商务扣款事项</t>
  </si>
  <si>
    <t>丰顺温氏家禽有限公司， 2026 年 2 月 5 日签订的《粮食销售合同（赊销）》(合同编号:YMZSJJY250229)
合同数量 2000 吨，合同单价 2410 元/吨，客户提货鑫泰 128/2604、航安顺/2603，提货重量 1981.94 吨，提
货时间2026年2月11日至3月9日，经检测二十六车共计 938.91 吨杂质、赤霉烯酮、黄曲霉毒素超出合同约定不
符合合同约定标准（赤霉烯酮≤200ppb 、黄曲霉毒素≤30ppb、杂质≤1） ，我司承担该批次下超标杂质、赤霉
烯酮、黄曲霉毒素 938.91 吨折合货款 28167.3 元</t>
  </si>
  <si>
    <t>JCYMZSJJY250155-1</t>
  </si>
  <si>
    <t>有关揭阳海大饲料有限公司玉米商务扣款事项</t>
  </si>
  <si>
    <t>揭阳海大饲料有限公司，2026 年 1 月 27 日签订的《粮食销售合同》(合同编号:JCYMZSJJY250155-1)合同
数量 3000 吨，合同单价 2412.51 元/吨，客户提货鑫泰 128/2604，提货重量 2990.64 吨，经检测两车赣 DK8181、
赣 FC0156 共计 69.78 吨水分分别为 15.24%、15.18%超出合同约定不符合合同约定标准（水分≤15%），我司
承担该批次下超标水分 69.78 吨折合货款 348.9 元。</t>
  </si>
  <si>
    <t>YMFJFZ260021</t>
  </si>
  <si>
    <t xml:space="preserve">兹有我司与福建圣农发展（浦城）有限公司签订YMFJFZ260021号《粮食销售合同》，合同数量500吨，单价2550元/吨，截止3月15日，该合同实际送货509.74吨，接货509.96吨，质量扣款6400.5元，折合扣款12.55元/吨，该扣款为圣农杂质及不完善粒固定扣款，在销售合同时已预留12元/吨溢价进行销售，实际无损失。
以上扣款，是否可行，请领导批示。
</t>
  </si>
  <si>
    <t>是</t>
  </si>
  <si>
    <t>YMZSJM26013</t>
  </si>
  <si>
    <t>关于贵港瑞康YMZSJM26013合同的质量扣款</t>
  </si>
  <si>
    <t>贵港瑞康饲料有限公司，于2026年1月28日签订的《粮食销售合同》(合同编号:YMZSJM26013、合同数量5000吨、合同单价2370元/吨，提货大船为南沙港的东星海泰/82。2026年3月3日送货至工厂的驰海5599船玉米，经客户质检部门检测，该船杂质超标:该船玉米共入库1598.06 吨，其中 836.36吨杂质占比例2.08%,不符合原合同质量标准杂质≤1%.杂质超标扣款合计:836.36 吨*(2.08%-1%)*2,370元/吨=21407.47元。此费用双方协商后，该笔扣款在结算时扣减，总扣减金额为21407.47元。</t>
  </si>
  <si>
    <t>YMFJFZ260034</t>
  </si>
  <si>
    <t>我司与南平华农恒青农牧有限公司于 2026 年2月24日签订《粮食销售合同》（合同编号：YMFJFZ260034），数量500吨，赊销，单价2475元/吨，合同约定水分≤15%，杂质≤1%，呕吐毒素≤1000ppb。该合同已累计提货507吨，客户2026年3月3日-3月13日接收362.22吨玉米，存在提货杂质超标的情况。所提货物匹配船名：正海3/2601。   经与客户多次协商沟通，客户对该批玉米扣款接收，其中362.22吨玉米，原产生商务扣款10385.18元，经双方多次协商扣款7269.63元（人民币柒仟贰佰陆拾玖元陆角叁分），折单吨扣款20元/吨（整笔合同折单吨扣款14.33元/吨）。我司在2月24日销售时，当日赊销指导价格2453元/吨，我司已加价22元/吨，可覆盖扣款。</t>
  </si>
  <si>
    <t>我司与将乐温氏家禽有限公司于 2026年1月21日签订《粮食销售合同》（合同编号：YMFJFZ260011），数量1000吨，赊销，单价2515元/吨，合同约定水分≤15%，杂质≤1%。该合同已累计提货982.37吨，客户2026年3月1日-3月11日接收的230.02吨玉米，存在杂质粉尘超标。所提货物匹配船名：兆丰6/2601。    
     经与客户多次协商沟通，对杂质破碎超标的230.02吨玉米客户原定扣款25元/吨接收转为扣款15元/吨接收，产生商务扣款3450.3元（人民币叁仟肆佰伍拾元叁角），整笔合同折单吨扣款3.5元/吨。该船货物北方第三方检测人员一同到福州作卸船检测，相应的杂质超标情况已及时反应北方。</t>
  </si>
  <si>
    <t>YMFJFZ260030</t>
  </si>
  <si>
    <t>关于福州市农益森农业发展有限公司商务扣款说明</t>
  </si>
  <si>
    <t>兹有我司与福州市农益森农业发展有限公司签订YMFJFZ260030号《粮食销售合同》，合同数量2000吨，单价2420元/吨，截止3月15日，该合同实际提货2098.58吨，在接货过程中，其中873.54吨存在杂质及水分超标情况(水分检验15.3-16%，杂质2-4%)，质量扣款21838.5元，折合扣款25元/吨，该部分数量对应兆丰6、炜业99，(2船检验报告均有杂质超标和水分超标检验报告)。</t>
  </si>
  <si>
    <t>质量问题（杂质，水分）</t>
  </si>
  <si>
    <t>兆丰6/2601、炜业99</t>
  </si>
  <si>
    <t>JZXYMZSJQY260008</t>
  </si>
  <si>
    <t>广东比利美英伟结算扣款</t>
  </si>
  <si>
    <t>广东比利美英伟生物科技有限公司，2026 年 1 月 23 日签订的《粮食销售合同》(合同编
号 :JZXYMZSJQY260008) 合 同 数 量 500 吨 , 合 同 单 价 2470 元 / 吨 , 客 户 提 货 外 采 合 同 号
JZXYMSZCG260012，运单号 ZG26025090442_A、ZG26020055030，我司 3.2-3.5 日配送到厂，
其中 6 柜到厂检测呕吐毒素超标（合同约定呕吐毒素≤1000ppb），经与客户协商后，客户扣款接
收，明细如下，合计扣款 1950.42 元，经与品种线沟通，该部分扣款由上游承担。</t>
  </si>
  <si>
    <t>JZXYMSZCG260012</t>
  </si>
  <si>
    <t>YMFJFZ250194</t>
  </si>
  <si>
    <t>关于南平鑫华港饲料有限公司商务处理说明</t>
  </si>
  <si>
    <t>兹有我司与南平鑫华港饲料有限公司于2025年11月28日签订《粮食销售合同》，合同号:YMFJFZ250194，合同数量2000吨，截止3月24日提货完毕，共计提货2000.09吨，其中2026年1月20日至2026年2月12日提货1392.02吨，其中检测水分、杂质超标(合同约定水分≤15.0%，实测结果15.21%~16.2%;合同约定杂质≤1%，实测结果2.1%~3.2%)，已超出合同约定标准，经双方友好协商按20元/吨扣款，以上质量扣款27840.4元。
以上扣款玉米，实际对应兆丰6/2601(一体化粮源，经华正检验重新复测水分整体超标)以上扣款是否可行，请领导批示。</t>
  </si>
  <si>
    <t>质量问题（杂质,水分）</t>
  </si>
  <si>
    <t>清远加乐JZXYMZSJQY260018合同结算扣款</t>
  </si>
  <si>
    <t>清远加乐饲料有限公司于2026年2月10日签订的《粮食销售合同》(合同编号:JZXYMZSJQY260018)合同数量330吨,合同单价 2460 元/吨,客户提货外采合同号JZXYMSZCG260012，运单号ZG26025090454，我司配送到厂，其中10柜到厂检测呕吐毒素、水分超标，(合同约定呕吐毒素≤1000ppb,水分≤15%)经与客户协商后，客户扣款接收，合计扣款9787.76元，已经沟通品种线，该部分扣款由上游承担。</t>
  </si>
  <si>
    <t>质量问题（毒素、水分）</t>
  </si>
  <si>
    <t>YMZSJDKHLY250166</t>
  </si>
  <si>
    <t>关于广东正钱饲料有限公司YMZSJDKHLY250166扣款的请示</t>
  </si>
  <si>
    <t>我司于2025年11月4日与广东正钱饲料有限公司签订内贸玉米合同，编号YMZSJDKHLY250166，数量2000吨，单价2190元/吨。
客户于新沙港安丰09/2604提货，提单号XSAF0926007，因工厂卸货时其中一车到货30.74 吨卸出砖块，砖块称重共0.026吨。因对客户成品以及口碑造成影响，将该部分重量折合扣价0.026*2190=56.94元，剩余30.714吨玉米按 10 元/吨处理费扣价30.714*10=307.14元，合计需扣价:56.94+307.14=364.08元。</t>
  </si>
  <si>
    <t>其他问题</t>
  </si>
  <si>
    <t>安丰09/2604</t>
  </si>
  <si>
    <t>YMZSJDKHLY250168</t>
  </si>
  <si>
    <t>关于清远正清源畜牧实业有限公司YMZSJDKHLY250168扣款的请示</t>
  </si>
  <si>
    <t>我司于2025年11月4日与清远正清源畜牧实业有限公司签订内贸玉米合同，编号YMZSJDKHLY250168，数量2000吨，单价2190元/吨。客户于新沙港长鑫86提货，提单号XSCX8625041，共计提货四车122.74吨。因工厂检测呕吐毒素偏高，综合平均呕吐毒素1928.94ppb。因对客户成品以及口碑造成影响，扣价10元/吨，需扣价: 122.74*10=1227.4元。</t>
  </si>
  <si>
    <t>YMFJFZ260017</t>
  </si>
  <si>
    <t>我司与正大原料供应有限公司于 2025 年1月22日签订《粮食销售合同》（合同编号：YMFJFZ260017），数量 500 吨，单价2460元/吨，合同约定杂质≤1%，不完善粒≤8%，呕吐毒素≤1000ug/kg。 客户于2026年2月5日-3月10日提货的498.09吨玉米存在杂质、水分、呕吐毒素超标情况。其中第二批接货83.83吨，合计产生扣款1295.28元。
整批合同提货的498.09吨玉米存在杂质、水分、呕吐毒素超标情况，共计扣款11793.57元（大写：人民币壹万壹仟柒佰玖拾叁元伍角柒分），折单吨23.67元。所提货物匹配船名：兆丰6/2601。
2026年1月22日的指导价格2437元/吨，有23元/吨的溢价销售，同时对于兆丰6/2601的玉米，北方第三方检测华正已派人到现场进行共同检测，该批到货玉米实际存在杂质、水分超标的情况。
      以上扣款请领导批示，谢谢。</t>
  </si>
  <si>
    <t>YMZSJDG26016</t>
  </si>
  <si>
    <t>关于 YMZSJDG26016 合同扣款的请示</t>
  </si>
  <si>
    <t>我司于2026年2月9日与正大康地(广州番禺)有限公司签订内贸玉米合编号YMZSJDG26016,合同数量2500吨,单价2405元/吨。客户于2026年3月18号-21号于新港南方地采-首裕/26010提货，提单号NFDCSY2601002,因工厂检测抽检,其中414.66 吨水分为15.31%-15.49%不符合合同约定标准，经过双方友好协商，其中128.98 吨水分为15.31%，按9元/吨扣款接收，水分为15.49%的285.68吨，按14元/吨扣款接收。即总共扣款128.98吨*9元/吨+285.68吨*14元/吨=5158.66元</t>
  </si>
  <si>
    <t>南方地采-首裕/26010</t>
  </si>
  <si>
    <t>YMZSJDG26011</t>
  </si>
  <si>
    <t>关于 YMZSJDG26011合同结算说明的请示</t>
  </si>
  <si>
    <t>我司于2026年1月16日与佛山市顺德区利宝饲料有限公司签订内贸玉米合同，编号 YMZSJDG26011，合同数量 4000吨，单价2345元/吨该合同为配送合同，结算数为3847.815吨，提单号NSDXHT8126027和NSDXHT8226002按照港口磅单结算。提单号NSDXHT8126027，损耗989.458吨*千分之 2=1.979 吨，我司承担16.345 吨，结算数 973.113 吨;提单号NSDXHT8226002，损耗958.93吨*千分之 2=1.918吨，我司承担 40.434 吨结算数为 918.496 吨。</t>
  </si>
  <si>
    <t>其他原因（损耗）</t>
  </si>
  <si>
    <t>东星海泰81</t>
  </si>
  <si>
    <t>YMZSJDG26050</t>
  </si>
  <si>
    <t>关于 YMZSJDG26050合同结算说明的请示</t>
  </si>
  <si>
    <t>我司于2026年1月30日与广州番禺灵川饲料有限公司签订内贸玉米合同，编号 YMZSJDG26050，合同数量700吨，单价2338元/吨。
客户2026年3月13号于麻涌港南方地采-谷润/25199提货，提单号NFDCGR26019，码头实装数598.30吨，我实收数596.45吨，差异1.85吨，损耗率0.3%，超出0.1%损耗(即0.6吨*2338元/吨=1402.8元)。因该合同为配送合同，申请在货款中扣除1402.8元(附扣款商函(备注:其中1402.8元损失，烦请物流仓储部在与物流公司结算中扣
除)</t>
  </si>
  <si>
    <t>YMFJZZ260035</t>
  </si>
  <si>
    <t>有关漳州市海扬饲料有限公司玉米商务扣款事项</t>
  </si>
  <si>
    <t>我司与漳州市海扬饲料有限公司于2026年02月03日签署生效的《粮食销售合同（赊销）》（合同编号：YMFJZZ260035)，合同数量1300吨，合同单价2420元/吨，截止至2026年03月18日，该合同累计提货1282.36吨，客户于2026年3月11日至3月17日提货批次玉米经检测杂质超标（均超出合同约定标准），合计提货1282.36吨，对应船名：信耀/2604；</t>
  </si>
  <si>
    <t>YMFJZZ260036</t>
  </si>
  <si>
    <t>有关漳州市海力饲料有限公司玉米商务扣款事项</t>
  </si>
  <si>
    <t>我司与漳州市海力饲料有限公司于2026年02月03日签署生效的《粮食销售合同（赊销）》（合同编号：YMFJZZ260036)，合同数量700吨，合同单价2420元/吨，截止至2026年03月17日，该合同累计提货686.68吨，其中客户于2026年3月04日至3月17日提货玉米杂质严重超标（均超出合同约定标准），合计质量扣款5704.780元，对应船名：信耀/2604</t>
  </si>
  <si>
    <t>YMZSJQY260021</t>
  </si>
  <si>
    <t>关于清远大北农YMZSJQY260021合同结算扣款</t>
  </si>
  <si>
    <t>清远大北农生物科技有限公司，2026年1月23日签订的《粮食销售合同》(合同编号:YMZSJQY260021)合同数量1500吨,合同单价2445元/吨,客户提货大船国家能源611/2603,3.7-3.8日，客户提货到厂，其中五车(161.86吨)检测杂质超标，超出合同约定标准2%,经与客户协商后，客户扣款接收，明细如下，协商后，合计扣款1618.6元</t>
  </si>
  <si>
    <t>国家能源611/2603</t>
  </si>
  <si>
    <t>JZXYMZSJJM26037</t>
  </si>
  <si>
    <t>关于黄敏杰代付过磅费的费用联系单</t>
  </si>
  <si>
    <t>黄敏杰，于2025年11 月25日签订的《玉米销售合同》(合同编号:JZXYMZSJJM25078,同数量330吨、合同单价2415元/吨，柜子数为18柜，提货港口为四会永泰港。因四会永泰港口的要求，每个柜子的过磅费为10元/柜，一共产生了10x18=180元的过磅费，该费用由黄敏杰进行代付。因当时临近年末结算，不便冲销发票重新开票，双方经协商后，此费用在后续的JZXYMZSJJM26037合同结算中扣除。</t>
  </si>
  <si>
    <t>JZXYMZSJJM25078</t>
  </si>
  <si>
    <t>YMFJFZ260008</t>
  </si>
  <si>
    <t>关于南平市丰源饲料有限公司商务处理说明</t>
  </si>
  <si>
    <t>兹有我司与南平市丰源饲料有限公司于2026年1月19日签订《粮食销售合同》，合同号:YMFJFZ260008，合同数量1000吨，单价2370元/吨，该合同累计提货995.33吨，其中139.58吨检测杂质、水分超标(合同约定杂质≤1%，实测结果2%-4%;合同约定水分≤15%，实测结果15.39%-15.42%)，已超出合同约定标准，经双方友好协商按30元/吨扣款，以上质量扣款合计4187.4元。以上扣款玉米，实际对应兆丰6/2601(一体化粮源，经华正检验重新复测水分整体超标)以上扣款是否可行，请领导批示。</t>
  </si>
  <si>
    <t>质量问题（杂质、水分超标）</t>
  </si>
  <si>
    <t>YMFJFZ260013</t>
  </si>
  <si>
    <t>关于宁德鑫华港饲料有限公司商务处理说明</t>
  </si>
  <si>
    <t>兹有我司与宁德鑫华港饲料有限公司于2026年1月23日签订《粮食销售合同》，合同号:YMFJFZ260013,合同数量1000吨，单价2405元/吨，该合同累计提货923.59吨，对应船名:兆丰6/2601，其中449.88吨检测杂质、水分超标(合同约定杂质≤1%，实测结果2%-4.1%;合同约定水分≤15%，实测结果15.39%-15.78%)，已超出合同约定标准，经双方友好协商按20元/吨扣款，以上质量扣款合计8997.6元。
以上扣款玉米，实际对应兆丰6/2601(一体化粮源，经华正检验重新复测水分整体超标)以上扣款是否可行，请领导批示。</t>
  </si>
  <si>
    <t>YMFJFZ260063</t>
  </si>
  <si>
    <t>关于圣农发展（政和）有限公司商务处理说明</t>
  </si>
  <si>
    <t>兹有我司与圣农发展（政和）有限公司签订YMFJFZ260063号《粮食销售合同》，合同数量1000吨，单价2630元/吨，截止3月25日，该合同实际送货962.74吨，接货961.35吨，质量扣款12893.4元，折合扣款13.41元/吨，该扣款为圣农杂质及不完善粒固定扣款，在销售合同时已预留10元/吨溢价进行销售，实际扣款3.41元/吨。</t>
  </si>
  <si>
    <t>华锦隆/2607</t>
  </si>
  <si>
    <t>YMFJFZ260035</t>
  </si>
  <si>
    <t>兹有我司与福建省金华龙饲料有限公司于2026年2月24日签订《粮食销售合同》，合同号:YMFJFZ260035，合同数量600吨，单价2450元/吨，该合同截止3月25日共计提货622.69吨，检测杂质、水分超标(合同约定≤1%，实测结果1.8%-3.01%杂质，合同约定水分≤15%，实测结果15.11%-16.07%)，已超出合同约定标准，经双方友好协商按25.43元/吨扣款，以上质量扣款合计15835元。以上扣款对应兆丰6/2601(一体化粮源，经华正检验重新复测杂质、水分整体超标)，以上扣款是否可行，请领导批示。</t>
  </si>
  <si>
    <t>YMZSJJM26024</t>
  </si>
  <si>
    <t>广东新粮实业有限公司新粮饲料厂扣款情况说明</t>
  </si>
  <si>
    <t>2026年3月23日我司与广东新粮实业有限公司新粮饲料厂签订内贸玉米合同，合同号:YMZSJJM26024,单价为2510元/吨。客户提新沙港国家能源608/2607货物，报996.588吨货物杂质超标，属于折价接收范围，以上扣款涉及商务扣款数量996.588吨。总扣款金额为9965.88元，折单吨扣款为10元。</t>
  </si>
  <si>
    <t>国家能源608/2607</t>
  </si>
  <si>
    <t>YMFJFZ260020</t>
  </si>
  <si>
    <t>关于福建省邵武市华龙饲料有限公司商务处理说明</t>
  </si>
  <si>
    <t>兹有我司与福建省邵武市华龙饲料有限公司于2026年1月30日签订《粮食销售合同》，合同号:YMFJFZ260020，合同数量1000吨，单价2390元/吨，该合同截止3月15日共计提货999.92吨，其中413.34吨检测杂质、71吨水分超标(合同约定杂质≤1%，实测结果1.7%-3.6%，合同约定水分≤15%,实测结果15.41%-15.72%),已超出合同约定标准，经双方友好协商质量扣款合计12073.69元。</t>
  </si>
  <si>
    <t>YMFJFZ260018</t>
  </si>
  <si>
    <t>兹有我司与福建省金华龙饲料有限公司于2026年1月28日签订《粮食销售合同》，合同号:YMFJFZ260018，合同数量1300吨，单价2420元/吨，交货期截止2026年3月31日。该合同截止3月20日共计提货1364.83吨,其中524.42吨检测杂质、水分超标(合同约定杂质≤1%，实测结果1.7%-2.98%，合同约定水分≤15%，实测结果15.54%-16.11%)，已超出合同约定标准，经双方友好协商按25元/吨扣款，以上质量扣款合计13135.5元。
以上扣款对应炜业99/2604(一体化粮源，经华正检验重新复测杂质、水分整体超标)，以上扣款是否可行，请领导批示。</t>
  </si>
  <si>
    <t>JZXYMFJFZ250092</t>
  </si>
  <si>
    <t>有关福建省莆田市新兴达饲料有限公司玉米商务事项</t>
  </si>
  <si>
    <t>我司与福建省莆田市新兴达饲料有限公司签订《粮食销售合同》（合同编号：JZXYMFJFZ250092），数量1650吨，单价2535元/吨，合同约定呕吐毒素≤1000ug/kg。该合同已累计接货1598.16吨，客户2026年1月22日-1月23日接收两柜玉米，经检测存在呕吐毒素超标。经与客户多次协商沟通，客户对毒素超标的两柜玉米扣款接收，产生商务扣款1593.45元（人民币壹仟伍佰玖拾叁元肆角伍分），折价约1元/吨，该合同在销售时已加价保毒素15元/吨，可覆盖扣款，以上是否可行，烦请领导批示，谢谢。</t>
  </si>
  <si>
    <t>质量问题（毒素超标）</t>
  </si>
  <si>
    <t>YMGXQZ260030</t>
  </si>
  <si>
    <t>关于钦州播恩生物YMGXQZ260030合同毒素扣款商务</t>
  </si>
  <si>
    <t>与钦州播恩生物技术有限公司签订的《粮食销售合同》，合同号：YMGXQZ260030，数量1500吨，单价2510元/吨，3月18－31日提“大禹长航/V2607”轮散装玉米，其中有14车共466.96吨呕吐毒素指标超出合同约定标准1500，客户原则上拒收。经双方协商同意，做商务扣款让步接收，合计扣款金额2679.28元，合同折单吨扣款1.78元，客户有预留5元/吨商务，溢余3.22元/吨。（附商函及检测报告已收悉）</t>
  </si>
  <si>
    <t>“大禹长航/V2607”</t>
  </si>
  <si>
    <t>YMZSJJY250232</t>
  </si>
  <si>
    <t>关于正大原料供应有限公司 YMZSJJY250232 扣款</t>
  </si>
  <si>
    <t>于 2026 年 3 月 3 日签订 2000 吨粮食销售合同（合同编号：YMZSJJY250232）
合同单价 2506 元/吨，2026 年 3 月 18 日-2026 年 4 月 15 日,提货数量 1971.46 吨，提货鑫泰
128/2604、锦航奋进/2605。经客户品管检测，此批玉米杂质 1.4-2 超出合同约定标准（杂质≤1）。其中 2026
年 4 月 15 日最后一车玉米水分 15.46，超出合同指标（水分≤15），影响使用。经双方协商， 一致统一做扣
款处理。合计扣款 41388.13 元。该合同签订已预留 11 元/吨作扣款处理。
经双方友好协商处理后，退货转扣款接收，合计扣款 41388.13 元 折合 20.99 元/吨</t>
  </si>
  <si>
    <t>否</t>
  </si>
  <si>
    <t>鑫泰128/2604、锦航奋进/2605</t>
  </si>
  <si>
    <t>YMZSJJY250234</t>
  </si>
  <si>
    <t>关于 丰顺县海新饲料有限公司 扣款</t>
  </si>
  <si>
    <t>于 2026 年 3 月 6 日签订《粮食销售合同》(合同编号:YMZSJJY250234)，数
量 2000 吨，单价 2485 元/吨，该合同于 2026.3.22-3.27 己累计交货 1994.54 吨，提货鑫泰 128/2604，(其中
3 月 26 日 1 车 车号:赣 CR0596，重量 34.84 吨，3 车号:赣 CR0596，重量月 27 日 7 车车号:粤 V75300，
重量 33.03 吨，35.44 吨， 车号:粤 VN1708，重量 35.74 吨，车号:赣 C6068W，重量车号:赣 C2668D，重
量 36.13 吨，车号:赣 K65118，重量 36.85 吨，36.92 吨，车号:闽 FB9509，重量 37.04 吨，合计:285.99 吨)
到货玉米经检验杂质 1.2%杂质和破碎粒超出合同约定指标(质≤1%)，不符合客户接受指标。针对该批次到厂不
合格玉米，经双方友好协商处理后，退货转扣款接收。合计扣款 2859.9 元 。</t>
  </si>
  <si>
    <t>鑫泰 128/2610</t>
  </si>
  <si>
    <t>JZXYMZSJJM26039</t>
  </si>
  <si>
    <t>关于广东粮品 JZXYMZSJJM26039 的质量扣款联系单</t>
  </si>
  <si>
    <t>广东粮品农产品经营有限公司，2026 年 4 月 7 日签订的《粮食销售合同》(合同编号:JZXYMZSJJM26039)，合同数量
555 吨，合同单价 2490 元/吨。对应提货计划号：YHSZ-26-020926-1、YHSZ-26-020926 和 YHSZ-26-020914-2；运
单号：ABUGWBX260162013A、Q091390576、Q091432280 和 Q091432281，货物提货地点为新会新港。
该批次货物送达客户厂区后，经进厂检验反馈，货物霉变、热损指标超标，综合不合格占比超 5%。我司联合华正工
作人员共同赴现场开箱复检，核实质量异常问题属实，已不满足合同正常交付使用标准。
经双方友好沟通协商，现就本次质量问题达成扣款处理方案：该批货物实际卸货净重 549.685 吨，按 122.65 元 / 吨
标准进行扣款，合计扣款金额：67418.87 元。</t>
  </si>
  <si>
    <t>质量问题（霉变、热损超标）</t>
  </si>
  <si>
    <t>JZXYMZSJJM26046</t>
  </si>
  <si>
    <t>关于广东粮品 JZXYMZSJJM26046 的质量扣款联系单</t>
  </si>
  <si>
    <t>广东粮品农产品经营有限公司，2026 年 4 月 21 日签订的《粮食销售合同》(合同编号:JZXYMZSJJM26046)，合同数
量 550 吨，合同单价 2460 元/吨。对应提货计划号：YHSZ-26-041713，运单号：AJSLYNF260198708A 和
AJSLYNF260204033A，货物提货地点为四会南江港。
合同质量指标为：容重≥710g/L，水分≤15.0%，杂质≤1.0%，霉变粒≤2.0%，不完善粒≤8%，热损≤2%。
货物送达客户厂区后，经第三方检测出具结果，共计 20 柜的综合样品查出水份测值为 16.31%-16.46%区间，超合同
约定限值，质量指标不达标。
经双方协商同意，做商务扣款让步接收，合计扣款金额 7164.75 元，合同折单价扣款 2.91 元。（已附扣款函及检测报
告已收悉）</t>
  </si>
  <si>
    <t>YMYXMM260086</t>
  </si>
  <si>
    <t>关于双胞胎 YMYXMM260086 合同质量扣款的情况说明</t>
  </si>
  <si>
    <t>双胞胎（集团）股份有限公司 YMYXMM260086（合同量 5000 吨，单价 2490 元），签订日期为 20
26 年 3 月 2 日，该合同共执行 4835.89 吨。2026 年 4 月 7 日-2026 年 4 月 19 日在中心一体化粮源大船“炜
业 58/2608”轮提货中反馈 1838.96 吨水分 15.29%-15.58%，平均 15.4%左右，合同约定水分≤15.0%，不
符合同规定。经我司业务人员核实，检测结果确实存在。秉承长期友好合同原则，经我部与客户多次友好协
商后，申请扣款 11.5 元/吨，申请扣款金额合计 21148.04 元</t>
  </si>
  <si>
    <t>炜业 58/2608</t>
  </si>
  <si>
    <t>YMYXMM260095</t>
  </si>
  <si>
    <t>关于双胞胎 YMYXMM260095 合同质量扣款的情况说明</t>
  </si>
  <si>
    <t>双胞胎（集团）股份有限公司 YMYXMM260095（合同量 3000 吨，单价 2510 元），签订日期为 20
26 年 3 月 6 日，该合同共执行 2983.72 吨。2026 年 4 月 1 日-2026 年 4 月 8 日在外采大船利泰朝阳/2606
（供应商：京粮（盘锦）港口物流有限公司）提货中反馈 988.46 吨水分实测在 15.11%-15.29%之间；2026
年 4 月 6 日-2026 年 4 月 16 日在中心一体化粮源大船“炜业 58/2608”轮提货中反馈 822.92 吨水分 15.30%
-15.56%，平均 15.4%左右，合同约定水分≤15.0%，不符合同规定。经我司业务人员核实，检测结果确实存
在。秉承长期友好合同原则，经我部与客户多次友好协商后，平均扣款 8 元/吨，（988.46+822.92）吨*8
元=14491.04 元，申请扣款金额合计 14491.04 元</t>
  </si>
  <si>
    <t>利泰朝阳/2606、炜业 58/2608</t>
  </si>
  <si>
    <t>JCYMZSJJY250156-1</t>
  </si>
  <si>
    <t>关于梅州海大生物科技有限公司 JCYMZSJJY250156-1 扣款</t>
  </si>
  <si>
    <t>梅州海大生物科技有限公司，于 2026 年 1 月 27 日签订 2000 吨粮食销售合同（合同编号：
JCYMZSJJY250156-1）合同单价 2412.51 元/吨，2026 年 2 月 10 日-2026 年 3 月 14 日,提货数量
1972.81 吨，提货锦航发展/2602、锦航奋进/2605。经客户品管检测，此批玉米 17 车共计 624.16 吨水分超出
合同约定标准（水分≤15%），影响使用。经双方协商， 一致统一做扣款处理。合计扣款 3120.8 元。
经双方友好协商处理后，退货转扣款接收，合计扣款 3120.8 元 折合 5 元/吨</t>
  </si>
  <si>
    <t>YMLDW260417008-SK</t>
  </si>
  <si>
    <t>湛江粮友贸易有限公司</t>
  </si>
  <si>
    <t>箱号CSNU3066845，箱重27.21吨，客户提货到下游后发现烘伤粒、玉米霉变率过高死，霉味重，水份偏高同时伴有发热，下游退货回来，我方也到达现场取样查看，发现问题确实，后经沟通，客户让步接收，进行转卖，需要补回客户运费及作整箱扣款接收处理，每吨扣款80元处理，</t>
  </si>
  <si>
    <t>质量问题（霉变粒高、水分超标）</t>
  </si>
  <si>
    <t>集装箱计划编号YHSZ-26-041703</t>
  </si>
  <si>
    <t>YMLDW260417008</t>
  </si>
  <si>
    <t>周聪声</t>
  </si>
  <si>
    <t>YMFJZZ260057</t>
  </si>
  <si>
    <t>兹有我司与正大原料供应有限公司于2026年03月31日签署生效的《粮食销售合同（赊销）》（合同编号：YMFJZZ260057)，合同数量500吨，合同单价2560元/吨，， 经双方友好协商，正大对该批次货物进行折价接收，以上情况合计产生扣款4,589.52元。（人民币肆仟伍佰捌拾玖元伍角贰分），该批次累计提货489.75吨，合计折单吨扣款9.37元/吨。</t>
  </si>
  <si>
    <t>弘泰818/2605</t>
  </si>
  <si>
    <t>YMFJZZ260059、YMFJZZ260060</t>
  </si>
  <si>
    <t>有关海新集团玉米商务扣款事项</t>
  </si>
  <si>
    <t>兹有我司与漳州市海扬饲料有限公司（以下简称“漳州海扬”）于2026年03月20日签署生效的《粮食销售合同（赊销）》（合同编号：YMFJZZ260059)，合同数量2000吨，合同单价2510元/吨，与漳州市力饲料有限公司（以下简称“漳州海力”）于2026年03月20日签署生效的《粮食销售合同（赊销）》（合同编号：YMFJZZ260060），合同数量1000吨，合同单价2510元/吨； 漳州海扬、漳州海力对该批次货物进行折价接收，漳州海扬经过协商该批次最终扣款26,466.00元（单吨扣款约13.34元/吨），漳州海力经协商该批次最终扣款9,631.50元（单吨扣款约9.72元/吨），以上2笔商务总计产生扣款36,097.5元，折单吨扣款约12.13元/吨。</t>
  </si>
  <si>
    <t>德勤68/2611</t>
  </si>
  <si>
    <t>YMFJZZ260069</t>
  </si>
  <si>
    <t>有关中牧（上海）粮油有限公司玉米商务扣款事项</t>
  </si>
  <si>
    <t xml:space="preserve"> 兹有我司与中牧（上海）粮油有限公司于2026年04月10日签署生效的《粮食销售合同》（合同编号：YMFJZZ260069)，合同数量1000吨，合同单价2460元/吨，截止至2026年05月05日，合同已提货完毕，客户于2026年4月30日至5月5日提货批次玉米713.38吨经检测杂质、水份超标，对应船名：德勤68/2611（外采粮源）</t>
  </si>
  <si>
    <t>质量问题（水份、杂质超标）</t>
  </si>
  <si>
    <t xml:space="preserve"> JZXYMZSJJM26038</t>
  </si>
  <si>
    <t>关于禾润兴 JZXYMZSJJM26038 合同质量扣款联系单</t>
  </si>
  <si>
    <t xml:space="preserve">
饲料原料部：
广州市禾润兴饲料有限公司，2026 年 4 月 3 日签订的《粮食销售合同》(合同编号:JZXYMZSJJM26038)，合同数量
450 吨，合同单价 2490 元/吨，客户提货计划号 YHSZ-26-020926，运单号 Q091432570。合同质量标准为：容重≥710g/L，水分≤15.0%，杂质≤1.0%，霉变粒≤2.0%，不完善粒≤8%，热损≤2%。
该批次货物送达客户厂区后，经进厂检验反馈，货物热损指标超标，综合样品热损伤率达 4.7%。我司联合华正工作人
员共同赴现场开箱复检，核实质量异常问题属实，已不满足合同正常交付使用标准。
经双方友好沟通协商，现就本次质量问题达成扣款处理方案：该批货物实际卸货净重 446.5 吨，扣款金额为 45000，
合同折单价扣款 100.78 元。（已附扣款函及检测报告已收悉）
此次费用JZXYMZSJJM26038合同结算扣除15936元；JZXYMZSJJM26040合同结算扣除29064元。</t>
  </si>
  <si>
    <t>质量问题（热损伤超标）</t>
  </si>
  <si>
    <t xml:space="preserve"> 集装箱计划号YHSZ-26-020926</t>
  </si>
  <si>
    <t>YMYXZJ260058-SK</t>
  </si>
  <si>
    <t>关于嘉好YMYXZJ260058扣款函申请</t>
  </si>
  <si>
    <t>2026年3月19日签订的的散粮合同，广东嘉好农产品有限公司，合同号 YMYXZJ260058（2000吨，单价2550元/吨），配送到厂合同，合同质量标准为：容重≥690g/L，水分≤15.0%，杂质≤1.0%，霉变粒≤2.0%，不完善粒≤10%。
其中在给客户配送合盛顺达/2607船货物时，车牌粤GH9239（30.82 吨，水分 15.30%）、粤G43055（30.5吨，水分15.14%），合计61.32吨，到厂后工厂反馈水分均超合同15%标准，由于合盛顺达/2607在到港时我方就发现水分超标，有石头子，并已报送过饲料部，同时对上游京粮扣款63957.24元，故客户反馈问题是属实存在的。
经双方友好沟通协商，客户让步接收，合计扣款346.1元。
请领导批示。</t>
  </si>
  <si>
    <t>合盛顺达/2607</t>
  </si>
  <si>
    <t>YMYXZJ260058</t>
  </si>
  <si>
    <t>YMFJFZ260113</t>
  </si>
  <si>
    <t>关于莆田温氏家禽有限公司商务处理说明</t>
  </si>
  <si>
    <t>兹有我司与莆田温氏家禽有限公司于 2026 年 4 月 10 日签订《粮食销售合同
（赊销）》，合同号：YMFJFZ260113，合同数量 1000 吨，单价 2510 元/吨，该合
同截止 4 月 21日共计提货 991.96 吨，其中 482.62 吨检测水分、杂质超标(合同约
定水分≤15.0%，实测结果 15.13%-15.48%；合同约定杂质≤1.0%，实测结果 1.45
%-2.05%)，已超出合同约定标准，经双方友好协商扣款 20 元/吨，以上质量扣款
合计 9652.4 元。
以上扣款对应恒顺达 8/2607，以上扣款是否可行，请领导批示</t>
  </si>
  <si>
    <t>恒顺达8/2607</t>
  </si>
  <si>
    <t>YMYXMM260109</t>
  </si>
  <si>
    <t>关于高州安佑 YMYXMM260109 合同质量扣款的情况说明</t>
  </si>
  <si>
    <t>高州市安佑生物科技有限公司 YMYXMM260109（合同量 500 吨，单价 2510 元），签订日期为 2026
年 3 月 11 日，该合同共执行 497.04 吨。2026 年 4 月 4 日-2026 年 4 月 8 日在外采大船“锦富航 69/2608”
（供应商：北京京粮谷润贸易有限公司）提货中，反馈 60.98 吨水分实测在 15.31%-15.54%之间、杂质实测
1.45%-1.58%，不符合同规定。经我司业务人员核实，检测结果确实存在。秉承长期友好合同原则，经我部
与客户多次友好协商后，申请扣款 30 元/吨，60.98 吨*30 元=1829.4 元，申请扣款金额合计 1829.4 元。该
扣款情况已跟饲料原料部报备，由饲料原料部向供应方扣款弥补我司损失。</t>
  </si>
  <si>
    <t>锦富航 69/2608</t>
  </si>
  <si>
    <t>YMFJFZ260097</t>
  </si>
  <si>
    <t>兹有我司与圣农发展（政和）有限公司签订YMFJFZ260097号《粮食销售合同》，合同数量1000吨，单价2630元/吨，截止4月11日，该合同实际送货1023.8吨，接货1022.59吨，质量扣款13649.7元，折合扣款13.35元/吨，该扣款为圣农杂质及不完善粒固定扣款，在销售合同时已预留10元/吨溢价进行销售，实际扣款3.35元/吨。
以上扣款，是否可行，请领导批示。</t>
  </si>
  <si>
    <t>鑫远航6/2608</t>
  </si>
  <si>
    <t>YMFJFZ260062</t>
  </si>
  <si>
    <t>兹有我司与福建圣农发展（浦城）有限公司签订YMFJFZ260062号《粮食销售合同》，合同数量3000吨，单价2610元/吨，截止4月11日，该合同实际送货2877.46吨，接货2873.33吨，质量扣款37401.3元，折合扣款13.02元/吨，该扣款为圣农杂质及不完善粒固定扣款，在销售合同时已预留10元/吨溢价进行销售，实际扣款3.02元/吨。
以上扣款，是否可行，请领导批示。</t>
  </si>
  <si>
    <t>YMGXXJ260030</t>
  </si>
  <si>
    <t>关于贵港市万千饲料有限公司商务情况的说明</t>
  </si>
  <si>
    <t>现有于贵港市万千饲料有限公司签署的集改散玉米合同在执行过程中因
霉变率超标产生了相应的商务问题，具体如下在执行 YMGXXJ260030 合同中，车号桂 R11798 万千提货到厂检测霉变
率超标产生了其商务纠纷（已邮寄第三方检测，并出结果），经多次协商对
本车中的 21.3 吨扣款 30 元/吨接收处理（详细见附件一），总计扣款 639
元。特此说明。</t>
  </si>
  <si>
    <t>质量问题（霉变率）</t>
  </si>
  <si>
    <t>集改散</t>
  </si>
  <si>
    <t>YMZSJDG26034</t>
  </si>
  <si>
    <t>关于 YMZSJDG26034 合同扣款说明的请示</t>
  </si>
  <si>
    <t>我司于 2026年4月 10日和佛山市顺德区利宝饲料有限公司签订粮食销售合同，(合同量:2000 吨、单价:2460 元/吨)
客户于2026年4月28日在深粮码头南方地采-谷润/26003 提取玉米,数量 997.756吨。工厂抽样检测发现该船玉米杂质&gt;8%，不符合合同约定标准，经过双方友好协商，997.756 吨按照 20元/吨扣款接收，即总共扣款 20 元/吨*997.756 吨=19955.12元</t>
  </si>
  <si>
    <t>南方地采-谷润/26003</t>
  </si>
  <si>
    <t xml:space="preserve"> YMZSJDG26034</t>
  </si>
  <si>
    <t>YMYXYJ260054</t>
  </si>
  <si>
    <t>关于阳江海大饲料有限公司扣款的说明</t>
  </si>
  <si>
    <t>我司于2026年3月30日与阳江海大饲料有限公司签订内贸玉米合同YMYXYJ260054，签订主体:中粮贸易(深圳)有限公司，合同量3900吨，合同单价2532元/吨，执行量3879.44吨。2026年4月18日-2026年5月18日在外采大船：柯兴发展/2606提货中反馈，该批货物有993.86吨水分超标，检测水分15.23%-15.45%，经我司业务人员核实，检测结果确实存在。考虑到双方后期的长期友好合作，对该批货物做折价7.5元/吨处理，总计7453.95元，在货款中扣除。该批次商务扣款，已扣除供应商对应款项。</t>
  </si>
  <si>
    <t>柯兴发展/2606</t>
  </si>
  <si>
    <t>JZXYMZSJQY260049</t>
  </si>
  <si>
    <t>关于清远大北农结算扣款</t>
  </si>
  <si>
    <t>清远大北农生物科技有限公司，2026年4月17日签订的《粮食销售合同》(合同编号:JZXYMZSJQY260049，合同数量500吨,合同单价2500元/吨),客户提货计划号YHSZ-26-041720，运单号Q091889680，其中一柜检测结果杂质超标，超出合同约定标准，申请扣款5元/吨，合计扣款133.6元，由一体化承担。</t>
  </si>
  <si>
    <t>YHSZ-26-041720</t>
  </si>
  <si>
    <t>JCYMFJFZ250065-1</t>
  </si>
  <si>
    <t>兹有我司与福建省福清华龙饲料有限公司于2026年1月29日签订《粮食销售合同》，合同号:JCYMFJFZ250065-1，合同数量500吨，单价2402元/吨，该合同截止4月05日共计提货521.51吨，其中提货290.85吨，检测杂质、水分超标(合同约定杂质≤1%，实测结果1.2%-2.9%;合同约定水分≤15%，实测结果15.46%-15.78%)，已超出合同约定标准，经双方友好协商按28.94元/吨扣款，以上质量扣款合计8416.76元。对应船名:铭宏发展/2603。以上扣款是否可行，请领导批示。</t>
  </si>
  <si>
    <t>JZXYMZSJQY260044</t>
  </si>
  <si>
    <t>关于广州顺泽集装箱结算扣款</t>
  </si>
  <si>
    <t>广州顺泽粮食贸易有限公司，2026年4月15日签订的《粮食销售合同》(合同编号:ZXYMZSJQY260044，合同数量1500吨,合同单价2482元/吨)，客户提货计划号YHSZ-26-020916-4, YHSZ-26-041719-2, 运单号 ZG26035513310_F, ZG26030512108, 明细如下，北方发运点为红透山，到厂发现玉米发热发霉，扣款90元/吨，红透山货物已反馈向北方追溯，合计扣款18982.7元由北方承担。</t>
  </si>
  <si>
    <t>质量问题</t>
  </si>
  <si>
    <t>YHSZ-26-020916-4, YHSZ-26-041719-2</t>
  </si>
  <si>
    <t>JZXYMZSJQY260043</t>
  </si>
  <si>
    <t>广州顺泽粮食贸易有限公司，2026年4月15日签订的《粮食销售合同》(合同编号:ZXYMZSJQY260043，合同数量1500吨,合同单价2482元/吨),客户提货计划号YHSZ-26-020916-4, YHSZ-26-041719, 运单号 ZG26035513310 B, AJSLKYN260204146,ZG26035513310，明细如下，北方发运点为红透山，到厂发现玉米发热发霉，扣款90元/吨，红透山货物已反馈向北方追溯，合计扣款22825.7元由北方承担。</t>
  </si>
  <si>
    <t>YHSZ-26-020916-4, YHSZ-26-041719</t>
  </si>
  <si>
    <t>JZXYMZSJQY260027、JZXYMZSJQY260026</t>
  </si>
  <si>
    <t>广州顺泽粮食贸易有限公司，2026年3月13日签订的《粮食销售合同》(合同编号:JZXYMZSJQY260027，合同数量2000吨,合同单价2527元/吨)，客户提货计划号YHSZ-26-020916-2,运单号 Q091237512,其中三柜(CSNU1449830,TEMU3085497,CSNU1683283)检测结果容重较低，超出合同约定标准，申请扣款10元/吨，合计扣款814元，由一体化承担。
广州顺泽粮食贸易有限公司，2026年3月13日签订的《粮食销售合同》(合同编号:JZXYMZSJQY260026，合同数量1700吨,合同单价2527元/吨)，客户提货计划号YHSZ-26-011509,YHSZ-26-020916-2,运单号Q090753130,Q091237511,,合i计扣款 2877.9元，由一体化承担。</t>
  </si>
  <si>
    <t>YHSZ-26-011509,YHSZ-26-020916-2</t>
  </si>
  <si>
    <t>JZXYMZSJQY260029</t>
  </si>
  <si>
    <t>广州顺泽粮食贸易有限公司，2026年3月19日签订的《粮食销售合同》(合同编号:JZXYMZSJQY260029，合同数量1500吨,合同单价2537元/吨),客户提货计划号YHSZ-26-041719-2,运单号Q092186410,柜号FCIU5432244,北方发运点为红透山，到厂发现玉米发热发霉，扣款90元/吨，红透山货物已反馈向北方追溯，扣款2175.2元由北方承担。计划号YHSZ-26-041719-2, 运单号 WBYNA264X0412-3, 柜号 TGBU2443615、 TGBU2710326,柜子有漏洞漏水，造成内部货物发霉。报保险处理，扣款55.6*500元=27800元，在结算中扣除，由保险公司承担。合计扣款29975.2元</t>
  </si>
  <si>
    <t>YHSZ-26-041719-2</t>
  </si>
  <si>
    <t>JZXYMGXXJ26002</t>
  </si>
  <si>
    <t>桂林市漓源粮油饲料有限责任公司</t>
  </si>
  <si>
    <t>2026 年 4 月 8 日，我部在桂林西站向桂林市漓源粮油饲料有限责任公司执行的内贸玉米铁路入
关业务，合同号：JZXYMGXXJ26002，数量 2000 吨，单价 2528 元/吨。
该批货物由长春经营部往桂林西站发运，在执行到箱号 TBJU3375243、TBJU1257555 时出现出
现玉米生霉、箱底粘底情况（单柜重量平均在 31 吨左右），我部人员现场确认以上情况，并且同步
反馈给长春经营部，最终决定将生霉部分做扣重处理，数量 0.35 吨，已于长春经营部确认处理方
式。</t>
  </si>
  <si>
    <t>YMLDW260325004</t>
  </si>
  <si>
    <r>
      <rPr>
        <sz val="16"/>
        <color theme="1"/>
        <rFont val="宋体"/>
        <charset val="134"/>
        <scheme val="minor"/>
      </rPr>
      <t>集装箱合同</t>
    </r>
    <r>
      <rPr>
        <sz val="14"/>
        <color theme="1"/>
        <rFont val="宋体"/>
        <charset val="134"/>
        <scheme val="minor"/>
      </rPr>
      <t>YMLDW260325004</t>
    </r>
    <r>
      <rPr>
        <sz val="16"/>
        <color theme="1"/>
        <rFont val="宋体"/>
        <charset val="134"/>
        <scheme val="minor"/>
      </rPr>
      <t>扣款</t>
    </r>
  </si>
  <si>
    <t>广西自贸区丰禧供应链管理有限公司，合同号：YMLDW260325004,数量1000吨，单价：2540元/吨。客户提货计划号：YHSZ-26-041705-2，运单：Q092769780。北方装货库点：鑫封缘，营口港5月8日发出，17日到港。客户18－19日陆续提箱，发现存在较大质量问题：主要是粉尘大、杂质多。经双方协商同意，对已提的5个箱共138.385吨，扣款40元/吨处理，合计金额5535.40元。</t>
  </si>
  <si>
    <t>计划号：YHSZ-26-041705-2</t>
  </si>
  <si>
    <t>YMYXYJ260075</t>
  </si>
  <si>
    <t>关于阳江市富民饲料有限公司扣款的说明</t>
  </si>
  <si>
    <t>我司于2026年5月8日与阳江市富民饲料有限公司签订内贸玉米合同YMYXYJ260075，签订主体:中粮贸易(深圳)有限公司，合同量500吨，合同单价2512元/吨，执行量477.48吨。2026年5月20日在外采大船：柯兴发展/2606提货中，反馈该批货物有391吨水分超标，且有霉味，检测水分15.26%-15.41%，经我司业务人员核实，检测结果确实存在。考虑到双方后期的长期友好合作，对该批货物做折价7.5元/吨处理，总计2932.5元，在货款中扣除。该批次商务扣款，已扣除供应商对应款项。
是否可行，烦请领导批示，谢谢！</t>
  </si>
  <si>
    <t xml:space="preserve"> JCYMZSJDG25054-1 </t>
  </si>
  <si>
    <t>关于 JCYMZSJDG25054-1 合同扣款说明的请示</t>
  </si>
  <si>
    <t>我司于2025年1月27日和播恩集团股份有限公司签订粮食销售合同(合同量:500吨、单价:2423 元/吨)客户于2026年2月11日在新沙国家能源611/2603提取玉米，数量483.1吨。工厂抽样检测发现该船玉米62.86吨毒素检测超标，不符合合司约定标准，经过双方友好协商，62.86吨按照10元/吨扣款接收，即总共扣款10元/吨*62.86 吨=628.60元(附扣款函)因JCYMZSJDG25054-1已结算完毕，申请在后续合同YMZSJDG26035中扣除该笔货款。在YMZSJDG26035合同扣除628.60元。</t>
  </si>
  <si>
    <t>YMFJZZ260063</t>
  </si>
  <si>
    <t xml:space="preserve"> 兹有我司与正大原料供应有限公司于2026年04月02日签署生效的《粮食销售合同（赊销）》（合同编号：YMFJZZ260063)，合同数量2000吨，合同单价2565元/吨，截止至2026年05月15日，该合同累计提货1995.20吨，客户于2026年4月14日至5月10日提货批次玉米检测杂质超标、不完善超标，对应船名：弘泰818/2605（一体化粮源）</t>
  </si>
  <si>
    <t>质量问题（杂质、不完善超标）</t>
  </si>
  <si>
    <t>JZXYMFJZZ260020</t>
  </si>
  <si>
    <t>有关正大贸易玉米商务扣款事项</t>
  </si>
  <si>
    <t xml:space="preserve">    兹有我司与正大原料供应有限公司于2026年04月15日签署生效的《粮食销售合同》（合同编号：JZXYMFJZZ260020)，合同数量3000吨，合同单价2550元/吨，截止至2026年05月14日，该合同累计提货2994.76吨，客户于其中2026年4月23日至4月24日提货2柜集装箱玉米检测水份超标，超出合同约定标准，对应箱号：CSNU3046113（提单号：Q091496351）、ZGXU2570803（提单号：ZG26035562172_C），对应集装箱粮源；</t>
  </si>
  <si>
    <t>质量问题（水份超标）</t>
  </si>
  <si>
    <t>JZXYMHN260071</t>
  </si>
  <si>
    <t>有关正大原料供应有限公司集装箱玉米退货事项</t>
  </si>
  <si>
    <t>我司与正大原料供应有限公司于 2026年5月11日签订《粮食销售合同（赊销）》（合同编号：JZXYMHN260071），数量 500吨，单价2555元/吨（送到厂价）。容重≥700g/L，水分≤15%，霉变 ≤2%，杂质≤1%，呕吐毒素≤1000ppb，赤霉烯酮≤150ppb，黄曲霉素≤20ppb，蛋白≥7%。
客户于5月25日开始收货，截止目前共执行4柜107.62吨，此批货物接货过程中客户反馈其中箱号为CSNU3388733内玉米呕吐毒素、赤霉烯酮超出合同约定标准，检测结果为赤霉烯酮818.2μg/kg，呕吐毒素1532ug/kg，沟通客户重新取样复测，复测结果赤霉烯酮798.1μg/kg，呕吐毒素1275ug/kg。后我司现场人员范闻超、姜程介赴工厂与工厂品管人员共同抽样检测，检测结果依旧超标，检测结果赤霉烯酮381.6μg/kg，呕吐毒素430ug/kg。经沟通，此柜货物计划按如下方案处理：集装箱内未卸货物不再接收，转由海南恩希实业有限公司JZXYMHN260070合同执行，按实际收货数量结算，期间不产生退货费用。已卸货进入流程约11.3吨玉米厂方协商扣款30元/吨让步接收。我方与正大JZXYMHN260071合同仍在执行中，后续如遇上述问题，继续按照此方案处理。
此柜玉米共合计扣款339元，折合单吨扣款12.49元，销售时溢价30元/吨，可覆盖此单商务扣款。</t>
  </si>
  <si>
    <t>YMFJFZ260028</t>
  </si>
  <si>
    <t>我司与正大原料供应有限公司于 2025 年2月10日签订《粮食销售合同》（合同编号：YMFJFZ260028），数量 500 吨，单价2450元/吨，合同约定杂质≤1%，不完善粒≤8%，呕吐毒素≤1000ug/kg。 客户于2026年5月7日提货的87.74吨玉米存在杂质超标情况。
整批合同提货的487.92吨玉米，其中87.74吨存在欧体毒素超标、杂质超标情况（杂质检测在2.6%），共计扣款3311.79元（大写：人民币叁仟叁佰壹拾壹元柒角玖分），整批次折单吨扣款6.7元。所提货物匹配船名：福昌耀/2609。
2026年2月10日的指导价格2438元/吨，有12元/吨的溢价销售，溢价可覆盖扣款，该批货物出至仓底部位，沟通客户作了扣款接收，后续将加强现场出货的管理。该合同为赊销客户，我司加快处理完毕商务后开票催促客户回款。</t>
  </si>
  <si>
    <t>质量问题（毒素、杂质）</t>
  </si>
  <si>
    <t>福昌耀/2609</t>
  </si>
  <si>
    <t>YMFJFZ260042\YMFJFZ260060\YMFJFZ260067</t>
  </si>
  <si>
    <t xml:space="preserve"> 我司与南平华农恒青农牧有限公司于 2026 年2月28日签订《粮食销售合同》（合同编号：YMFJFZ260042），数量500吨，赊销，单价2495元/吨；3月5日签订《粮食销售合同》（合同编号：YMFJFZ260060），数量500吨，赊销，单价2505元/吨；3月11日签订《粮食销售合同》（合同编号：YMFJFZ260067），数量500吨，赊销，单价2525元/吨；合同约定水分≤15%，杂质≤1%，呕吐毒素≤1000ppb，赤霉烯酮≤150ppb。三笔合同累计提货1459吨，共计产生扣款16021.32元，折单吨扣款10.9元/吨，该客户考虑到需签订毒素指标，在销售时，已加价15元/吨进行销售，可覆盖客户扣款损失。扣款详情如下：
1、YMFJFZ260042合同合计提货490.23吨，其中客户2026年3月22日接收197.13吨玉米，存在提货杂质超标的情况，杂质检测在2%-4%，呕吐毒素与赤霉烯酮严重超标的情况（赤霉烯酮≥1000ppb），原计划退货处理，多次沟通后协调扣款接收，产生扣款8542.06元，折合所提货物匹配船名：炜业99/2604。
2、YMFJFZ260060合同客户4月17日-5月3日提货的495.78吨玉米。其中364.74吨存在呕吐毒素、杂质超标情况（杂质1.5%-2%，呕吐毒素1150-1500ppb），产生商务扣款3410.37元。所提货物匹配船名：福昌耀/2609。
3、YMFJFZ260067合同客户5月5日-5月8日提货的472.99吨玉米。其中366.16吨存在呕吐毒素、杂质超标情况（杂质1.8%-2%，呕吐毒素1200-1500ppb），产生商务扣款4068.89元。该合同因我司前期到货品质无法挑选出符合指标的货物进行交付，客户超合同期对该合同进行提货。剩余27吨因我司后续货物难以达到客户要求指标，为及时清理该客户超期合同，申请以472.99吨进行结算（提货比例94.7%）。所提货物匹配船名：福昌耀/2609。</t>
  </si>
  <si>
    <t>炜业99/2604\福昌耀/2609\福昌耀/2609</t>
  </si>
  <si>
    <t>YMFJZZ260048、YMFJZZ260061、YMFJZZ260064、YMFJZZ260073</t>
  </si>
  <si>
    <t>2026年4-5月</t>
  </si>
  <si>
    <t>关于漳州海大饲料有限公司玉米商务扣款申请</t>
  </si>
  <si>
    <t>合同号YMFJZZ260048，数量4500吨，单价2390元/吨；合同号YMFJZZ260061，数量2000吨，单价2505元/吨；合同号YMFJZZ260064，数量2000吨，单价2500元/吨;合同号YMFJZZ260073，数量2000吨，单价2470元/吨，共4份合同。截止至2026年5月20日，以上四份合同总提货数为9002.52吨，期中涉及到德勤68/2611这船提货数量为1101.36吨，客户在提货期间检测杂质、水份超标。经双方友好协商，客户对涉及到德勤68/2611批次货物进行扣款接收，合计产生扣款24893.4元（大写：贰万肆仟捌佰玖拾叁元肆角），该批次累计提货1101.36吨，折单吨扣款22.42元/吨。</t>
  </si>
  <si>
    <t>YMFJFZ260041</t>
  </si>
  <si>
    <t xml:space="preserve">
我司与南平华农恒青农牧有限公司于 2026 年2月27日签订《粮食销售合同》（合同编号：YMFJFZ260041），数量500吨，赊销，单价2485元/吨，合同约定水分≤15%，杂质≤1%，呕吐毒素≤1000ppb。该合同已累计提货394.88吨，客户2026年3月10日-3月21日接收394.88吨玉米，存在提货杂质超标的情况，杂质检测杂质平均在2%-3%（明细结算单内），同时在后期进工厂对毒素进行复测时还存在呕吐与赤霉超标的情况。所提货物匹配船名：炜业99/2604。
     经与客户多次协商沟通，客户对该批玉米扣款接收，其中394.88吨玉米，原产生商务扣款26701.83元，经双方多次协商扣款13350.91元（人民币壹万叁仟叁佰伍拾元玖角壹分），折单吨扣款33元/吨。我司在2月27日销售时，当日赊销指导价格2470元/吨，我司已加价15元/吨，同时该批货物因客户提货杂质实测超标，已到工厂实际检测并留样品。</t>
  </si>
  <si>
    <t>炜业99/2604</t>
  </si>
  <si>
    <t>YMFJFZ260081</t>
  </si>
  <si>
    <t>兹有我司与福建省金华龙饲料有限公司于2026年3月12日签订《粮食销售合同》，合同号:YMFJFZ260081，合同数量1500吨，单价2520元/吨，交货期截止2026年4月30日。该合同截止4月25日共计提货1447.56吨，其中 685.11吨检测水分超标(合同约定水分≤15%，实测结果15.32%-15.67%)，已超出合同约定标准，经双方友好协商按10元/吨扣款，以上质量扣款合计6851.1元。以上扣款对应船名：恒顺达8/2607（延伸粮源池，该船检验报告水分超标较多），以上扣款是否可行，请领导批示。</t>
  </si>
  <si>
    <t>YMFJFZ260107</t>
  </si>
  <si>
    <t>关于厦门粮缘饲料科技有限公司商务处理说明</t>
  </si>
  <si>
    <t>兹有我司与厦门粮缘饲料科技有限公司于2026年4月8日签订《粮食销售合同》，合同号：YMFJFZ260107，合同数量500吨，单价2490元/吨，该合同截止4月24日共计提货499.64吨，提货163.48吨，检测水分超标(合同约定水分≤15.0%，实测结果15.21%-15.53%)，已超出合同约定标准，经双方友好协商按10元/吨扣款，以上质量扣款合计1634.8元。
以上扣款对应恒顺达8/2607，以上扣款是否可行，请领导批示。</t>
  </si>
  <si>
    <t>YMFJFZ250198</t>
  </si>
  <si>
    <t>关于福建省佳牧农牧集团有限公司商务处理说明</t>
  </si>
  <si>
    <t>兹有我司与福建省佳牧农牧集团有限公司于2025年12月2日签订《粮食销售合同》，合同号：YMFJFZ250198，合同数量3000吨，截止2026年3月20日提货完毕，共计提货2996.42吨，其中提货977.88吨检测水分、呕吐毒素超标(合同约定水分≤15.0%，实测结果15.46%-16.2%，合同约定呕吐毒素≤1000ppd，实测结果1179ppd-1532ppd)，已超出合同约定标准，经双方友好协商，水分超标不进行扣款结算，其余按30元/吨进行扣款，以上质量扣款29336.4元（折合合同扣款9.79元/吨），该合同呕吐毒素已加价20元/吨进行销售，溢价可涵盖扣款损失。
以上扣款玉米，实际对应正海3/2601（一体化粮源）以上扣款是否可行，请领导批示。</t>
  </si>
  <si>
    <t>YMFJFZ260096</t>
  </si>
  <si>
    <t>关于福建圣农发展（浦城）有限公司商务处理说明</t>
  </si>
  <si>
    <t>兹有我司与福建圣农发展（浦城）有限公司签订YMFJFZ260096号《粮食销售合同》，合同数量2000吨，单价2630元/吨，截止5月20日，该合同实际送货1947.97吨，接货1946.04吨，质量扣款26582.54元，折合扣款13.6元/吨，该扣款为圣农杂质及不完善粒固定扣款，在销售合同时已溢价12元/吨，实际扣款损失1.6元/吨。
以上扣款，是否可行，请领导批示。</t>
  </si>
  <si>
    <t>JZXYMFJFZ260001</t>
  </si>
  <si>
    <t>关于福建圣农发展股份有限公司商务处理说明</t>
  </si>
  <si>
    <t>兹有我司与福建圣农发展股份有限公司签订JZXYMFJFZ260001号《粮食销售合同》，合同数量1000吨，单价2590元/吨，截止5月20日，该合同实际送货981.46吨，接货978.85吨，质量扣款13301.64元，折合扣款13.5元/吨，该扣款为圣农杂质及不完善粒固定扣款，在销售合同时已考虑该扣款13元/吨，实际无损失。
以上扣款，是否可行，请领导批示。</t>
  </si>
  <si>
    <t>YMFJFZ260103</t>
  </si>
  <si>
    <t>关于福州东坤饲料有限公司商务处理说明</t>
  </si>
  <si>
    <t>兹有我司与福州东坤饲料有限公司于2026年3月23日签订《粮食销售合同》，合同号：YMFJFZ260103，合同数量410吨，单价2530元/吨。该合同截止5月21日共计提货409.15吨,其中207.86吨检测水分超标(合同约定水分≤15%，实测结果15.22%-15.65%)，已超出合同约定标准，经双方友好协商按10元/吨扣款，以上质量扣款合计2078.6元。
以上扣款对应船名：恒顺达8/2607（延伸粮源池，该船检验报告水分超标较多），以上扣款是否可行，请领导批示。</t>
  </si>
  <si>
    <t>JZXYMZSJQY260050</t>
  </si>
  <si>
    <t>关于河源市瑞昌饲料有限公司合同扣款说明</t>
  </si>
  <si>
    <t>现有河源市瑞昌饲料有限公司与我司于2026年4月20日签订的铁路集装箱玉米合同，数量1000吨，单价2530元/吨，客户于5月10日开始接货我司铁路集装箱玉米，到厂后，有两柜检测呕吐毒素分别为1507ppb，1816ppb，超出合同质量签订标准:呕吐毒素≤1000ppb的约定，经过双方友好协商，决定对毒素超标的货物进行扣款。(第三方检测出结果分别为1350ppb,1490ppb，结果见附件)共计提货有质量问题的货物62.61吨，共申请扣款62.61*10=626.1元</t>
  </si>
  <si>
    <t>关于海大执行内贸玉米商务的说明</t>
  </si>
  <si>
    <t>2026 年 4 月 27 日，我司与海大集团执行的内贸玉米合同，合同号：YMSZCG260003，执行在
珠三角外采货源“国丰-中埠鑫航-Q35”，执行数量为 799.362 吨。
在执行过程中反馈有杂质超标情况，实际货船抵达码头后我部人员现场取样检查后存在超标情
况，并且在现场完成取样。在与工厂多次沟通后，最终按照扣款 5 元/吨进行扣价让步接受，扣款金额为：3996.81 元。</t>
  </si>
  <si>
    <t>国丰-中埠鑫航-Q35</t>
  </si>
  <si>
    <t>YMSZCG260003</t>
  </si>
  <si>
    <t>JZXYMFJFZ260002</t>
  </si>
  <si>
    <t xml:space="preserve">兹有我司与福建圣农发展（浦城）有限公司签订JZXYMFJFZ260002号《粮食销售合同》，合同数量2000吨，单价2645元/吨，截止5月20日，该合同实际送货1969.98吨，接货1968.65吨，质量扣款26026.8元，折合扣款13.22元/吨，该扣款为圣农杂质及不完善粒固定扣款，在销售合同时已溢价13元/吨，实际无扣款损失。以上扣款对应恒顺达8/2607，是否可行，请领导批示。
</t>
  </si>
  <si>
    <t>YMZSJJY250236</t>
  </si>
  <si>
    <t>关于梅州海大生物科技有限公司商务扣款说明</t>
  </si>
  <si>
    <t>于 2026 年 3 月 13 日签订 6000 吨粮食销售合同（合同编号：
YMZSJJY250236）合同单价 2395 元/吨，2026 年 3 月 21 日-2026 年 5 月 17 日,提货数量 5,929.72 吨，
提货中安 9/2603、华辰 9/2609。经客户品管检测，3.22-5.2 提货玉米 514.84 吨 杂质 2.8 超出合同约定标准（杂
质≤1）水分 15.2-15.3 超出合同约定标准（水分≤15），影响使用。经双方协商，一致统一做扣款处理。合计扣
款 2574.2 元</t>
  </si>
  <si>
    <t>中安 9/2603、华辰 9/2609</t>
  </si>
  <si>
    <t>2026/5/27-28</t>
  </si>
  <si>
    <t>我司与正大原料供应有限公司于 2026年5月11日签订《粮食销售合同（赊销）》（合同编号：JZXYMHN260071），数量 500吨，单价2555元/吨（送到厂价）。容重≥700g/L，水分≤15%，霉变 ≤2%，杂质≤1%，呕吐毒素≤1000ppb，赤霉烯酮≤150ppb，黄曲霉素≤20ppb，蛋白≥7%。
客户于5月27日、28日收货过程中陆续反馈箱号为CSNU3514169、CSNU3336468柜内赤霉烯酮超出合同约定标准，检测结果为赤霉烯酮634μg/kg、619ug/kg，沟通客户重新取样复测，复测结果赤霉烯酮338.98μg/kg，呕吐毒素1275ug/kg。后我司现场人员范闻超、姜程介赴工厂与工厂品管人员共同抽样检测，检测结果依旧超标，检测结果赤霉烯酮381.6μg/kg，呕吐毒素430ug/kg。经沟通，上述2柜货物计划按如下方案处理：集装箱内未卸货物不再接收，转由海南恩希实业有限公司JZXYMHN260077合同执行，按实际收货数量结算，期间不产生退货费用。CSNU3514169已卸货进入流程11.62吨、CSNU3336468已卸货进入流程12.1吨，共计23.72玉米厂方协商扣款30元/吨让步接收，共计扣款711.6元。我方与正大JZXYMHN260071合同仍在执行中，目前已暂停使用该批次粮源继续交付，计划更换在途柜子继续执行。
此柜玉米共合计扣款711.6元，上述2柜总重53.99吨，折合单吨扣款133.18元，销售时溢价30元/吨，可覆盖此单商务扣款。</t>
  </si>
  <si>
    <t>YMGXQZ260082</t>
  </si>
  <si>
    <t>关于钦州播恩生物技术有限公司玉米毒素商务扣款</t>
  </si>
  <si>
    <t>与钦州播恩生物技术有限公司签订的《粮食销售合同》，合同号：YMGXQZ260082，数量800吨，单价2545元/吨，5月17日提“利达海/V2606”轮散装玉米，其中有2车共68.22吨呕吐毒素指标超出合同约定标准1500，客户原则上拒收。经双方协商同意，做商务扣款让步接收，合计扣款金额1364.40元，合同折单吨扣款1.71元，客户有预留5元/吨商务，溢余3.29元/吨。</t>
  </si>
  <si>
    <t>“利达海/V2606”轮</t>
  </si>
  <si>
    <t>YMYXZJ260083-SK</t>
  </si>
  <si>
    <t>关于新天地YMYXZJ260083扣款函申请</t>
  </si>
  <si>
    <t>2026年5月19日签订的的散粮合同，广西陆川新天地饲料有限公司，合同号 YMYXZJ260083（2000吨，单价2470元/吨），自提合同，合同质量标准为：容重≥685g/L，水分≤15.0%，杂质≤1.0%，霉变粒≤2.0%，不完善粒≤10%，未约定的其它质量标准按实际交货品质标准执行。
客户在提货航安发展/2608船货物时，其中970.72吨到厂卸货前发现存在质量问题，局部发霉有异味有石头，不符合双方签订的合同要求，客户反馈需要退货处理，后经双方友好沟通协商，客户让步接收，该批货款扣款20元/吨，扣款金额:970.72*20=19414.40元整。</t>
  </si>
  <si>
    <t>质量问题（有石头、发霉异味）</t>
  </si>
  <si>
    <t>航安发展/2608</t>
  </si>
  <si>
    <t>YMYXZJ260083</t>
  </si>
  <si>
    <t>YMZSJDG26041</t>
  </si>
  <si>
    <t>关于 YMZSJDG26041合同扣款说明的请示</t>
  </si>
  <si>
    <t>客户于2026年4月26日在新沙长鑫86 提取玉米，工厂抽样检测发现该船玉米 95.22吨呕吐毒素、霉变和杂质检测超标，不符合合同约定标准经过双方友好协商，32.58吨呕吐毒素超标按照10元/吨扣款接收，32.26吨霉变率为 3%按照 30元/吨扣款接收，30.38吨杂质为3.1%按照 20 元/吨扣款接收，即总共扣款10元/吨*32.58吨+30元/吨*32.26 吨+20元/吨*30.38吨=325.8元+967.8元+607.6元=1901.20元。(附扣款函)该合同保呕吐毒素已加价 15元/吨进行销售，溢价可涵盖扣款损失。</t>
  </si>
  <si>
    <t>JZXYMZSJDG26048</t>
  </si>
  <si>
    <t>关于JZXYMZSJDG26048扣款和结算说明</t>
  </si>
  <si>
    <t>我司于2026年5月9日和金钱(珠海)有限公司签订粮食销售合同(JZXYMZSJDG26048合同量:1000吨、单价:2520元/吨)。由于运单号:ABTSLXD260326047、柜号:FCIU6341473,ATHU1066367,ATHU1065397,ATHU1572658,ATHU1133001出现粘底，发霉结块，已报保险处理，经双方沟通协商，按照扣款130元/吨处理，即总共扣款129.84吨*130元/吨=16879.2元，现申请报保险5柜按照工厂磅单结算(北方重量134.4吨，工重量129.84吨),明细如下:</t>
  </si>
  <si>
    <t>YMFJZZ260079</t>
  </si>
  <si>
    <t>关于双胞胎YMFJZZ260079合同质量扣款的情况说明</t>
  </si>
  <si>
    <t xml:space="preserve">    兹有我司与双胞胎（集团）股份有限公司于2026年05月13日签署生效的《粮食销售合同》（合同编号：YMFJZZ260079)，合同数量2000吨，合同单价2475元/吨，截止至2026年06月04日，该合同累计提货1971.74吨，客户于2026年5月22日至2026年5月26日提货469.48吨玉米经检验水分、呕吐毒素超标等问题，对应船名：弘泰818/2605 ； </t>
  </si>
  <si>
    <t>YMFJZZ260078</t>
  </si>
  <si>
    <t>关于YMFJZZ260078新正邦合同质量扣款的情况说明</t>
  </si>
  <si>
    <t xml:space="preserve">    兹有我司与漳州新正邦饲料有限公司于2026年05月13日签署生效的《粮食销售合同》（合同编号：YMFJZZ260078)，合同数量1000吨，合同单价2460元/吨，截止至2026年06月07日，该合同累计提货977.42吨，客户于2026年5月27日至2026年5月28日提货245.74吨玉米经检验呕吐毒素超标，对应船名：弘泰818/2605 ；</t>
  </si>
  <si>
    <t>YMFJZZ260074</t>
  </si>
  <si>
    <t>关于YMFJZZ260074漳州温氏合同质量扣款的情况说明</t>
  </si>
  <si>
    <t xml:space="preserve">   兹有我司与漳州温氏农牧有限公司（以下简称“漳州温氏”）于2026年04月24日签署生效的《粮食销售合同》（合同编号：YMFJZZ260074)，合同数量2000吨，合同单价2475元/吨，截止至2026年06月03日，该合同累计提货1866.26吨，客户于2026年5月20日至5月24日提货批次玉米经检测杂质超标（超出合同约定标准），对应船名：弘泰818/2605；</t>
  </si>
  <si>
    <t xml:space="preserve"> YMZSJDG26058 </t>
  </si>
  <si>
    <t>关于 YMZSJDG26058 合同扣款说明的请示</t>
  </si>
  <si>
    <t>我司于2026年5月27日和惠州市立华家禽有限公司签订粮食销售合同(赊销)，(合同量:1000吨、单价:2440元/吨)
客户于2026年6月2日在新沙宝洋26/2606提取玉米，工厂抽样检测发现，420.94 吨玉米杂质超标，不符合合同约定标准，平均杂质到4.3%经过双方友好协商，420.94吨杂质超标按照 20元/吨扣款接收，即总共扣款 20元/吨*420.94吨=8418.8元。</t>
  </si>
  <si>
    <t>宝洋26/2606</t>
  </si>
  <si>
    <t>YMYXMM260240</t>
  </si>
  <si>
    <t>关于双胞胎YMYXMM260240合同质量扣款的情况说明</t>
  </si>
  <si>
    <t>双胞胎（集团）股份有限公司YMYXMM260240（合同量1000吨，单价2490元），签订日期为2026年5月21日，该合同共执行996.76吨。由于外采大船“锦富航69/2608”（供应商：北京京粮谷润贸易有限公司）在港时间长且存在水分杂质超标等质量问题，为加快提离降低坏粮风险，我部掺混出货，2026年5月28日双胞胎在提货中反馈两车64.9吨水分实测15.46%；杂质1.63%，不符合合同签订标准。经我司业务人员核实，检测结果确实存在。秉承长期友好合同原则，经我部与客户多次友好协商后，申请扣款20元/吨，64.9吨*20元=1298元，申请扣款金额合计1298元。该扣款情况已跟饲料原料部报备，由饲料原料部向供应方扣款弥补我司损失。</t>
  </si>
  <si>
    <t>锦富航69/2608</t>
  </si>
  <si>
    <t>YMYXZJ260047</t>
  </si>
  <si>
    <t>2026/4/15、2026/5/7-2026/6/5</t>
  </si>
  <si>
    <t>关于湛江海大饲料有限公司结算的说明</t>
  </si>
  <si>
    <t>2026年3月12日签订的的散粮合同，湛江海大饲料有限公司，合同号YMYXZJ260047(6500吨，单价2405元/吨)，自提合同，合同质量标准为:容重≥690g/L，不完善≤10%、水分≤15%,霉变≤2%,杂质≤1%，未约定的其它质量标准按实际交货品质标准执行。
4月25日，客户在提货合盛顺达/2605船货物时，其中870.92吨到厂卸货前发现存在质量问题，水分超标有石头，不符合双方签订的合同要求，经双方友好沟通协商，该批扣款47元/吨，扣款金额:870.92*47=40933.24元。(合盛顺达/2607在到港时我方就发现水分超标，有石头子，并已报送过饲料部，同时对上游京粮扣款63957.24元，故客户反馈问题是属实存在的)
5月7日-6月5日，客户提货航安发展/2608船货物时，其中3784.12吨到厂卸货前发现存在质量问题，有石头，不符合双方签订的合同要求，客户反馈需要退货处理，后经双方友好沟通协商，客户让步接收，该批货款扣款5元/吨，扣款金额:3784.12*5=18920.60元。</t>
  </si>
  <si>
    <t>质量问题（有石头）</t>
  </si>
  <si>
    <t>合盛顺达/2607
航安发展/2608</t>
  </si>
  <si>
    <t>李洁静</t>
  </si>
  <si>
    <t>联系单编号：</t>
  </si>
  <si>
    <t>中粮贸易沿海大区工作联系单</t>
  </si>
  <si>
    <t>物流发运与计划不符</t>
  </si>
  <si>
    <t>发运集中到货</t>
  </si>
  <si>
    <t>库存前移未及时销售</t>
  </si>
  <si>
    <t>流程手续问题</t>
  </si>
  <si>
    <t>客户仓容有限提货慢</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</si>
</sst>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 numFmtId="178" formatCode="#,##0.000_ "/>
    <numFmt numFmtId="179" formatCode="_ * #,##0_ ;_ * \-#,##0_ ;_ * &quot;-&quot;??_ ;_ @_ "/>
    <numFmt numFmtId="180" formatCode="[$-F800]aaaa\,\ mmmm\ dd\,\ yyyy"/>
    <numFmt numFmtId="181" formatCode="0_);[Red]\(0\)"/>
    <numFmt numFmtId="182" formatCode="0.00_);[Red]\(0.00\)"/>
  </numFmts>
  <fonts count="72">
    <font>
      <sz val="11"/>
      <color theme="1"/>
      <name val="宋体"/>
      <charset val="134"/>
      <scheme val="minor"/>
    </font>
    <font>
      <b/>
      <sz val="11"/>
      <color theme="1"/>
      <name val="宋体"/>
      <charset val="134"/>
      <scheme val="minor"/>
    </font>
    <font>
      <sz val="11"/>
      <color rgb="FF000000"/>
      <name val="宋体"/>
      <charset val="134"/>
    </font>
    <font>
      <b/>
      <sz val="22"/>
      <color theme="1"/>
      <name val="宋体"/>
      <charset val="134"/>
    </font>
    <font>
      <b/>
      <sz val="16"/>
      <color theme="1"/>
      <name val="宋体"/>
      <charset val="134"/>
    </font>
    <font>
      <sz val="16"/>
      <color theme="1"/>
      <name val="宋体"/>
      <charset val="134"/>
    </font>
    <font>
      <b/>
      <sz val="16"/>
      <color theme="1"/>
      <name val="微软雅黑"/>
      <charset val="134"/>
    </font>
    <font>
      <b/>
      <sz val="12"/>
      <color theme="1"/>
      <name val="宋体"/>
      <charset val="134"/>
    </font>
    <font>
      <sz val="14"/>
      <color theme="1"/>
      <name val="宋体"/>
      <charset val="134"/>
    </font>
    <font>
      <sz val="10"/>
      <color theme="1"/>
      <name val="微软雅黑"/>
      <charset val="134"/>
    </font>
    <font>
      <sz val="10"/>
      <color rgb="FF000000"/>
      <name val="微软雅黑"/>
      <charset val="134"/>
    </font>
    <font>
      <b/>
      <sz val="10"/>
      <color rgb="FF000000"/>
      <name val="微软雅黑"/>
      <charset val="134"/>
    </font>
    <font>
      <sz val="12"/>
      <color rgb="FF000000"/>
      <name val="微软雅黑"/>
      <charset val="134"/>
    </font>
    <font>
      <sz val="11.05"/>
      <color rgb="FF000000"/>
      <name val="微软雅黑"/>
      <charset val="134"/>
    </font>
    <font>
      <sz val="14"/>
      <color rgb="FF000000"/>
      <name val="宋体"/>
      <charset val="134"/>
      <scheme val="minor"/>
    </font>
    <font>
      <sz val="10.45"/>
      <color rgb="FF000000"/>
      <name val="宋体"/>
      <charset val="134"/>
      <scheme val="minor"/>
    </font>
    <font>
      <sz val="12"/>
      <color theme="1"/>
      <name val="微软雅黑"/>
      <charset val="134"/>
    </font>
    <font>
      <sz val="12"/>
      <color theme="1"/>
      <name val="宋体"/>
      <charset val="134"/>
      <scheme val="minor"/>
    </font>
    <font>
      <sz val="12"/>
      <color rgb="FF000000"/>
      <name val="宋体"/>
      <charset val="134"/>
    </font>
    <font>
      <sz val="16"/>
      <color rgb="FF000000"/>
      <name val="微软雅黑"/>
      <charset val="134"/>
    </font>
    <font>
      <sz val="10.5"/>
      <color rgb="FF000000"/>
      <name val="微软雅黑"/>
      <charset val="134"/>
    </font>
    <font>
      <sz val="15.95"/>
      <color rgb="FF000000"/>
      <name val="微软雅黑"/>
      <charset val="134"/>
    </font>
    <font>
      <sz val="13"/>
      <color rgb="FF000000"/>
      <name val="宋体"/>
      <charset val="134"/>
      <scheme val="minor"/>
    </font>
    <font>
      <sz val="11"/>
      <color rgb="FF000000"/>
      <name val="等线"/>
      <charset val="134"/>
    </font>
    <font>
      <sz val="10.5"/>
      <color theme="1"/>
      <name val="微软雅黑"/>
      <charset val="134"/>
    </font>
    <font>
      <sz val="14"/>
      <color theme="1"/>
      <name val="Calibri"/>
      <charset val="134"/>
    </font>
    <font>
      <sz val="12"/>
      <color rgb="FF000000"/>
      <name val="宋体"/>
      <charset val="134"/>
      <scheme val="minor"/>
    </font>
    <font>
      <b/>
      <sz val="14.05"/>
      <color rgb="FF000000"/>
      <name val="SimSun"/>
      <charset val="134"/>
    </font>
    <font>
      <sz val="16"/>
      <color theme="1"/>
      <name val="宋体"/>
      <charset val="134"/>
      <scheme val="minor"/>
    </font>
    <font>
      <sz val="16"/>
      <color rgb="FF000000"/>
      <name val="宋体"/>
      <charset val="134"/>
      <scheme val="minor"/>
    </font>
    <font>
      <sz val="14"/>
      <color theme="1"/>
      <name val="微软雅黑"/>
      <charset val="134"/>
    </font>
    <font>
      <sz val="10.45"/>
      <color rgb="FF000000"/>
      <name val="微软雅黑"/>
      <charset val="134"/>
    </font>
    <font>
      <sz val="9"/>
      <color rgb="FF000000"/>
      <name val="微软雅黑"/>
      <charset val="134"/>
    </font>
    <font>
      <sz val="14"/>
      <color theme="1"/>
      <name val="宋体"/>
      <charset val="134"/>
      <scheme val="minor"/>
    </font>
    <font>
      <sz val="15"/>
      <color rgb="FF000000"/>
      <name val="微软雅黑"/>
      <charset val="134"/>
    </font>
    <font>
      <sz val="11.05"/>
      <color rgb="FF000000"/>
      <name val="宋体"/>
      <charset val="134"/>
      <scheme val="minor"/>
    </font>
    <font>
      <sz val="10"/>
      <color theme="1"/>
      <name val="宋体"/>
      <charset val="134"/>
      <scheme val="minor"/>
    </font>
    <font>
      <sz val="12"/>
      <color rgb="FF000000"/>
      <name val="CIDFont"/>
      <charset val="134"/>
    </font>
    <font>
      <sz val="16"/>
      <color rgb="FF000000"/>
      <name val="宋体"/>
      <charset val="134"/>
    </font>
    <font>
      <sz val="15.95"/>
      <color rgb="FF000000"/>
      <name val="宋体"/>
      <charset val="134"/>
      <scheme val="minor"/>
    </font>
    <font>
      <sz val="11"/>
      <color rgb="FF000000"/>
      <name val="微软雅黑"/>
      <charset val="134"/>
    </font>
    <font>
      <sz val="11"/>
      <color theme="1"/>
      <name val="微软雅黑"/>
      <charset val="134"/>
    </font>
    <font>
      <sz val="11"/>
      <color theme="1"/>
      <name val="华文楷体"/>
      <charset val="134"/>
    </font>
    <font>
      <b/>
      <sz val="11"/>
      <color rgb="FF000000"/>
      <name val="华文楷体"/>
      <charset val="134"/>
    </font>
    <font>
      <b/>
      <sz val="11"/>
      <color rgb="FF000000"/>
      <name val="宋体"/>
      <charset val="134"/>
    </font>
    <font>
      <b/>
      <sz val="11"/>
      <color rgb="FFFFFF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3"/>
      <color rgb="FF000000"/>
      <name val="宋体"/>
      <charset val="134"/>
    </font>
    <font>
      <sz val="13"/>
      <color rgb="FF000000"/>
      <name val="宋体"/>
      <charset val="134"/>
    </font>
    <font>
      <sz val="10.5"/>
      <color rgb="FF000000"/>
      <name val="宋体"/>
      <charset val="134"/>
      <scheme val="minor"/>
    </font>
    <font>
      <sz val="10"/>
      <color rgb="FF000000"/>
      <name val="华文细黑"/>
      <charset val="134"/>
    </font>
    <font>
      <b/>
      <sz val="13"/>
      <color rgb="FF000000"/>
      <name val="宋体"/>
      <charset val="134"/>
      <scheme val="minor"/>
    </font>
    <font>
      <sz val="9"/>
      <name val="宋体"/>
      <charset val="134"/>
    </font>
    <font>
      <b/>
      <sz val="9"/>
      <name val="宋体"/>
      <charset val="134"/>
    </font>
  </fonts>
  <fills count="38">
    <fill>
      <patternFill patternType="none"/>
    </fill>
    <fill>
      <patternFill patternType="gray125"/>
    </fill>
    <fill>
      <patternFill patternType="solid">
        <fgColor theme="7" tint="-0.25"/>
        <bgColor indexed="64"/>
      </patternFill>
    </fill>
    <fill>
      <patternFill patternType="solid">
        <fgColor rgb="FFFFFFFF"/>
        <bgColor indexed="64"/>
      </patternFill>
    </fill>
    <fill>
      <patternFill patternType="solid">
        <fgColor rgb="FF5B9BD5"/>
        <bgColor rgb="FF000000"/>
      </patternFill>
    </fill>
    <fill>
      <patternFill patternType="solid">
        <fgColor rgb="FFDDEBF7"/>
        <bgColor rgb="FFDDEBF7"/>
      </patternFill>
    </fill>
    <fill>
      <patternFill patternType="solid">
        <fgColor rgb="FFDDEBF7"/>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rgb="FF000000"/>
      </left>
      <right style="medium">
        <color auto="1"/>
      </right>
      <top style="medium">
        <color rgb="FF000000"/>
      </top>
      <bottom style="medium">
        <color rgb="FF000000"/>
      </bottom>
      <diagonal/>
    </border>
    <border>
      <left/>
      <right style="medium">
        <color auto="1"/>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auto="1"/>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7" borderId="14"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15" applyNumberFormat="0" applyFill="0" applyAlignment="0" applyProtection="0">
      <alignment vertical="center"/>
    </xf>
    <xf numFmtId="0" fontId="52" fillId="0" borderId="15" applyNumberFormat="0" applyFill="0" applyAlignment="0" applyProtection="0">
      <alignment vertical="center"/>
    </xf>
    <xf numFmtId="0" fontId="53" fillId="0" borderId="16" applyNumberFormat="0" applyFill="0" applyAlignment="0" applyProtection="0">
      <alignment vertical="center"/>
    </xf>
    <xf numFmtId="0" fontId="53" fillId="0" borderId="0" applyNumberFormat="0" applyFill="0" applyBorder="0" applyAlignment="0" applyProtection="0">
      <alignment vertical="center"/>
    </xf>
    <xf numFmtId="0" fontId="54" fillId="8" borderId="17" applyNumberFormat="0" applyAlignment="0" applyProtection="0">
      <alignment vertical="center"/>
    </xf>
    <xf numFmtId="0" fontId="55" fillId="9" borderId="18" applyNumberFormat="0" applyAlignment="0" applyProtection="0">
      <alignment vertical="center"/>
    </xf>
    <xf numFmtId="0" fontId="56" fillId="9" borderId="17" applyNumberFormat="0" applyAlignment="0" applyProtection="0">
      <alignment vertical="center"/>
    </xf>
    <xf numFmtId="0" fontId="57" fillId="10" borderId="19" applyNumberFormat="0" applyAlignment="0" applyProtection="0">
      <alignment vertical="center"/>
    </xf>
    <xf numFmtId="0" fontId="58" fillId="0" borderId="20" applyNumberFormat="0" applyFill="0" applyAlignment="0" applyProtection="0">
      <alignment vertical="center"/>
    </xf>
    <xf numFmtId="0" fontId="59" fillId="0" borderId="21" applyNumberFormat="0" applyFill="0" applyAlignment="0" applyProtection="0">
      <alignment vertical="center"/>
    </xf>
    <xf numFmtId="0" fontId="60" fillId="11" borderId="0" applyNumberFormat="0" applyBorder="0" applyAlignment="0" applyProtection="0">
      <alignment vertical="center"/>
    </xf>
    <xf numFmtId="0" fontId="61" fillId="12" borderId="0" applyNumberFormat="0" applyBorder="0" applyAlignment="0" applyProtection="0">
      <alignment vertical="center"/>
    </xf>
    <xf numFmtId="0" fontId="62" fillId="13" borderId="0" applyNumberFormat="0" applyBorder="0" applyAlignment="0" applyProtection="0">
      <alignment vertical="center"/>
    </xf>
    <xf numFmtId="0" fontId="63" fillId="14"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3" fillId="17" borderId="0" applyNumberFormat="0" applyBorder="0" applyAlignment="0" applyProtection="0">
      <alignment vertical="center"/>
    </xf>
    <xf numFmtId="0" fontId="63" fillId="18"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3" fillId="21" borderId="0" applyNumberFormat="0" applyBorder="0" applyAlignment="0" applyProtection="0">
      <alignment vertical="center"/>
    </xf>
    <xf numFmtId="0" fontId="63" fillId="22"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3" fillId="25" borderId="0" applyNumberFormat="0" applyBorder="0" applyAlignment="0" applyProtection="0">
      <alignment vertical="center"/>
    </xf>
    <xf numFmtId="0" fontId="63" fillId="26"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3" fillId="29" borderId="0" applyNumberFormat="0" applyBorder="0" applyAlignment="0" applyProtection="0">
      <alignment vertical="center"/>
    </xf>
    <xf numFmtId="0" fontId="63" fillId="30"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33" borderId="0" applyNumberFormat="0" applyBorder="0" applyAlignment="0" applyProtection="0">
      <alignment vertical="center"/>
    </xf>
    <xf numFmtId="0" fontId="63" fillId="34" borderId="0" applyNumberFormat="0" applyBorder="0" applyAlignment="0" applyProtection="0">
      <alignment vertical="center"/>
    </xf>
    <xf numFmtId="0" fontId="64" fillId="35" borderId="0" applyNumberFormat="0" applyBorder="0" applyAlignment="0" applyProtection="0">
      <alignment vertical="center"/>
    </xf>
    <xf numFmtId="0" fontId="64" fillId="36" borderId="0" applyNumberFormat="0" applyBorder="0" applyAlignment="0" applyProtection="0">
      <alignment vertical="center"/>
    </xf>
    <xf numFmtId="0" fontId="63" fillId="37" borderId="0" applyNumberFormat="0" applyBorder="0" applyAlignment="0" applyProtection="0">
      <alignment vertical="center"/>
    </xf>
    <xf numFmtId="0" fontId="0" fillId="0" borderId="0"/>
  </cellStyleXfs>
  <cellXfs count="124">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5" xfId="0" applyFont="1" applyBorder="1" applyAlignment="1">
      <alignment horizontal="center" vertical="center" wrapText="1"/>
    </xf>
    <xf numFmtId="0" fontId="8" fillId="0" borderId="6" xfId="0" applyFont="1" applyBorder="1" applyAlignment="1">
      <alignment horizontal="justify" vertical="top" wrapText="1" indent="2"/>
    </xf>
    <xf numFmtId="0" fontId="8" fillId="0" borderId="0" xfId="0" applyFont="1" applyAlignment="1">
      <alignment horizontal="justify" vertical="top" wrapText="1" indent="2"/>
    </xf>
    <xf numFmtId="0" fontId="8" fillId="0" borderId="7" xfId="0" applyFont="1" applyBorder="1" applyAlignment="1">
      <alignment horizontal="justify" vertical="top" wrapText="1" indent="2"/>
    </xf>
    <xf numFmtId="0" fontId="7" fillId="0" borderId="8" xfId="0" applyFont="1" applyBorder="1" applyAlignment="1">
      <alignment horizontal="justify" vertical="top" wrapText="1"/>
    </xf>
    <xf numFmtId="0" fontId="7" fillId="0" borderId="9" xfId="0" applyFont="1" applyBorder="1" applyAlignment="1">
      <alignment horizontal="justify"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justify" vertical="top" wrapText="1"/>
    </xf>
    <xf numFmtId="0" fontId="7" fillId="0" borderId="11" xfId="0" applyFont="1" applyBorder="1" applyAlignment="1">
      <alignment horizontal="justify"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0" fillId="0" borderId="0" xfId="0" applyAlignment="1">
      <alignment horizontal="center" vertical="center"/>
    </xf>
    <xf numFmtId="0" fontId="0" fillId="0" borderId="12" xfId="0" applyBorder="1" applyAlignment="1">
      <alignment horizontal="center" vertical="center"/>
    </xf>
    <xf numFmtId="0" fontId="0" fillId="0" borderId="0" xfId="0" applyBorder="1" applyAlignment="1">
      <alignment horizontal="center" vertical="center"/>
    </xf>
    <xf numFmtId="176" fontId="0" fillId="0" borderId="0" xfId="0" applyNumberFormat="1" applyAlignment="1">
      <alignment horizontal="center" vertical="center"/>
    </xf>
    <xf numFmtId="0" fontId="0" fillId="0" borderId="0" xfId="0" applyNumberFormat="1" applyAlignment="1">
      <alignment horizontal="center" vertical="center"/>
    </xf>
    <xf numFmtId="0" fontId="9" fillId="0" borderId="12" xfId="0" applyFont="1" applyBorder="1" applyAlignment="1">
      <alignment horizontal="center" vertical="center"/>
    </xf>
    <xf numFmtId="176" fontId="9" fillId="0" borderId="12" xfId="0" applyNumberFormat="1" applyFont="1" applyBorder="1" applyAlignment="1">
      <alignment horizontal="center" vertical="center"/>
    </xf>
    <xf numFmtId="0" fontId="9" fillId="2" borderId="12" xfId="0" applyFont="1" applyFill="1" applyBorder="1" applyAlignment="1">
      <alignment horizontal="center" vertical="center"/>
    </xf>
    <xf numFmtId="0" fontId="10" fillId="0" borderId="12" xfId="0" applyFont="1" applyBorder="1" applyAlignment="1">
      <alignment horizontal="center" vertical="center"/>
    </xf>
    <xf numFmtId="0" fontId="9" fillId="0" borderId="12" xfId="0" applyNumberFormat="1" applyFont="1" applyBorder="1" applyAlignment="1">
      <alignment horizontal="center" vertical="center"/>
    </xf>
    <xf numFmtId="176" fontId="10" fillId="0" borderId="12" xfId="0" applyNumberFormat="1" applyFont="1" applyBorder="1" applyAlignment="1">
      <alignment horizontal="center" vertical="center"/>
    </xf>
    <xf numFmtId="177" fontId="9" fillId="0" borderId="12" xfId="0" applyNumberFormat="1" applyFont="1" applyBorder="1" applyAlignment="1">
      <alignment horizontal="center" vertical="center"/>
    </xf>
    <xf numFmtId="178" fontId="10" fillId="0" borderId="12" xfId="0" applyNumberFormat="1" applyFont="1" applyBorder="1" applyAlignment="1">
      <alignment horizontal="center" vertical="center"/>
    </xf>
    <xf numFmtId="0" fontId="11" fillId="0" borderId="12" xfId="0" applyFont="1" applyBorder="1" applyAlignment="1">
      <alignment horizontal="center" vertical="center"/>
    </xf>
    <xf numFmtId="2" fontId="9" fillId="0" borderId="12" xfId="0" applyNumberFormat="1" applyFont="1" applyBorder="1" applyAlignment="1">
      <alignment horizontal="center" vertical="center"/>
    </xf>
    <xf numFmtId="0" fontId="10" fillId="0" borderId="12" xfId="0" applyFont="1" applyBorder="1" applyAlignment="1">
      <alignment horizontal="center"/>
    </xf>
    <xf numFmtId="0" fontId="10" fillId="0" borderId="12" xfId="0" applyFont="1" applyFill="1" applyBorder="1" applyAlignment="1">
      <alignment horizontal="center" vertical="center"/>
    </xf>
    <xf numFmtId="4" fontId="10" fillId="0" borderId="12" xfId="0" applyNumberFormat="1" applyFont="1" applyBorder="1" applyAlignment="1">
      <alignment horizontal="center" vertical="center"/>
    </xf>
    <xf numFmtId="0" fontId="12" fillId="0" borderId="12" xfId="0" applyFont="1" applyBorder="1" applyAlignment="1">
      <alignment vertical="center"/>
    </xf>
    <xf numFmtId="0" fontId="13" fillId="0" borderId="12" xfId="0" applyFont="1" applyBorder="1" applyAlignment="1">
      <alignment vertical="center"/>
    </xf>
    <xf numFmtId="0" fontId="14" fillId="0" borderId="12" xfId="0" applyFont="1" applyBorder="1" applyAlignment="1">
      <alignment vertical="center"/>
    </xf>
    <xf numFmtId="0" fontId="15" fillId="0" borderId="12" xfId="0" applyFont="1" applyBorder="1" applyAlignment="1">
      <alignment vertical="center"/>
    </xf>
    <xf numFmtId="0" fontId="16" fillId="0" borderId="12" xfId="0" applyFont="1" applyBorder="1" applyAlignment="1">
      <alignment vertical="center"/>
    </xf>
    <xf numFmtId="0" fontId="10" fillId="0" borderId="12" xfId="0" applyFont="1" applyBorder="1" applyAlignment="1">
      <alignment horizontal="left" vertical="center"/>
    </xf>
    <xf numFmtId="0" fontId="17" fillId="0" borderId="12" xfId="0" applyFont="1" applyBorder="1" applyAlignment="1">
      <alignment horizontal="center" vertical="center"/>
    </xf>
    <xf numFmtId="0" fontId="9" fillId="0" borderId="12" xfId="0" applyFont="1" applyBorder="1" applyAlignment="1">
      <alignment vertical="center"/>
    </xf>
    <xf numFmtId="0" fontId="17" fillId="0" borderId="12" xfId="0" applyFont="1" applyBorder="1" applyAlignment="1">
      <alignment horizontal="left" vertical="center" indent="2"/>
    </xf>
    <xf numFmtId="0" fontId="18" fillId="0" borderId="12" xfId="0" applyFont="1" applyBorder="1" applyAlignment="1">
      <alignment vertical="center"/>
    </xf>
    <xf numFmtId="0" fontId="2" fillId="0" borderId="12" xfId="0" applyFont="1" applyBorder="1" applyAlignment="1">
      <alignment vertical="center"/>
    </xf>
    <xf numFmtId="0" fontId="18" fillId="0" borderId="12" xfId="0" applyFont="1" applyBorder="1" applyAlignment="1">
      <alignment horizontal="center" vertical="center"/>
    </xf>
    <xf numFmtId="0" fontId="19" fillId="0" borderId="12" xfId="0" applyFont="1" applyBorder="1" applyAlignment="1">
      <alignment vertical="center"/>
    </xf>
    <xf numFmtId="0" fontId="20" fillId="0" borderId="12" xfId="0" applyFont="1" applyBorder="1" applyAlignment="1">
      <alignment vertical="center"/>
    </xf>
    <xf numFmtId="0" fontId="21" fillId="0" borderId="12" xfId="0" applyFont="1" applyBorder="1" applyAlignment="1">
      <alignment vertical="center"/>
    </xf>
    <xf numFmtId="0" fontId="22" fillId="0" borderId="12" xfId="0" applyFont="1" applyBorder="1" applyAlignment="1">
      <alignment horizontal="justify" vertical="center" indent="2"/>
    </xf>
    <xf numFmtId="0" fontId="2" fillId="0" borderId="12" xfId="0" applyFont="1" applyBorder="1" applyAlignment="1">
      <alignment horizontal="center" vertical="center"/>
    </xf>
    <xf numFmtId="0" fontId="23" fillId="0" borderId="12" xfId="0" applyFont="1" applyBorder="1" applyAlignment="1">
      <alignment horizontal="center"/>
    </xf>
    <xf numFmtId="0" fontId="24" fillId="0" borderId="12" xfId="0" applyFont="1" applyBorder="1" applyAlignment="1">
      <alignment vertical="center"/>
    </xf>
    <xf numFmtId="0" fontId="24" fillId="0" borderId="12" xfId="0" applyFont="1" applyBorder="1" applyAlignment="1">
      <alignment horizontal="justify" vertical="center" indent="3"/>
    </xf>
    <xf numFmtId="0" fontId="9" fillId="0" borderId="0" xfId="0" applyFont="1" applyAlignment="1">
      <alignment horizontal="center" vertical="center"/>
    </xf>
    <xf numFmtId="0" fontId="9" fillId="0" borderId="0" xfId="0" applyNumberFormat="1" applyFont="1" applyAlignment="1">
      <alignment horizontal="center" vertical="center"/>
    </xf>
    <xf numFmtId="14" fontId="10" fillId="0" borderId="12" xfId="0" applyNumberFormat="1" applyFont="1" applyBorder="1" applyAlignment="1">
      <alignment horizontal="center" vertical="center"/>
    </xf>
    <xf numFmtId="0" fontId="25" fillId="0" borderId="12" xfId="0" applyFont="1" applyBorder="1" applyAlignment="1">
      <alignment vertical="center"/>
    </xf>
    <xf numFmtId="0" fontId="16" fillId="0" borderId="12" xfId="0" applyFont="1" applyBorder="1" applyAlignment="1">
      <alignment horizontal="center" vertical="center"/>
    </xf>
    <xf numFmtId="0" fontId="26" fillId="0" borderId="12" xfId="0" applyFont="1" applyBorder="1" applyAlignment="1">
      <alignment vertical="center"/>
    </xf>
    <xf numFmtId="0" fontId="9" fillId="0" borderId="0" xfId="0" applyNumberFormat="1" applyFont="1" applyBorder="1" applyAlignment="1">
      <alignment horizontal="center" vertical="center"/>
    </xf>
    <xf numFmtId="0" fontId="27" fillId="0" borderId="12" xfId="0" applyFont="1" applyBorder="1" applyAlignment="1">
      <alignment vertical="center"/>
    </xf>
    <xf numFmtId="0" fontId="28" fillId="0" borderId="12" xfId="0" applyFont="1" applyBorder="1" applyAlignment="1">
      <alignment vertical="center"/>
    </xf>
    <xf numFmtId="0" fontId="29" fillId="0" borderId="12" xfId="0" applyFont="1" applyBorder="1" applyAlignment="1">
      <alignment vertical="center"/>
    </xf>
    <xf numFmtId="0" fontId="10" fillId="0" borderId="12" xfId="0" applyFont="1" applyBorder="1" applyAlignment="1">
      <alignment vertical="center"/>
    </xf>
    <xf numFmtId="0" fontId="9" fillId="0" borderId="0" xfId="0" applyFont="1" applyBorder="1" applyAlignment="1">
      <alignment horizontal="center" vertical="center"/>
    </xf>
    <xf numFmtId="0" fontId="10" fillId="3" borderId="12" xfId="0" applyFont="1" applyFill="1" applyBorder="1" applyAlignment="1">
      <alignment horizontal="center" vertical="center"/>
    </xf>
    <xf numFmtId="0" fontId="12" fillId="0" borderId="12" xfId="0" applyFont="1" applyFill="1" applyBorder="1" applyAlignment="1" applyProtection="1">
      <alignment horizontal="left" vertical="center" shrinkToFit="1"/>
      <protection locked="0"/>
    </xf>
    <xf numFmtId="0" fontId="24" fillId="0" borderId="12" xfId="0" applyFont="1" applyBorder="1" applyAlignment="1">
      <alignment horizontal="justify" vertical="center" indent="2"/>
    </xf>
    <xf numFmtId="0" fontId="12" fillId="0" borderId="12" xfId="0" applyFont="1" applyBorder="1" applyAlignment="1" applyProtection="1">
      <alignment horizontal="left" vertical="center" shrinkToFit="1"/>
      <protection locked="0"/>
    </xf>
    <xf numFmtId="0" fontId="30" fillId="0" borderId="12" xfId="0" applyFont="1" applyBorder="1" applyAlignment="1">
      <alignment vertical="center"/>
    </xf>
    <xf numFmtId="0" fontId="31" fillId="0" borderId="12" xfId="0" applyFont="1" applyBorder="1" applyAlignment="1">
      <alignment vertical="center"/>
    </xf>
    <xf numFmtId="0" fontId="10" fillId="0" borderId="12" xfId="0" applyFont="1" applyBorder="1" applyAlignment="1">
      <alignment vertical="center"/>
    </xf>
    <xf numFmtId="0" fontId="32" fillId="0" borderId="12" xfId="0" applyFont="1" applyBorder="1" applyAlignment="1">
      <alignment vertical="center"/>
    </xf>
    <xf numFmtId="0" fontId="33" fillId="0" borderId="12" xfId="0" applyFont="1" applyBorder="1" applyAlignment="1">
      <alignment vertical="center"/>
    </xf>
    <xf numFmtId="0" fontId="34" fillId="0" borderId="12" xfId="0" applyFont="1" applyBorder="1" applyAlignment="1">
      <alignment vertical="center"/>
    </xf>
    <xf numFmtId="0" fontId="20" fillId="0" borderId="12" xfId="0" applyFont="1" applyBorder="1" applyAlignment="1"/>
    <xf numFmtId="0" fontId="24" fillId="0" borderId="12" xfId="0" applyFont="1" applyBorder="1" applyAlignment="1">
      <alignment horizontal="justify" vertical="center"/>
    </xf>
    <xf numFmtId="0" fontId="20" fillId="0" borderId="12" xfId="0" applyFont="1" applyBorder="1" applyAlignment="1">
      <alignment horizontal="justify" vertical="center" indent="3"/>
    </xf>
    <xf numFmtId="0" fontId="23" fillId="0" borderId="12" xfId="0" applyFont="1" applyBorder="1" applyAlignment="1"/>
    <xf numFmtId="0" fontId="35" fillId="0" borderId="12" xfId="0" applyFont="1" applyBorder="1" applyAlignment="1">
      <alignment horizontal="center" vertical="center"/>
    </xf>
    <xf numFmtId="0" fontId="36" fillId="0" borderId="12" xfId="0" applyFont="1" applyBorder="1" applyAlignment="1">
      <alignment vertical="center"/>
    </xf>
    <xf numFmtId="0" fontId="24" fillId="0" borderId="12" xfId="0" applyFont="1" applyBorder="1" applyAlignment="1">
      <alignment horizontal="left" vertical="center"/>
    </xf>
    <xf numFmtId="0" fontId="20" fillId="0" borderId="12" xfId="0" applyFont="1" applyBorder="1" applyAlignment="1">
      <alignment vertical="center"/>
    </xf>
    <xf numFmtId="0" fontId="37" fillId="0" borderId="12" xfId="0" applyFont="1" applyBorder="1" applyAlignment="1">
      <alignment vertical="center"/>
    </xf>
    <xf numFmtId="0" fontId="38" fillId="0" borderId="12" xfId="0" applyFont="1" applyBorder="1" applyAlignment="1">
      <alignment vertical="center"/>
    </xf>
    <xf numFmtId="0" fontId="39" fillId="0" borderId="12" xfId="0" applyFont="1" applyBorder="1" applyAlignment="1">
      <alignment vertical="center"/>
    </xf>
    <xf numFmtId="179" fontId="40" fillId="0" borderId="12" xfId="49" applyNumberFormat="1" applyFont="1" applyFill="1" applyBorder="1" applyAlignment="1">
      <alignment horizontal="center" vertical="center"/>
    </xf>
    <xf numFmtId="179" fontId="41" fillId="0" borderId="12" xfId="49" applyNumberFormat="1" applyFont="1" applyFill="1" applyBorder="1" applyAlignment="1">
      <alignment horizontal="center" vertical="center"/>
    </xf>
    <xf numFmtId="0" fontId="10" fillId="0" borderId="12" xfId="0" applyNumberFormat="1" applyFont="1" applyBorder="1" applyAlignment="1">
      <alignment horizontal="center" vertical="center"/>
    </xf>
    <xf numFmtId="0" fontId="17" fillId="0" borderId="12" xfId="0" applyFont="1" applyBorder="1" applyAlignment="1">
      <alignment vertical="center"/>
    </xf>
    <xf numFmtId="0" fontId="40" fillId="0" borderId="12" xfId="0" applyFont="1" applyBorder="1" applyAlignment="1">
      <alignment vertical="center"/>
    </xf>
    <xf numFmtId="0" fontId="0" fillId="0" borderId="12" xfId="0" applyBorder="1" applyAlignment="1">
      <alignment vertical="center"/>
    </xf>
    <xf numFmtId="177" fontId="42" fillId="0" borderId="12" xfId="0" applyNumberFormat="1" applyFont="1" applyFill="1" applyBorder="1" applyAlignment="1">
      <alignment horizontal="center" vertical="center"/>
    </xf>
    <xf numFmtId="0" fontId="43" fillId="0" borderId="12" xfId="0" applyFont="1" applyFill="1" applyBorder="1" applyAlignment="1">
      <alignment horizontal="center" vertical="center"/>
    </xf>
    <xf numFmtId="0" fontId="11" fillId="0" borderId="12" xfId="0" applyFont="1" applyFill="1" applyBorder="1" applyAlignment="1">
      <alignment horizontal="center" vertical="center"/>
    </xf>
    <xf numFmtId="0" fontId="2" fillId="0" borderId="12" xfId="0" applyFont="1" applyFill="1" applyBorder="1" applyAlignment="1">
      <alignment horizontal="left" vertical="center"/>
    </xf>
    <xf numFmtId="0" fontId="33" fillId="0" borderId="12" xfId="0" applyFont="1" applyBorder="1" applyAlignment="1">
      <alignment horizontal="center" vertical="center"/>
    </xf>
    <xf numFmtId="0" fontId="28" fillId="0" borderId="12" xfId="0" applyFont="1" applyBorder="1" applyAlignment="1">
      <alignment horizontal="center" vertical="center"/>
    </xf>
    <xf numFmtId="4" fontId="9" fillId="0" borderId="12" xfId="0" applyNumberFormat="1" applyFont="1" applyBorder="1" applyAlignment="1">
      <alignment horizontal="center" vertical="center"/>
    </xf>
    <xf numFmtId="0" fontId="44" fillId="0" borderId="12" xfId="0" applyFont="1" applyBorder="1" applyAlignment="1">
      <alignment vertical="center"/>
    </xf>
    <xf numFmtId="0" fontId="17" fillId="0" borderId="0" xfId="0" applyFont="1" applyAlignment="1">
      <alignment horizontal="center" vertical="center"/>
    </xf>
    <xf numFmtId="0" fontId="9" fillId="0" borderId="0" xfId="0" applyFont="1" applyAlignment="1">
      <alignment vertical="center"/>
    </xf>
    <xf numFmtId="0" fontId="17" fillId="0" borderId="0" xfId="0" applyFont="1" applyAlignment="1">
      <alignment vertical="center"/>
    </xf>
    <xf numFmtId="0" fontId="16" fillId="0" borderId="0" xfId="0" applyFont="1" applyAlignment="1">
      <alignment vertical="center"/>
    </xf>
    <xf numFmtId="180" fontId="10" fillId="0" borderId="12" xfId="0" applyNumberFormat="1" applyFont="1" applyBorder="1" applyAlignment="1">
      <alignment horizontal="center" vertical="center"/>
    </xf>
    <xf numFmtId="0" fontId="0" fillId="0" borderId="0" xfId="0" applyAlignment="1">
      <alignment vertical="center" wrapText="1"/>
    </xf>
    <xf numFmtId="0" fontId="0" fillId="0" borderId="0" xfId="0" applyAlignment="1">
      <alignment horizontal="left" vertical="center"/>
    </xf>
    <xf numFmtId="14" fontId="45" fillId="4" borderId="11" xfId="0" applyNumberFormat="1" applyFont="1" applyFill="1" applyBorder="1" applyAlignment="1">
      <alignment horizontal="center" vertical="center" wrapText="1"/>
    </xf>
    <xf numFmtId="14" fontId="40" fillId="5" borderId="13" xfId="0" applyNumberFormat="1" applyFont="1" applyFill="1" applyBorder="1" applyAlignment="1">
      <alignment horizontal="center" vertical="center"/>
    </xf>
    <xf numFmtId="181" fontId="40" fillId="5" borderId="11" xfId="0" applyNumberFormat="1" applyFont="1" applyFill="1" applyBorder="1" applyAlignment="1">
      <alignment horizontal="center" vertical="center"/>
    </xf>
    <xf numFmtId="182" fontId="40" fillId="5" borderId="11" xfId="0" applyNumberFormat="1" applyFont="1" applyFill="1" applyBorder="1" applyAlignment="1">
      <alignment horizontal="center" vertical="center"/>
    </xf>
    <xf numFmtId="9" fontId="40" fillId="5" borderId="11" xfId="3" applyFont="1" applyFill="1" applyBorder="1" applyAlignment="1">
      <alignment horizontal="center" vertical="center"/>
    </xf>
    <xf numFmtId="182" fontId="11" fillId="6" borderId="13" xfId="0" applyNumberFormat="1" applyFont="1" applyFill="1" applyBorder="1" applyAlignment="1">
      <alignment horizontal="center"/>
    </xf>
    <xf numFmtId="181" fontId="11" fillId="6" borderId="11" xfId="0" applyNumberFormat="1" applyFont="1" applyFill="1" applyBorder="1" applyAlignment="1">
      <alignment horizontal="center"/>
    </xf>
    <xf numFmtId="182" fontId="11" fillId="6" borderId="11" xfId="0" applyNumberFormat="1" applyFont="1" applyFill="1" applyBorder="1" applyAlignment="1">
      <alignment horizontal="center"/>
    </xf>
    <xf numFmtId="9" fontId="11" fillId="6" borderId="11" xfId="3" applyFont="1" applyFill="1" applyBorder="1" applyAlignment="1">
      <alignment horizontal="center"/>
    </xf>
    <xf numFmtId="0" fontId="0" fillId="0" borderId="0" xfId="0" applyAlignment="1">
      <alignment horizontal="left" vertical="center"/>
    </xf>
    <xf numFmtId="14" fontId="45" fillId="4" borderId="11" xfId="0"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34">
    <dxf>
      <font>
        <name val="微软雅黑"/>
        <scheme val="none"/>
        <sz val="10"/>
      </font>
      <alignment horizontal="center"/>
    </dxf>
    <dxf>
      <font>
        <name val="微软雅黑"/>
        <scheme val="none"/>
        <sz val="10"/>
      </font>
      <numFmt numFmtId="176" formatCode="yyyy/m/d;@"/>
      <alignment horizontal="center"/>
    </dxf>
    <dxf>
      <font>
        <name val="微软雅黑"/>
        <scheme val="none"/>
        <sz val="10"/>
      </font>
      <numFmt numFmtId="176" formatCode="yyyy/m/d;@"/>
      <alignment horizontal="center"/>
    </dxf>
    <dxf>
      <numFmt numFmtId="0" formatCode="General"/>
      <alignment/>
    </dxf>
    <dxf>
      <numFmt numFmtId="0" formatCode="General"/>
      <alignment/>
    </dxf>
    <dxf>
      <font>
        <name val="微软雅黑"/>
        <scheme val="none"/>
        <sz val="10"/>
      </font>
      <alignment horizontal="center"/>
    </dxf>
    <dxf>
      <font>
        <name val="微软雅黑"/>
        <scheme val="none"/>
        <sz val="10"/>
      </font>
      <alignment horizontal="center"/>
    </dxf>
    <dxf>
      <font>
        <name val="微软雅黑"/>
        <scheme val="none"/>
        <sz val="10"/>
      </font>
      <alignment horizontal="center"/>
    </dxf>
    <dxf>
      <alignment/>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font>
        <name val="微软雅黑"/>
        <scheme val="none"/>
        <sz val="10"/>
      </font>
      <alignment horizontal="center"/>
    </dxf>
    <dxf>
      <alignment/>
    </dxf>
    <dxf>
      <font>
        <name val="微软雅黑"/>
        <scheme val="none"/>
        <sz val="10"/>
      </font>
      <numFmt numFmtId="0" formatCode="General"/>
      <alignment horizontal="center"/>
    </dxf>
    <dxf>
      <numFmt numFmtId="0" formatCode="General"/>
      <alignment/>
    </dxf>
    <dxf>
      <font>
        <name val="微软雅黑"/>
        <scheme val="none"/>
        <sz val="10"/>
      </font>
      <numFmt numFmtId="0" formatCode="General"/>
      <alignment horizont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pivotCacheDefinition" Target="pivotCache/pivotCacheDefinition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91.6176273148" refreshedBy="23850" recordCount="306">
  <cacheSource type="worksheet">
    <worksheetSource name="表1"/>
  </cacheSource>
  <cacheFields count="27">
    <cacheField name="联系单编号" numFmtId="0">
      <sharedItems containsBlank="1" count="288">
        <s v="FJSWKK250529"/>
        <m/>
        <s v="JZXYMFJZZ250004-lxd01"/>
        <s v="YMFJZZ250152-lxd01"/>
        <s v="YMFJZZ250142-lxd01"/>
        <s v="YMFJZZ250173-lxd01"/>
        <s v="YMFJZZ250130-lxd01"/>
        <s v="YHSZFJ250613XMX0001-lxd01"/>
        <s v="YMZSJJY250170"/>
        <s v="YMZSIIY250177"/>
        <s v=" JZXYMZSJJM25047 玉米扣款—保险"/>
        <s v=" JZXYMZSJJM25047 玉米扣款"/>
        <s v="YMZSJQY250219"/>
        <s v="YMZSJQY250205"/>
        <s v="YMZSJQY250179"/>
        <s v="JCYMZSJQY250029-1"/>
        <s v="YMYXMM250768"/>
        <s v="关于JZXYMZSJJM25048玉米扣款"/>
        <s v="YMYXYJ250166"/>
        <s v="茂名海航 YMYXMM250260 质量扣款的情况说明"/>
        <s v="YMFJFZ250147"/>
        <s v="YMFJZZ250287"/>
        <s v="JZXYMGXXJ250067"/>
        <s v="YHYMGXXS250904003"/>
        <s v="YMZSJDG250122"/>
        <s v="YHYMZSJXS251113002"/>
        <s v="YMYXMM250558"/>
        <s v="YMYXMM250554"/>
        <s v="YMYXMM250602"/>
        <s v="YMYXMM250553"/>
        <s v="YMYXMM250596"/>
        <s v="YMYXMM250582"/>
        <s v="YMYXMM250569"/>
        <s v="YMYXMM250564"/>
        <s v="YMYXMM250576"/>
        <s v="YMYXMM250507"/>
        <s v="YMLDW251027018"/>
        <s v="JZXYMFJZZ250045"/>
        <s v="YMYXMM250594"/>
        <s v="YMFJFZ250174"/>
        <s v="YMHN250282"/>
        <s v="YMFJZZ250298"/>
        <s v="YMFJFZ250114"/>
        <s v="YMFJZZ250273"/>
        <s v="JZXYMFJFZ250080"/>
        <s v="JZXYMFJFZ250074"/>
        <s v="YMZSJQY250105"/>
        <s v="YMZSJDGJZX250422"/>
        <s v="YMZSJDKHLY250180"/>
        <s v="YMZSJDKHWS250037"/>
        <s v="YMZSJDKHWS250025-3"/>
        <s v="YMZSJDKHWS250025-2"/>
        <s v="YMZSJDKHWS250030"/>
        <s v="YMZSJDKHWS250033"/>
        <s v="YMYXMM250391"/>
        <s v="YMYXMM250392"/>
        <s v="YMZSJJM25081"/>
        <s v="JZXYMFJFZ250075"/>
        <s v="JZXYMFJFZ250072"/>
        <s v="JCYMZSJDG25053-1"/>
        <s v="YMFJFZ250086"/>
        <s v="YMFJFZ250187"/>
        <s v="JCYMHN250088-1"/>
        <s v="JZXYMFJFZ250081"/>
        <s v="JCYMZSJQY250029-2"/>
        <s v="YMZSJDKHLY250195"/>
        <s v="JZXYMZSJQY250113"/>
        <s v="JZXYMHN250170"/>
        <s v="JZXYMYXMM250805"/>
        <s v="JCYMZSJQY250011-1"/>
        <s v="JZXYMLCYDG251207"/>
        <s v="JZXYMZSJJM25040"/>
        <s v="JZXYMFJFZ250084"/>
        <s v="YMZSJDKHWS250040-2"/>
        <s v="YMZSIDKHWS250038-5"/>
        <s v="YMZSJDKHWS250041-2"/>
        <s v="YMGXXJ250144"/>
        <s v="YMGXXJ250134"/>
        <s v="YMFJFZ250159"/>
        <s v="YMFJFZ250134"/>
        <s v="YMGXQZ250316"/>
        <s v="JZXYMLCYDG251212"/>
        <s v="YMGXQZ250315"/>
        <s v="YMZSJJY250195"/>
        <s v="YMZSJDKHWS250045"/>
        <s v="YMZSJDKHWS250046"/>
        <s v="YMZSJXXW260001"/>
        <s v="YMYXYJ250250-1"/>
        <s v="YMYXYJ250250-3"/>
        <s v="YMZSJJY250201"/>
        <s v="YMZSJDGJZX250427"/>
        <s v="YMGXQZ250317"/>
        <s v="JZXYMZSJJM26001"/>
        <s v="YMHN250338"/>
        <s v="YMZSJQY250182、YMZSJQY250189"/>
        <s v="YMZSJQY250280"/>
        <s v="YMZSJQY250293"/>
        <s v="YMZSJQY250294"/>
        <s v="YMFJFZ250183"/>
        <s v="YMFJFZ250188"/>
        <s v="YHYMZSJXS251118002"/>
        <s v="YMZSJDKHWS250048-1"/>
        <s v="YMZSJDKHWS250049-3"/>
        <s v="YMZSJJM26007"/>
        <s v="YMZSJJM25103-2"/>
        <s v="YMFJZZ250304"/>
        <s v="YMFJZZ250315"/>
        <s v="YMFJFZ260011"/>
        <s v="YMFJFZ260002"/>
        <s v="JZXYMDG26003"/>
        <s v="YMZSJDG250415"/>
        <s v="YMZSJDG250414"/>
        <s v="YMZSJDG250446"/>
        <s v="JZXYMDG26007"/>
        <s v="JZXYMLCYDG251208"/>
        <s v="JZXYMLCYDG251209"/>
        <s v="YMGXNN250144-01"/>
        <s v="JCYMZSJM25006-4"/>
        <s v="YMZSJJM25084"/>
        <s v="YMFJFZ250210"/>
        <s v="YMFJZZ250316"/>
        <s v="YMFJZZ250313"/>
        <s v="JZXYMZSJM26002"/>
        <s v="JZXYMZSJJM26009"/>
        <s v="YMGXQZ250335"/>
        <s v="YMGXQZ250314"/>
        <s v="YMZSJDKHLY250202"/>
        <s v="YMZSJDKHLY250206"/>
        <s v="YMZSJJY250204"/>
        <s v="YMFJZZ260004"/>
        <s v="YMFJZZ260019"/>
        <s v="JZXYMFJFZ250086"/>
        <s v="YMZSJDG26010"/>
        <s v="JZXYMDG26016"/>
        <s v="YMFJFZ260003"/>
        <s v="YMFJZZ260010"/>
        <s v="JZXYMZSJQY260002"/>
        <s v="JZXYMLCYDG251210"/>
        <s v="YMZSJDKHSBT250017"/>
        <s v="YMZSJDKHSBT260001"/>
        <s v="YMYXYJ250218"/>
        <s v="YMYXYJ250225"/>
        <s v="YMZSJDKHWS250049-2"/>
        <s v="JZXYMDG26014"/>
        <s v="JCYMHN260002-1"/>
        <s v="YMGXNN250131-01"/>
        <s v="YMZSJQY260016"/>
        <s v="YMZSJDKHWS250048-2"/>
        <s v="YMZSJDKHWS250048-3"/>
        <s v="YMZSJJY250224"/>
        <s v="JCYMZSJDG25051-1"/>
        <s v="YMFJFZ250158"/>
        <s v="YMZSJDG250412"/>
        <s v="YMGXXJ250149_x000a_YMGXXJ260002_x000a_YMGXXJ260003"/>
        <s v="YMZSJDG250500"/>
        <s v="JZXYMDG26018"/>
        <s v="YMFJFZ260012"/>
        <s v="JZXYMZSJJM26005"/>
        <s v="YMZSJDKHLY260001"/>
        <s v="YMZSJDKHLY250204"/>
        <s v="YMFJFZ250164"/>
        <s v="YMFJFZ250165"/>
        <s v="JZXYMDG26017"/>
        <s v="JZXYMDG26015"/>
        <s v="YMFJFZ250189"/>
        <s v="YMYXYJ260001-2"/>
        <s v="YMYXYJ260004-2"/>
        <s v="YMYXYJ260013-2"/>
        <s v="JCYMGXQZ260002-1"/>
        <s v="YMYXYJ260013-3"/>
        <s v="YMYXYJ260013-1"/>
        <s v="JCYMYXMM260005-1"/>
        <s v="YMZSJQY250282"/>
        <s v="YMYXMM260016"/>
        <s v="YMGXQZ260018"/>
        <s v="YMFJZZ250325"/>
        <s v="JCYMZSJJM25007-4"/>
        <s v="YMGXQZ260004"/>
        <s v="JCYMGXXJ260003-1"/>
        <s v="YMGXXJ250157"/>
        <s v="JZXYMZSJQY260019"/>
        <s v="YMZSJDG26001"/>
        <s v="YMZSJDG26002"/>
        <s v="YMYXMM250880"/>
        <s v="YMZSJJY250221"/>
        <s v="YMZSJJY250228"/>
        <s v="JZXYMHN260011"/>
        <s v="YMFJFZ260029"/>
        <s v="JCYMFJFZ250017-1"/>
        <s v="YMFJFZ250196"/>
        <s v="JZXYMGXQZ260007"/>
        <s v="YMLDW2603033001-1"/>
        <s v="YMYXMM260008-1"/>
        <s v="YMZSJJY250230"/>
        <s v="YMZSJJY250216"/>
        <s v="YMZSJJY250227"/>
        <s v=":JCYMZSJQY250043-2"/>
        <s v="JZXYMZSJJM26026"/>
        <s v="YMZSJDKHISBT2600017"/>
        <s v="YMZSJHD260076"/>
        <s v="YMGXXJ260017"/>
        <s v="JCYMGXXJ260002-1"/>
        <s v="JCYMGXXJ260004-2"/>
        <s v="YMFJFZ260005"/>
        <s v="YMFJZZ260043"/>
        <s v="YMZSJJY250229"/>
        <s v="JCYMZSJJY250155-1"/>
        <s v="YMFJFZ260021"/>
        <s v="YMZSJM26013"/>
        <s v="YMFJFZ260034"/>
        <s v="YMFJFZ260030"/>
        <s v="JZXYMZSJQY260008"/>
        <s v="YMFJFZ250194"/>
        <s v="YMZSJDKHLY250166"/>
        <s v="YMZSJDKHLY250168"/>
        <s v="YMFJFZ260017"/>
        <s v="YMZSJDG26016"/>
        <s v="YMZSJDG26011"/>
        <s v="YMZSJDG26050"/>
        <s v="YMFJZZ260035"/>
        <s v="YMFJZZ260036"/>
        <s v="YMZSJQY260021"/>
        <s v="JZXYMZSJJM26037"/>
        <s v="YMFJFZ260008"/>
        <s v="YMFJFZ260013"/>
        <s v="YMFJFZ260063"/>
        <s v="YMFJFZ260035"/>
        <s v="YMZSJJM26024"/>
        <s v="YMFJFZ260020"/>
        <s v="YMFJFZ260018"/>
        <s v="JZXYMFJFZ250092"/>
        <s v="YMGXQZ260030"/>
        <s v="YMZSJJY250232"/>
        <s v="YMZSJJY250234"/>
        <s v="JZXYMZSJJM26039"/>
        <s v="JZXYMZSJJM26046"/>
        <s v="YMYXMM260086"/>
        <s v="YMYXMM260095"/>
        <s v="JCYMZSJJY250156-1"/>
        <s v="YMLDW260417008-SK"/>
        <s v="YMFJZZ260057"/>
        <s v="YMFJZZ260059、YMFJZZ260060"/>
        <s v="YMFJZZ260069"/>
        <s v=" JZXYMZSJJM26038"/>
        <s v="YMYXZJ260058-SK"/>
        <s v="YMFJFZ260113"/>
        <s v="YMYXMM260109"/>
        <s v="YMFJFZ260097"/>
        <s v="YMFJFZ260062"/>
        <s v="YMGXXJ260030"/>
        <s v="YMZSJDG26034"/>
        <s v="YMYXYJ260054"/>
        <s v="JZXYMZSJQY260049"/>
        <s v="JCYMFJFZ250065-1"/>
        <s v="JZXYMZSJQY260044"/>
        <s v="JZXYMZSJQY260043"/>
        <s v="JZXYMZSJQY260027、JZXYMZSJQY260026"/>
        <s v="JZXYMZSJQY260029"/>
        <s v="JZXYMGXXJ26002"/>
        <s v="YMLDW260325004"/>
        <s v="YMYXYJ260075"/>
        <s v=" JCYMZSJDG25054-1 "/>
        <s v="YMFJZZ260063"/>
        <s v="JZXYMFJZZ260020"/>
        <s v="JZXYMHN260071"/>
        <s v="YMFJFZ260028"/>
        <s v="YMFJFZ260042\YMFJFZ260060\YMFJFZ260067"/>
        <s v="YMFJZZ260048、YMFJZZ260061、YMFJZZ260064、YMFJZZ260073"/>
        <s v="YMFJFZ260041"/>
        <s v="YMFJFZ260081"/>
        <s v="YMFJFZ260107"/>
        <s v="YMFJFZ250198"/>
        <s v="YMFJFZ260096"/>
        <s v="JZXYMFJFZ260001"/>
        <s v="YMFJFZ260103"/>
        <s v="JZXYMZSJQY260050"/>
        <s v="JZXYMFJFZ260002"/>
        <s v="YMZSJJY250236"/>
        <s v="YMGXQZ260082"/>
        <s v="YMYXZJ260083-SK"/>
        <s v="YMZSJDG26041"/>
        <s v="JZXYMZSJDG26048"/>
        <s v="YMFJZZ260079"/>
        <s v="YMFJZZ260078"/>
        <s v="YMFJZZ260074"/>
        <s v=" YMZSJDG26058 "/>
        <s v="YMYXMM260240"/>
        <s v="YMYXZJ260047"/>
      </sharedItems>
    </cacheField>
    <cacheField name="费用发生时间" numFmtId="176">
      <sharedItems containsBlank="1" containsDate="1" containsMixedTypes="1" count="171">
        <d v="2025-04-05T00:00:00"/>
        <s v="5/13-5/15"/>
        <s v="2025/5/17、6/2"/>
        <s v="2025/5/16、6/4"/>
        <d v="2025-06-03T00:00:00"/>
        <d v="2025-07-28T00:00:00"/>
        <d v="2025-08-11T00:00:00"/>
        <d v="2025-08-20T00:00:00"/>
        <d v="2025-08-19T00:00:00"/>
        <d v="2025-12-10T00:00:00"/>
        <d v="2025-09-25T00:00:00"/>
        <d v="2025-11-19T00:00:00"/>
        <d v="2025-11-21T00:00:00"/>
        <d v="2025-11-24T00:00:00"/>
        <d v="2025-11-27T00:00:00"/>
        <d v="2025-11-18T00:00:00"/>
        <d v="2025-10-03T00:00:00"/>
        <d v="2025-12-11T00:00:00"/>
        <d v="2025-08-26T00:00:00"/>
        <d v="2011-06-09T00:00:00"/>
        <d v="2025-11-22T00:00:00"/>
        <d v="2025-11-14T00:00:00"/>
        <s v="9月13"/>
        <d v="2025-07-29T00:00:00"/>
        <d v="2025-11-26T00:00:00"/>
        <d v="2025-10-13T00:00:00"/>
        <d v="2025-10-17T00:00:00"/>
        <d v="2025-10-20T00:00:00"/>
        <d v="2025-10-16T00:00:00"/>
        <d v="2025-10-27T00:00:00"/>
        <d v="2025-10-31T00:00:00"/>
        <s v="11-14-22"/>
        <d v="2025-11-28T00:00:00"/>
        <d v="2025-11-23T00:00:00"/>
        <d v="2025-10-30T00:00:00"/>
        <d v="2025-10-22T00:00:00"/>
        <d v="2025-09-16T00:00:00"/>
        <d v="2025-12-09T00:00:00"/>
        <d v="2025-11-30T00:00:00"/>
        <d v="2025-09-20T00:00:00"/>
        <d v="2025-10-11T00:00:00"/>
        <d v="2025-12-06T00:00:00"/>
        <d v="2025-11-20T00:00:00"/>
        <s v="2025-8-14-9-14"/>
        <s v="11-24-29"/>
        <d v="2025-12-18T00:00:00"/>
        <s v="11-30-12-8"/>
        <s v="11月27日-11月30日"/>
        <d v="2025-11-29T00:00:00"/>
        <d v="2025-12-14T00:00:00"/>
        <d v="2025-12-03T00:00:00"/>
        <d v="2025-12-19T00:00:00"/>
        <d v="2025-12-17T00:00:00"/>
        <d v="2025-12-29T00:00:00"/>
        <d v="2026-01-02T00:00:00"/>
        <d v="2025-12-25T00:00:00"/>
        <s v="2025年12月4日-2025年12月12日"/>
        <d v="2025-12-31T00:00:00"/>
        <d v="2026-01-04T00:00:00"/>
        <d v="2026-12-27T00:00:00"/>
        <d v="2026-11-20T00:00:00"/>
        <d v="2026-12-20T00:00:00"/>
        <d v="2026-01-08T00:00:00"/>
        <d v="2026-01-11T00:00:00"/>
        <d v="2026-01-15T00:00:00"/>
        <d v="2025-12-22T00:00:00"/>
        <d v="2025-12-24T00:00:00"/>
        <d v="2026-01-14T00:00:00"/>
        <d v="2026-01-21T00:00:00"/>
        <d v="2026-01-26T00:00:00"/>
        <s v="2026/1/6-1/13"/>
        <d v="2026-01-03T00:00:00"/>
        <d v="2026-01-20T00:00:00"/>
        <d v="2025-11-09T00:00:00"/>
        <d v="2026-01-28T00:00:00"/>
        <d v="2025-09-08T00:00:00"/>
        <d v="2026-01-30T00:00:00"/>
        <d v="2026-01-19T00:00:00"/>
        <d v="2026-01-13T00:00:00"/>
        <d v="2026-01-22T00:00:00"/>
        <d v="2026-01-16T00:00:00"/>
        <d v="2026-01-01T00:00:00"/>
        <s v="2026/1/143"/>
        <d v="2026-01-29T00:00:00"/>
        <d v="2025-12-15T00:00:00"/>
        <d v="2026-01-17T00:00:00"/>
        <d v="2026-01-25T00:00:00"/>
        <d v="2026-02-04T00:00:00"/>
        <d v="2026-02-03T00:00:00"/>
        <d v="2026-01-27T00:00:00"/>
        <d v="2026-02-09T00:00:00"/>
        <d v="2026-01-10T00:00:00"/>
        <d v="2026-02-01T00:00:00"/>
        <d v="2026-01-09T00:00:00"/>
        <d v="2026-01-23T00:00:00"/>
        <d v="2026-02-06T00:00:00"/>
        <d v="2026-02-07T00:00:00"/>
        <d v="2026-02-11T00:00:00"/>
        <d v="2026-02-05T00:00:00"/>
        <s v="2025年11月14日-2026年1月20日"/>
        <s v="2026/1/15-2026/1/23_x000a_2026/1/23_x000a_2026/1/24"/>
        <d v="2026-02-13T00:00:00"/>
        <s v="2025-12-1-2026-2-10"/>
        <s v="2026-1-14-2-28"/>
        <d v="2026-02-28T00:00:00"/>
        <d v="2026-02-12T00:00:00"/>
        <s v="2025-12-1-2026-1-10"/>
        <d v="2026-02-08T00:00:00"/>
        <d v="2026-02-10T00:00:00"/>
        <d v="2026-02-14T00:00:00"/>
        <d v="2026-03-04T00:00:00"/>
        <d v="2026-03-02T00:00:00"/>
        <d v="2026-02-27T00:00:00"/>
        <d v="2026-02-02T00:00:00"/>
        <s v="2026/2/4-5"/>
        <d v="2026-03-05T00:00:00"/>
        <d v="2026-03-14T00:00:00"/>
        <d v="2026-02-16T00:00:00"/>
        <d v="2026-02-26T00:00:00"/>
        <d v="2026-03-09T00:00:00"/>
        <d v="2026-03-11T00:00:00"/>
        <d v="2026-03-13T00:00:00"/>
        <d v="2026-03-10T00:00:00"/>
        <d v="2026-03-01T00:00:00"/>
        <d v="2026-03-12T00:00:00"/>
        <d v="2026-03-03T00:00:00"/>
        <d v="2026-03-15T00:00:00"/>
        <d v="2026-03-18T00:00:00"/>
        <d v="2026-03-17T00:00:00"/>
        <d v="2026-03-08T00:00:00"/>
        <d v="2025-11-25T00:00:00"/>
        <d v="2026-03-23T00:00:00"/>
        <d v="2026-03-25T00:00:00"/>
        <d v="2026-04-15T00:00:00"/>
        <d v="2026-03-20T00:00:00"/>
        <d v="2026-03-31T00:00:00"/>
        <d v="2026-03-26T00:00:00"/>
        <d v="2026-04-27T00:00:00"/>
        <d v="2026-04-24T00:00:00"/>
        <d v="2026-04-19T00:00:00"/>
        <d v="2026-04-16T00:00:00"/>
        <d v="2026-04-21T00:00:00"/>
        <d v="2026-04-23T00:00:00"/>
        <d v="2026-05-07T00:00:00"/>
        <d v="2026-05-12T00:00:00"/>
        <d v="2026-05-10T00:00:00"/>
        <d v="2026-04-08T00:00:00"/>
        <d v="2026-04-11T00:00:00"/>
        <d v="2026-05-06T00:00:00"/>
        <d v="2026-04-28T00:00:00"/>
        <d v="2026-05-20T00:00:00"/>
        <d v="2026-04-05T00:00:00"/>
        <d v="2026-04-01T00:00:00"/>
        <d v="2026-05-09T00:00:00"/>
        <d v="2026-05-18T00:00:00"/>
        <d v="2026-05-25T00:00:00"/>
        <d v="2026-03-22T00:00:00"/>
        <s v="2026年4-5月"/>
        <d v="2026-03-21T00:00:00"/>
        <d v="2026-04-30T00:00:00"/>
        <d v="2026-05-21T00:00:00"/>
        <d v="2026-05-24T00:00:00"/>
        <m/>
        <s v="2026/5/27-28"/>
        <d v="2026-05-23T00:00:00"/>
        <d v="2026-04-26T00:00:00"/>
        <d v="2026-05-27T00:00:00"/>
        <d v="2026-05-26T00:00:00"/>
        <d v="2026-05-28T00:00:00"/>
        <d v="2026-06-02T00:00:00"/>
        <s v="2026/4/15、2026/5/7-2026/6/5"/>
      </sharedItems>
    </cacheField>
    <cacheField name="费用申请时间" numFmtId="176">
      <sharedItems containsSemiMixedTypes="0" containsString="0" containsNonDate="0" containsDate="1" minDate="2025-05-05T00:00:00" maxDate="2026-06-12T00:00:00" count="104">
        <d v="2025-05-05T00:00:00"/>
        <d v="2025-06-09T00:00:00"/>
        <d v="2025-06-18T00:00:00"/>
        <d v="2025-07-28T00:00:00"/>
        <d v="2025-08-11T00:00:00"/>
        <d v="2025-08-20T00:00:00"/>
        <d v="2025-08-19T00:00:00"/>
        <d v="2025-12-11T00:00:00"/>
        <d v="2025-12-09T00:00:00"/>
        <d v="2025-12-29T00:00:00"/>
        <d v="2025-11-27T00:00:00"/>
        <d v="2025-12-14T00:00:00"/>
        <d v="2025-12-15T00:00:00"/>
        <d v="2025-12-10T00:00:00"/>
        <d v="2025-12-16T00:00:00"/>
        <d v="2025-12-03T00:00:00"/>
        <d v="2025-10-22T00:00:00"/>
        <d v="2025-09-16T00:00:00"/>
        <d v="2025-12-18T00:00:00"/>
        <d v="2025-12-19T00:00:00"/>
        <d v="2025-12-22T00:00:00"/>
        <d v="2025-12-23T00:00:00"/>
        <d v="2025-12-24T00:00:00"/>
        <d v="2025-12-25T00:00:00"/>
        <d v="2025-12-26T00:00:00"/>
        <d v="2026-01-12T00:00:00"/>
        <d v="2025-12-30T00:00:00"/>
        <d v="2026-01-05T00:00:00"/>
        <d v="2026-01-07T00:00:00"/>
        <d v="2026-01-08T00:00:00"/>
        <d v="2026-01-09T00:00:00"/>
        <d v="2026-02-12T00:00:00"/>
        <d v="2026-01-13T00:00:00"/>
        <d v="2026-01-15T00:00:00"/>
        <d v="2026-01-19T00:00:00"/>
        <d v="2026-01-16T00:00:00"/>
        <d v="2026-01-20T00:00:00"/>
        <d v="2026-01-21T00:00:00"/>
        <d v="2026-01-23T00:00:00"/>
        <d v="2026-01-26T00:00:00"/>
        <d v="2026-01-27T00:00:00"/>
        <d v="2026-02-10T00:00:00"/>
        <d v="2026-01-28T00:00:00"/>
        <d v="2026-01-30T00:00:00"/>
        <d v="2026-02-03T00:00:00"/>
        <d v="2026-02-02T00:00:00"/>
        <d v="2026-02-05T00:00:00"/>
        <d v="2026-02-06T00:00:00"/>
        <d v="2026-02-09T00:00:00"/>
        <d v="2026-02-11T00:00:00"/>
        <d v="2026-02-26T00:00:00"/>
        <d v="2026-02-24T00:00:00"/>
        <d v="2026-02-25T00:00:00"/>
        <d v="2026-02-28T00:00:00"/>
        <d v="2026-03-02T00:00:00"/>
        <d v="2026-03-03T00:00:00"/>
        <d v="2026-03-04T00:00:00"/>
        <d v="2026-03-05T00:00:00"/>
        <d v="2026-03-09T00:00:00"/>
        <d v="2026-03-06T00:00:00"/>
        <d v="2026-03-11T00:00:00"/>
        <d v="2026-03-12T00:00:00"/>
        <d v="2026-03-13T00:00:00"/>
        <d v="2026-03-16T00:00:00"/>
        <d v="2026-03-17T00:00:00"/>
        <d v="2026-03-19T00:00:00"/>
        <d v="2026-03-20T00:00:00"/>
        <d v="2026-03-15T00:00:00"/>
        <d v="2026-03-23T00:00:00"/>
        <d v="2026-03-24T00:00:00"/>
        <d v="2026-03-25T00:00:00"/>
        <d v="2026-03-26T00:00:00"/>
        <d v="2026-03-27T00:00:00"/>
        <d v="2026-04-03T00:00:00"/>
        <d v="2026-04-07T00:00:00"/>
        <d v="2026-04-08T00:00:00"/>
        <d v="2026-04-14T00:00:00"/>
        <d v="2026-04-15T00:00:00"/>
        <d v="2026-04-16T00:00:00"/>
        <d v="2026-04-20T00:00:00"/>
        <d v="2026-04-21T00:00:00"/>
        <d v="2026-04-23T00:00:00"/>
        <d v="2026-04-28T00:00:00"/>
        <d v="2026-05-06T00:00:00"/>
        <d v="2026-05-08T00:00:00"/>
        <d v="2026-05-09T00:00:00"/>
        <d v="2026-05-11T00:00:00"/>
        <d v="2026-05-14T00:00:00"/>
        <d v="2026-05-15T00:00:00"/>
        <d v="2026-05-18T00:00:00"/>
        <d v="2026-05-20T00:00:00"/>
        <d v="2026-05-21T00:00:00"/>
        <d v="2026-05-22T00:00:00"/>
        <d v="2026-05-25T00:00:00"/>
        <d v="2026-05-26T00:00:00"/>
        <d v="2026-05-12T00:00:00"/>
        <d v="2026-05-27T00:00:00"/>
        <d v="2026-05-28T00:00:00"/>
        <d v="2026-06-02T00:00:00"/>
        <d v="2026-06-03T00:00:00"/>
        <d v="2026-06-05T00:00:00"/>
        <d v="2026-06-08T00:00:00"/>
        <d v="2026-06-10T00:00:00"/>
        <d v="2026-06-12T00:00:00"/>
      </sharedItems>
    </cacheField>
    <cacheField name="费用类型" numFmtId="0">
      <sharedItems containsBlank="1" count="12">
        <s v="商务扣款"/>
        <m u="1"/>
        <s v="堆存费减免" u="1"/>
        <s v="集装箱滞箱费用" u="1"/>
        <s v="滞期费" u="1"/>
        <s v="退货费用" u="1"/>
        <s v="堆存费" u="1"/>
        <s v="退货" u="1"/>
        <s v="港杂费" u="1"/>
        <s v="保险费" u="1"/>
        <s v="滞期费/堆存费" u="1"/>
        <s v="滞期费、堆存费" u="1"/>
      </sharedItems>
    </cacheField>
    <cacheField name="主题" numFmtId="0">
      <sharedItems count="235">
        <s v="关于福建省邵武市华龙饲料有限公司商务扣款说明"/>
        <s v="JZXYMGXXJ250003广西福祺保毒素箱子毒素超标扣款说明"/>
        <s v="关于龙岩华龙扣款说明"/>
        <s v="关于龙岩鑫华港饲料有限公司扣款说明"/>
        <s v="关于武平鑫龙港饲料有限公司扣款说明"/>
        <s v="福建省龙岩市华龙饲料有限公司"/>
        <s v="双胞胎（集团）股份有限公司"/>
        <s v="漳州温氏农牧有限公司"/>
        <s v="正大原料供应有限公司"/>
        <s v="漳州海大饲料有限公司"/>
        <s v="四川新希望贸易有限公司"/>
        <s v="丰顺县海新饲料有限公司"/>
        <s v="广东粮品农产品经验有限公司"/>
        <s v="广东泰德饲料有限公司扣款"/>
        <s v="郴州大北农饲料有限公司扣款"/>
        <s v="英德天农饲料有限公司扣款"/>
        <s v="关于安佑集团结算扣价"/>
        <s v="双胞胎（集团）股份有限公司扣款"/>
        <s v="鹤山市广顺饲料有限公司"/>
        <s v="阳江双胞胎饲料有限公司"/>
        <s v="茂名海航饲料有限公司"/>
        <s v="福建湘大骆驼饲料有限公司"/>
        <s v="广西南宁央卓粮食贸易有限公司"/>
        <s v="广西柳州桂柳牧业有限公司"/>
        <s v="广州顺泽粮食贸易有限公司"/>
        <s v="关于南宁海大杂质超标扣款"/>
        <s v="关于潘钟明、余剑玲、黄东宇、林雪清、许忠炯、广东双谷、双胞胎陈粮合同折价的情况说明"/>
        <s v="关于福建省南平市悠农饲料有限公司商务扣款的申请"/>
        <s v="关于永安鑫华港饲料有限公司商务扣款的申请"/>
        <s v="关于广东域强YMYXMM250594陈粮合同折价的情况说明"/>
        <s v="河南牧原粮食贸易有限公司扣款说明"/>
        <s v="有关漳州大北农农牧科技有限公司玉米商务扣款事项"/>
        <s v="有关正大原料供应有限公司玉米商务扣款事项"/>
        <s v="有关福建湘大骆驼饲料有限公司玉米商务扣款事项"/>
        <s v="有关三明市丰源饲料有限公司玉米商务扣款事项"/>
        <s v="有关福建省金同星汇贸易有限公司玉米商务扣款事项"/>
        <s v="关于安徽正康饲料有限责任公司扣款的说明"/>
        <s v="关于YMZSJDGJZX250422合同扣款说明"/>
        <s v="关于贵州漓源饲料有限公司YMZSJDKHLY250180扣款的请示"/>
        <s v="温氏集团扣款情况说明"/>
        <s v="关于茂名响亮 YMYXMM250391 质量扣款的情况说明"/>
        <s v="关于茂名金源 YMYXMM250392 质量扣款的情况说明"/>
        <s v="关于YMZSJJM25081玉米杂质超标扣款费"/>
        <s v="有关三明海大饲料有限公司玉米商务扣款事项"/>
        <s v="有关营口长源物流供应链管理有限公司玉米商务扣款事项"/>
        <s v="关于播恩集团股份有限公司 JCYMZSJDG25053-1 扣款的请示"/>
        <s v="有关福建省邵武市华龙饲料有限公司玉米商务扣款事项"/>
        <s v="福清双胞胎饲料有限公司"/>
        <s v="海南省粮油产业有限公司"/>
        <s v="三明海大饲料有限公司"/>
        <s v="关于韶关市漓源饲料有限公司 YMZSJDKHLY250195 扣款的请示"/>
        <s v="关于双胞胎JZXYMZSJQY250113结算扣款"/>
        <s v="海南胜飞贸易有限公司商务扣款说明"/>
        <s v="关于客户潘钟明结算数量的说明"/>
        <s v="JCYMZSJQY250011-1联系单"/>
        <s v="关于正大原料供应有限公司内贸玉米业务商务的说明"/>
        <s v="关于合同号JZXYMLCYDG251207扣款说明"/>
        <s v="茂名正辉--关于“炜业68V2507“轮玉米质量扣款情况说明"/>
        <s v="有关成都东方希望农业有限公司玉米商务扣款事项"/>
        <s v="关于宾阳通威饲料有限公司内贸玉米商务的说明"/>
        <s v="关于南宁通威生物科技有限公司内贸玉米商务的说明"/>
        <s v="有关深圳市凌念网络科技有限公司玉米商务扣款事项"/>
        <s v="关于广西园丰牧业集团股份有限公司玉米水分商务扣款"/>
        <s v="关于合同号 JZXYMLCYDG251212扣款说明"/>
        <s v="关于钦州播恩生物YMGXQZ250315合同商务扣款"/>
        <s v="关于 揭阳国雄饲料有限公司YMZSJJY250195合同商务 扣款"/>
        <s v="关于广东嘉好农产品有限公司 YMZSJXXW260001 扣款的请示"/>
        <s v="关于阳春温氏、阳东温氏扣款的说明"/>
        <s v="关于丰顺海新商务扣款"/>
        <s v="关于合同号YMZSJDGJZX250427扣款的请示"/>
        <s v="关于钦州播恩生物YMGXQZ250317合同商务扣款"/>
        <s v="关于开平市绿皇JZXYMZSJJM26001合同商务扣款"/>
        <s v="关于“中恒顺丰/2533“轮玉米质量扣款情况说明"/>
        <s v="关于成都德康动物健康技术服务有限公司扣款的说明"/>
        <s v="关于郴州大北农饲料科技有限公司扣款的说明"/>
        <s v="关于南宁大北农饲料科技有限责任公司扣款的说明"/>
        <s v="关于贵港湘大骆驼饲料有限公司扣款说明"/>
        <s v="关于成都东方希望农业有限公司商务处理说明"/>
        <s v="关于双胞胎（集团）股份有限公司玉米商务扣款说明"/>
        <s v="关于广东九联禽业养殖有限公司玉米商务扣款说明"/>
        <s v="关于贵港瑞康YMZSJJMYX25052、YMZSJJMYX25057和YMZSJJMYX25050的物流费用扣款"/>
        <s v="关于贵港瑞康YMZSJM25103合同玉米杂质超标扣款"/>
        <s v="关于正大贸易（中国）有限公司玉米商务扣款说明"/>
        <s v="有关南平华农恒青农牧有限公司玉米商务事项"/>
        <s v="有关福州海龙生物科技有限公司玉米商务事项"/>
        <s v="关于合同号JZXYMDG26003扣款的请示"/>
        <s v="关于 YMZSJDG250415 扣款的请示"/>
        <s v="关于 YMZSJDG250414 扣款的请示"/>
        <s v="关于 YMZSJDG250446 扣款的请示"/>
        <s v="关于JZXYMDG26007合同结算说明"/>
        <s v="关于合同号JZXYMLCYDG251208扣款的请示"/>
        <s v="关于合同号JZXYMLCYDG251209扣款的请示"/>
        <s v="关于河南牧原粮食贸易有限公司 YMGXNN250144 玉米散粮合同扣款事宜"/>
        <s v=" 关于南宁海大生物科技有限公司商务处理的说明"/>
        <s v="关于JCYMZSJJM25006-4玉米杂质超标扣款费用"/>
        <s v="关于YMZSJJM25084玉米杂质超标扣款费用"/>
        <s v="关于“炜业19”轮玉米品质问题及商务扣款的申请"/>
        <s v="关于粮品JZXYMZSJM26002合同玉米杂质超标扣款"/>
        <s v="关于粮品JZXYMZSJJM26009合同玉米杂质超标扣款"/>
        <s v="关于金钱农牧（广西）有限公司玉米水分商务扣款"/>
        <s v="关于广西柯特农业发展YMGXQZ250314合同商务扣款"/>
        <s v="关于贵港市漓源饲料有限公司YMZSJDKHLY250202扣款的请示"/>
        <s v="关于北流市响亮饲料有限公司YMZSJDKHLY250206 扣款的请示"/>
        <s v="关于正大原料供应有限公司YMZSJJY250204 扣款的请示"/>
        <s v="有关正大贸易（中国）有限公司玉米商务扣款事项"/>
        <s v="有关将乐温氏家禽有限公司玉米商务事项"/>
        <s v="关于 YMZSJDG26010 扣款的请示"/>
        <s v="关于合同号JZXYMDG26016扣款的请示"/>
        <s v="关于清远大北农生物科技有限公司扣款说明"/>
        <s v="关于关于广州顺泽粮食贸易有限公司扣款说明"/>
        <s v="关于合同号JZXYMLCYDG251210扣款的请示"/>
        <s v="正大康地阳江饲料有限公司"/>
        <s v="关于合同号JZXYMDG26014扣款的请示"/>
        <s v="关于海南省粮油产业有限公司商务扣款说明"/>
        <s v="关于广西辽大农业科技股份有限公司YMGXNN250131玉米散粮合同扣款请示"/>
        <s v="关于赣州湘大骆驼饲料有限公司扣款说明"/>
        <s v="关于梅州大北农 YMZSJJY250224 扣款"/>
        <s v="关于 JCYMZSJDG25051-1 扣款的请示"/>
        <s v="关于福州海龙生物科技有限公司商务处理说明"/>
        <s v="关于 YMZSJDG250412 扣款的请示"/>
        <s v="关于正大集团执行内贸玉米商务情况的说明"/>
        <s v="关于YMZSJDG250500扣款的请示"/>
        <s v="关于合同号JZXYMDG26018扣款的请示"/>
        <s v="关于英海JZXYMZSJJM26005的水分超标扣款"/>
        <s v="关于永州市漓源饲料有限公司YMZSJDKHLY260001扣款的请示"/>
        <s v="关于梧州柳新农牧科技有限公司YMZSJDKHLY250204扣款的请示"/>
        <s v="关于福建圣农发展（浦城）有限公司商务扣款说明"/>
        <s v="关于圣农发展（政和）有限公司商务扣款说明"/>
        <s v="关于JZXYMDG26017合同结算说明"/>
        <s v="关于JZXYMDG26015合同结算说明"/>
        <s v="关于南平海大生物科技有限公司商务处理说明"/>
        <s v="关于温氏扣款情况说明"/>
        <s v="关于温氏在锦鑫 6 轮 2601 航次下的扣款情况说明"/>
        <s v="关于广东嘉好执行内贸玉米商务情况的说明"/>
        <s v="关于茂名通威JCYMYXMM260005-1质量扣款的情况说明"/>
        <s v="关于清远加乐饲料有限公司扣款说明"/>
        <s v="关于苏州穗满德YMYXMM260016质量扣款的情况说明"/>
        <s v="关于钦州海大桂柳生物内贸玉米商务情况的说明"/>
        <s v="有关漳浦县海新饲料科技有限公司玉米商务扣款事项"/>
        <s v="关于广西兴安扬翔JCYMZSJJM25007-4的货物质量扣款"/>
        <s v="关于钦州播恩生物技术YMGXQZ260004合同商务扣款"/>
        <s v="关于南宁通威执行内贸玉米商务情况的说明"/>
        <s v="关于韶关海大生物科技有限公司合同扣款说明"/>
        <s v="关于广州顺泽JZXYMZSJQY260022合同扣款说明"/>
        <s v="关于YMZSJDG26001扣款的请示"/>
        <s v="关于 YMZSJDG26002 扣款的请示"/>
        <s v="关于双胞胎 YMYXMM250880 在“中恒顺丰/2602”质量扣款的情况说明"/>
        <s v="关于双胞胎 YMYXMM250880 在“锦江河/2523”质量扣款的情况说明"/>
        <s v="关于 YMZSJJY250221 扣款"/>
        <s v="关于 YMZSJJY250228 扣款"/>
        <s v="海口金长城饲料有限公司扣款说明"/>
        <s v="关于福建省金华龙饲料有限公司商务处理说明"/>
        <s v="关于福建省福清华龙饲料有限公司商务处理说明"/>
        <s v="关于广西诚轩粮汇贸易有限公司玉米水分商务扣款"/>
        <s v="关于广西忠昇饲料有限公司 YMLDW2603033001 玉米集装箱合同扣款请示"/>
        <s v="关于北流响亮 YMYXMM260008-1 在“益嘉 98/2534”质量扣款的情况说明"/>
        <s v="关于北流响亮 YMYXMM260008-1 在“锦江河/2523”质量扣款的情况说明"/>
        <s v="关于揭阳市温氏畜牧有限公司YMZSJJY250230扣款"/>
        <s v="关于丰顺县海新饲料有限公司YMZSJJY250216商务扣款"/>
        <s v="关于丰顺县海新饲料有限公司YMZSJJY250227商务扣款"/>
        <s v="关于苏州穗满德国际贸易有限公司商务扣款"/>
        <s v="关于广州市天伟生物科技有限公司垫付柜子的费用联系单"/>
        <s v="海大商务扣款"/>
        <s v="贵港万千执行内贸玉米商务"/>
        <s v="广西绿永内贸玉米商务"/>
        <s v="宾阳通威执行内贸玉米商务"/>
        <s v="有关南平海大生物科技有限公司玉米商务事项"/>
        <s v="有关龙岩大北农生物科技有限公司玉米商务扣款事项"/>
        <s v="有关丰顺温氏家禽有限公司玉米商务扣款事项"/>
        <s v="有关揭阳海大饲料有限公司玉米商务扣款事项"/>
        <s v="关于贵港瑞康YMZSJM26013合同的质量扣款"/>
        <s v="关于福州市农益森农业发展有限公司商务扣款说明"/>
        <s v="广东比利美英伟结算扣款"/>
        <s v="关于南平鑫华港饲料有限公司商务处理说明"/>
        <s v="清远加乐JZXYMZSJQY260018合同结算扣款"/>
        <s v="关于广东正钱饲料有限公司YMZSJDKHLY250166扣款的请示"/>
        <s v="关于清远正清源畜牧实业有限公司YMZSJDKHLY250168扣款的请示"/>
        <s v="关于 YMZSJDG26016 合同扣款的请示"/>
        <s v="关于 YMZSJDG26011合同结算说明的请示"/>
        <s v="关于 YMZSJDG26050合同结算说明的请示"/>
        <s v="有关漳州市海扬饲料有限公司玉米商务扣款事项"/>
        <s v="有关漳州市海力饲料有限公司玉米商务扣款事项"/>
        <s v="关于清远大北农YMZSJQY260021合同结算扣款"/>
        <s v="关于黄敏杰代付过磅费的费用联系单"/>
        <s v="关于南平市丰源饲料有限公司商务处理说明"/>
        <s v="关于宁德鑫华港饲料有限公司商务处理说明"/>
        <s v="关于圣农发展（政和）有限公司商务处理说明"/>
        <s v="广东新粮实业有限公司新粮饲料厂扣款情况说明"/>
        <s v="关于福建省邵武市华龙饲料有限公司商务处理说明"/>
        <s v="有关福建省莆田市新兴达饲料有限公司玉米商务事项"/>
        <s v="关于钦州播恩生物YMGXQZ260030合同毒素扣款商务"/>
        <s v="关于正大原料供应有限公司 YMZSJJY250232 扣款"/>
        <s v="关于 丰顺县海新饲料有限公司 扣款"/>
        <s v="关于广东粮品 JZXYMZSJJM26039 的质量扣款联系单"/>
        <s v="关于广东粮品 JZXYMZSJJM26046 的质量扣款联系单"/>
        <s v="关于双胞胎 YMYXMM260086 合同质量扣款的情况说明"/>
        <s v="关于双胞胎 YMYXMM260095 合同质量扣款的情况说明"/>
        <s v="关于梅州海大生物科技有限公司 JCYMZSJJY250156-1 扣款"/>
        <s v="湛江粮友贸易有限公司"/>
        <s v="有关海新集团玉米商务扣款事项"/>
        <s v="有关中牧（上海）粮油有限公司玉米商务扣款事项"/>
        <s v="关于禾润兴 JZXYMZSJJM26038 合同质量扣款联系单"/>
        <s v="关于嘉好YMYXZJ260058扣款函申请"/>
        <s v="关于莆田温氏家禽有限公司商务处理说明"/>
        <s v="关于高州安佑 YMYXMM260109 合同质量扣款的情况说明"/>
        <s v="关于贵港市万千饲料有限公司商务情况的说明"/>
        <s v="关于 YMZSJDG26034 合同扣款说明的请示"/>
        <s v="关于阳江海大饲料有限公司扣款的说明"/>
        <s v="关于清远大北农结算扣款"/>
        <s v="关于广州顺泽集装箱结算扣款"/>
        <s v="桂林市漓源粮油饲料有限责任公司"/>
        <s v="集装箱合同YMLDW260325004扣款"/>
        <s v="关于阳江市富民饲料有限公司扣款的说明"/>
        <s v="关于 JCYMZSJDG25054-1 合同扣款说明的请示"/>
        <s v="有关正大贸易玉米商务扣款事项"/>
        <s v="有关正大原料供应有限公司集装箱玉米退货事项"/>
        <s v="关于漳州海大饲料有限公司玉米商务扣款申请"/>
        <s v="关于厦门粮缘饲料科技有限公司商务处理说明"/>
        <s v="关于福建省佳牧农牧集团有限公司商务处理说明"/>
        <s v="关于福建圣农发展（浦城）有限公司商务处理说明"/>
        <s v="关于福建圣农发展股份有限公司商务处理说明"/>
        <s v="关于福州东坤饲料有限公司商务处理说明"/>
        <s v="关于河源市瑞昌饲料有限公司合同扣款说明"/>
        <s v="关于海大执行内贸玉米商务的说明"/>
        <s v="关于梅州海大生物科技有限公司商务扣款说明"/>
        <s v="关于钦州播恩生物技术有限公司玉米毒素商务扣款"/>
        <s v="关于新天地YMYXZJ260083扣款函申请"/>
        <s v="关于 YMZSJDG26041合同扣款说明的请示"/>
        <s v="关于JZXYMZSJDG26048扣款和结算说明"/>
        <s v="关于双胞胎YMFJZZ260079合同质量扣款的情况说明"/>
        <s v="关于YMFJZZ260078新正邦合同质量扣款的情况说明"/>
        <s v="关于YMFJZZ260074漳州温氏合同质量扣款的情况说明"/>
        <s v="关于 YMZSJDG26058 合同扣款说明的请示"/>
        <s v="关于双胞胎YMYXMM260240合同质量扣款的情况说明"/>
        <s v="关于湛江海大饲料有限公司结算的说明"/>
      </sharedItems>
    </cacheField>
    <cacheField name="内容" numFmtId="0">
      <sharedItems containsBlank="1" count="290" longText="1">
        <s v="    兹有我司与福建省邵武华龙饲料有限公司签订《粮食销售合同》，合同号：YMFJFZ250015，合同数量3000吨，单价2240元/吨，截止2025年4月5日接货完毕。该合同提货2987.12吨，其中3月26日提货6车共计209.97吨，到货检测指标较差（杂质1.6%，霉变3.6%），经双方协商一致，退货转扣款接收，扣款10元/吨共计2099.7元，折合合同扣款0.7元/吨。_x000a_    以上扣款，对应内部发运散船航安顺/2507，是否可行，请领导批示。"/>
        <s v="该批保毒素箱子21个，总计554.97吨，计划交付广西福祺饲料有限公司保毒素合同（合同号：JZXYMGXXJ250003），4月21日和4月25日从北方发出，5月3日至5月8日抵达贵港港（运单号：AUVTNTW250238777、ASNCLTL250258834），计划号YHSZ-25-032021。5月13日至5月15日全部提完。到厂检测毒素超标，7个箱子毒素指标在1100-1300ppb之间，14个箱子毒素指标在1400-1900ppb之间。我部及时与玉米品种线联系并向大区反映情况，后经大区协调，现场取样邮至北良港检测公司董乾仕复检，四个集装箱（ATHU1009372、ATHU1078877、FBIU0022667、FBIU0003991）分两个样品毒素检测结果值为1491ppb和1729ppb。下游客户要求商扣50元/吨，经我司协商最终扣20元/吨，总计11099.4元。"/>
        <s v="我司与福建省龙岩市华龙饲料有限公司于2025年05月09日签署生效的《粮食销售合同》（合同编号：JZXYMFJZZ250004)，合同数量480吨，合同单价2420元/吨，截止至2025年06月04日，该合同累计提货471.075吨，客户于2025年5月17日接收玉米，检测呕吐毒素超标；检测容重未达标，合计产生扣款2704.76元，整批次提货471.075吨，折单吨扣款5.74元/吨"/>
        <s v="我司与龙岩鑫华港饲料有限公司于2025年05月09日签署生效的《粮食销售合同》（合同编号：JZXYMFJZZ250005)，合同数量420吨，合同单价2420元/吨，截止至2025年05月20日，该合同累计提货414.4吨，检测有呕吐毒素超标；检测容重未达标，以上情况合计产生扣款2204.80元，整批次提货414.4吨，折单吨扣款5.32元/吨"/>
        <s v="我司与武平鑫龙港饲料有限公司于2025年05月09日签署生效的《粮食销售合同》（合同编号：JZXYMFJZZ250006)，合同数量220吨，合同单价2420元/吨，截止至2025年05月18日，该合同累计提货221.905吨，检测容重未达标，合计扣款1071.40元，整批次提货221.905吨，折单吨扣款4.83元/吨"/>
        <m/>
        <s v="丰顺县海新饲料有限公司，2025年11月12日签订《粮食销售合同(赊销)》(合同编号:YMZSJJY250170)，数量 500 吨，单价 2320 元/吨，该合同已累计交货 496吨，(其中 11月 20日3 车车号:赣 C5615D，重量 31.7吨，车号:粤 V05263,重量 33.77 吨，车号:粤 VN1708，重量 34.84吨，合计:100.31 吨)到货玉米经检验杂质 1.2%杂质和破碎粒超出合同约定指标(杂质≤1%),不符合客户接受指标。针对该批次到厂不合格玉米，经双方友好协商处理后，退货转扣款接收。经双方友好协商处理后，退货转扣款接收，合计扣款 1003.1元 折合10元/吨。"/>
        <s v="丰顺县海新饲料有限公司,于2025年11月20日签订《粮食销售合同》(合同编号:YMZSIIY250177)，数量 500 吨，单价 2340 元/吨,该合同已累计交货 495.46吨，(其中12月2日4车车号:粤 BGT302,重量 34.97 吨，车号:赣C4M573，重量 36.5吨，车号:粤D28948，重量 38.6吨，车号:赣C7N367,重量 43.52 吨合计:153.59 吨)到货玉米经检验杂质 1.2%杂质和破碎粒超出合同约定指标(杂质≤19)，不符合客户接受指标。针对该批次到厂不合格玉米，经双方友好协商处理后，退货转扣款接收。"/>
        <s v="经双方友好协商处理后，退货转扣款接收，合计扣款 1535.9元 折合10 元/吨。"/>
        <s v="广东粮品农产品经验有限公司，于2025 年9月25 日签订的《粮食销售合同》合同编号:JZXYMZSJJM25047)合同数量 351 吨,合同单价 2460 元/吨，计划号 YHSZ-25-072128，运单号 AYWWCRX250607901A，共13 柜，截止到9月 29 日该合同下货物已提货完毕。其中 6柜玉米分别存在霉变和生虫的现象:_x000a_(1)TAHU1162503和ATHU1046083，26.73和7.78，霉变超标，扣款 50 元/吨                                        (2)ATHU1046083、ATHU1265939、ATHU1303556、ATHU1246651和ATHU1103202卸重分别为 26.86、26.85、26.9和 27.21，存在生虫现象，扣款 50 元/吨合计扣款金额为:7965.9元。"/>
        <s v="广东泰德饲料有限公司于11月12日签订国产内贸合同(合同号YMZSJQY250219，合同量1000 吨，单价 2320 元/吨)，该合同为吉林经营部与我司珠三角经营部协同发往英德站的保1000 毒素玉米，客户于 11月19 日开始提货其中，有6车玉米呕吐毒素超出合同第二条:质量标准中:呕吐毒素&lt;1000ug/kg的约定，具体明细如下:经过双方友好协商，决定对该批次不合格的玉米进行扣款处理，经沟通，毒素超示的部分扣款一共 5451.6 元由上游吉林经营部承担。"/>
        <s v="郴州大北农饲料科技有限公司于 11月11日签订国产内贸合同(合同号YMZSJQY250205，合同量 800 吨，单价 2250 元/吨)，客户于 11月21 日开始提货我司麻涌港:国家能源 610/2511 轮玉米，现有部分玉米到厂后，出现杂质超标情况，明细如下:除湘 LB8781 提货杂质为 1.19%扣款 10 元/吨外，其余车辆杂质综合达到2.21%，该合同第二条质量标准约定:杂质≤1.0%，经过双方友好协商，决定对该批次不合格的玉米进行扣款处理，请领导审批。经沟通，该批次货物扣款共计:6649元。"/>
        <s v="英德天农饲料有限公司，2025 年11月15日签订的《粮食销售合同》(合同编号:YMZSJQY250179)合同数量 1000 吨，合同单价 2310 元/吨，根据签订的《粮食销售合同》第二条款约定的质量标准，交付的玉米标准应当符合如下约定:“容重2685g儿L，水分≤15.0%，杂质≤1.0%，霉变粒≤2.0%，呕吐毒素≤1000ug/kg，”。客户提货我司从北方发运散改基玉米，2025年11月16日至24日到厂柜号:5588171、0809541、330766、6457540、0733826，共受委托承运供方玉米 120.01 吨，合同单价 2310 元/吨，到需方英德天农工厂，经品管技术部门抽样不达合同约定标准，经供需双方友好协商，需方同意2车玉米折价收货。其中 5588171、0809541柜毒素超标:1493.99、1147.01，双方友好协商折价 30元/吨，结算即 2280 元/吨为准;330766柜毒素超标:1081.93，双方友好协商折价5元/吨，结算即 2305 元/吨为准;6457540、0733826柜毒素超标:1066.21、1024.4，双方友好协商折价5元/吨，结算即 2305 元/吨为准。合计扣款1344.8元"/>
        <s v="苏州穗满德国际贸易有限公司，2025年11月13日签订的《粮食销售合同》(合同编号:JCYMZSJQY250029-1)合同数量1500吨，合同单价2302元/吨，提货新沙港国远86、中瑞祥79，三车到厂检测霉变为2.5%超出合同约定的标准，合计98.38吨，申请每吨扣款20元，扣款20元*98.38吨=1967.6元。"/>
        <s v="客户在对应外采船“锦富航 69/2530”轮提货过程中，反馈 706.74 吨玉米感官有黑粒，霉变超标，存在质量不合格问题，经饲料厂人员取样检测并复查，霉变达 2.3%，合同约定质量标准：霉变粒≤2%，不符合合同规定。经我部与客_x000a_户多次协商，秉承长期友好合同原则，共申请扣款 14134.8 元，单吨扣款 20 元/吨"/>
        <s v="鹤山市广顺饲料有限公司，于 2025 年 09 月 28 日签订的《粮食销售合同》合同编号:JZXYMZSJJM25048)合同数量 150 吨,合同单价 2400 元/吨，计划号JZXYMSZCG250076 和YHSZ-25-072128，运单号Q085591683和AYWWCRX250607901A，共6柜，截止到 10月 3日该合同下货物已提货完毕。_x000a_1、柜号 XYLU1060398，卸厂数 26.42 吨，水湿发霉，发热结块严重，价格按 1700 元/吨结算，已报保险，保险承担8800元。_x000a_2、柜号 00CU0908616和 ATHU1168857,卸厂数分别为 26.403和 9.9(半柜)，发热发霉价格按 2330 元/吨结算，其中00CU0908616已报保险，保险承担9920元。合计扣款金额为:18494+2541.21=21035.21元，已报保险，保险承担18720元."/>
        <s v="我司于2025年9月18日与阳江双胞胎饲料有限公司签订了玉米内贸合同YMYXYJ250166，签订主体为中粮贸易（深圳）有限公司。合同总量为1000吨，单价为2440元/吨，实际执行量为949.18吨。具体提货情况如下：在锦航万盛/2522船上提货473.68吨，在鑫晟奋发/2523船上提货475.50吨。合同约定标准：呕吐毒素含量不得超过1000PPB。_x000a_在2025年9月21日至2025年10月9日期间，客户提取了一批玉米（猪料），经检测，呕吐毒素含量在1131至1452之间，不符合合同约定的标准。考虑到双方后期的长期友好合作，对该批货物进行20元/吨的折价处理，总计折价金额为18938.6元。此次扣款已从预留的20000元中扣除。"/>
        <s v="在外采大船“天台 19/2518”轮提货过程中，160.05 吨存在有异常发热、有霉味、杂质超标的质量问题，杂_x000a_质达 3.7%，不符合同规定。经我司业务人员核实，检测结果确实存在。秉承长期友好合同原则，经我部与客_x000a_户多次友好协商后，做扣价 30 元/吨处理，申请扣款金额合计 4801.5 元，该船质量问题已报备饲料原料部。_x000a_由于该合同已经结算，申请在 YMYXMM250747 做抵扣"/>
        <s v="兹有我司与双胞胎（集团）股份有限公司签订《粮食销售合同》（合同号：YMFJFZ250147）合同数量1000吨，单价2310元/吨，合同约定呕吐毒素≤1000ppb。该合同实际接货1019.74吨，在提货过程中,出现部分车次呕吐毒素超标问题,扣款金额为 5264.4元,折合5.16元/吨。该批次提货对应军航码头散船瑞生16/2528轮（挑选出货），该批次销售为双胞胎集团下属工厂屏南双胞胎饲料有限公司，为首次开发工厂，客户扣款已在后续合同中以保毒素玉米价格加价给我司（YMFJFZ250188合同，1000吨，2425元/吨，加价16元/吨）。"/>
        <s v="客户名：广西南宁央卓粮食贸易有限公司,合同号：JZXYMGXXJ250067,单价：2275元/吨，签订指标：容重_x000a_≥710g/l，水分≤14.5%，霉变≤2%，热损≤1%，杂质≤1%，不完善≤8%，呕吐毒素≤1000ppb，计划号：_x000a_YHSZ-25-092334，运单号：AWKTRTT250772047、APSFCQC250784002，11月14日开始提货，在交货时，_x000a_下反馈毒素超标，经我放人员核实并重新取样邮寄至北良华正检测（检测结果如附件），客户反馈共计16柜（444.08吨）毒素超标，每吨扣款60元/吨，经我部与客户多次友好协商后，对其中14_x000a_柜（389.55吨）做扣价 20 元/吨处理，即本合同扣款389.55吨*20元/吨=7791元，"/>
        <s v="合同号：YHYMGXXS250904003，客户名：广西柳州桂柳牧业有限公司，合同数量：700吨，单价：2390元/_x000a_吨 , 提货数量：692.22吨，该批粮源为扬翔退货货源，在发运时，船运已反馈杂质大、破碎高，到达白沙港_x000a_时，我部人员朱雪语，现场检查，情况属实，并伴有发霉发热现场。退回白沙库（提珠三角“国远705”船，驳_x000a_船名：贵港兴泰82）另行销售，在销售时按照市场行情正价销售，于9月5日-9月13日陆续提货，到厂收货时，客_x000a_户反馈其中472.15吨出现发霉，发热等现象，客户提出该部分每吨扣款60元接收，经过跟客户友好协商，每吨按_x000a_照30元进行扣款让步接收，即472.15元*30元/吨=14,164.5元"/>
        <s v="一体化计划号:YHSZ-25-062402，YHSZ-25-062403，YHSZ-25-062404共销售广州顺泽粮食贸易有限公司115 柜，2025年7月11日签订的《粮食销售合同》(合同编号:YMZSJDG250122)合同数量 3000吨，合同单价 2440 元/吨，结算数量 3054.678 吨。该合同交货过程中 102 柜质量问题产生扣款合计扣款91846.45 元:_x000a_其中 82 柜发热有霉味扣款 30 元/吨让步降价处理;1柜发热发霉结块扣款 80 元/吨让步接收，1 柜箱内有垃圾，水湿结块，扣款 40 元/吨降价处理,1柜发热发霉,有虫扣款 60 元/吨让步接收,1柜容重 702ppb复测 696ppb,不达标扣款 10 元/吨，1柜容重 695ppb 不达标扣款 20 元/吨。"/>
        <s v="在珠三角提货，因交货为筒仓货物，交货时均为筒仓底部货物，杂质偏大"/>
        <s v="该合同交货过程中1柜箱号:OOLU2987138 箱底未干0.3 吨粘底卸不下来客户折价 1732 元/吨，扣款 519.6 元让步接收"/>
        <s v="因无陈粮库存交货，经多次反复沟通协商，以下打包厂、饲料厂陈粮合同剩余未提量在”佳升56/2521“、“锦江河/2519”、“海腾炜业6/2508”、“锦江河/2521”、“利泰朝阳/2524”新船执行，申请在新船执行量折价30元/吨，以下为具体明细"/>
        <s v="2025年10月27日我司与福建省南平市悠农饲料有限公司签订《粮食销售合同》(合同编号:YMLDW251027018)，数量1500吨，单价2260元/吨，该票集装箱计划号:YHSZ-25-092308-1、YHSZ-25-092308-2沈阳鑫封缘发至漳州港，合计11个柜，10月31日到港，11月13日提货反馈水分超标，箱内玉米发热，大面积结块，底下一层全部发黑发霉结块，福建经营部销售人员严代亮、沈业润第一时间到厂核实后将情况上报集装箱小组并已在质量反馈表上填报。经过友好协商，客户同意接货做扣款处理，该三组10柜数量为303.82吨，按照单吨扣款100元/吨，合计扣款30382元(附上客户商函及工厂收货现场照片)。"/>
        <s v="2025年10月20日我司与永安鑫华港饲料有限公司签订《粮食销售合同》(合同编号:JZXYMFJZZ250045)，数量685吨，单价2285元/吨，该票集装箱计划号:YHSZ-25-092307沈阳福满仓库发至漳州港，提单号:2G25098728090F，号:ZGXU2534719，该柜10月16日到港，10月27日提货反馈水分超标，发热有异味，经过友好协商，客户同意接货做扣款处理，该柜数量为28.37吨，按照单吨扣款50元/吨，合计扣款1418.5元(附上客户检验报告及扣款函)"/>
        <s v="广东域强粮油贸易有限公司YMYXMM250594，签订日期2025年10月15日，合同量2410元，单价2410元。该合同为陈粮合同，共提货1952.44吨。因无陈粮库存交货，经多次反复沟通协商，分别在”佳升56/2521“新船执行1863.78吨，在”锦江河/2521“新船执行88.66吨，现申请在新船执行量折价50元/吨，折价金额为97622元。"/>
        <s v="兹有我司与双胞胎（集团）股份有限公司签订《粮食销售合同》（合同号：YMFJFZ250174）合同数量2000吨，单价2335元/吨，合同约定呕吐毒素≤1000ppb。该合同实际执行2007.92吨，在提货过程中,出现部分车次呕吐毒素超标问题,该合同扣款金额为9919.4元,折合扣款4.94元/吨。该批次提货对应军航码头散船弘泰612/2524、华源盛/2529（挑选出货），该批次销售为双胞胎集团下属工厂屏南双胞胎饲料有限公司，为首次开发工厂，客户扣款已在后续合同中以保毒素玉米价格加价给我司（YMFJFZ250188合同，1000吨，2425元/吨，加价16元/吨）"/>
        <s v="我司与河南牧原粮食贸易有限公司于2025年11月3日签订的《粮食销售合同》（合同号： YMHN250282），合同数量285吨，合同单价2390元/吨（送到厂价）。截止目前到厂数量500吨，合同单价2330元/吨（送到厂价），合同约定水分≤15%。截止目前到货数量486.28吨，执行完毕。该合同货物在接卸过程中发现一车货物水分15.3%，不符合合同约定标准。此车玉米到厂数量32.32吨，经双方友好协商，此车玉米按5元/吨进行扣价接收，合计扣款¥161.6元。"/>
        <s v=" 我司与漳州大北农农牧科技有限公司于2025年11月19日签订《粮食销售合同（赊销）》（合同编号：YMFJZZ250298），数量1500吨，单价2350元/吨。该合同已累计提1300.32吨，客户于2025年11月月25日至11月26提货的提货玉米合计223.08吨，到货后检测出呕吐毒素超标、杂质的的情况，因我司与客户合同约定指标呕吐毒素指标≤1000ug/kg，杂质≤1.0%，经与工厂、物流等人员确认事实属实，经双方友好协商，该批次货物由退货转扣款接收。以上情况产生扣款5872.50元。"/>
        <s v="我司与正大原料供应有限公司于 2025 年8月27日签订《粮食销售合同》（合同编号：YMFJFZ250114 ），数量 500 吨，单价2400元/吨，合同约定杂质≤1%，不完善粒≤8%，呕吐毒素≤1000ug/kg。 客户于9月底前多次检测陈粮玉米利福开拓/2525轮上货物，但玉米毒素超过1500ug/kg，工厂无法使用，原计划交付正大的玉米我司改过筛对圣农集团玉米合同进行交付（交付JZXYMFJFZ250036合同，单价2600元/吨到厂，折算军航码头价格2500元/吨）。_x000a_ 对于正大集团因我司无法按时交付满足质量标准的货物，9月末与10月初市场持续跌价约150元/吨，客户计划取消该合同。后经双方友好协商，我司换新产季玉米于10月底开始交付，客户延期执行上述销售合同，客户预计对该合同换新产季玉米接收预计折价60元/吨，该合同折单价2340元/吨。_x000a_ 客户于2025年11月3日-11月19日提货的477.09吨玉米存在部分毒素超过1000ug/kg，杂质超标、破损较大的问题，存在品质扣款9,951.25元，折单吨20.8元/吨。所提货物匹配船：海百15/2523。_x000a_经双方多次沟通，客户对该批次货物进行折价接收，以上情况合计产生扣款38576.65元（大写：人民币叁万捌仟伍佰柒拾陆元陆角伍分）.该合同累计提货477.09吨，折单吨扣80.8元/吨。该合同我司为转新玉米对客户的合同进行交付,对于毒素扣款我司在前期销售时已加30元/吨，可覆盖品质扣款。_x000a__x000a_     以上扣款是否可行，烦请领导批示，谢谢。"/>
        <s v="我司与正大原料供应有限公司于 2025 年11月3日签订《粮食销售合同》（合同编号：YMFJZZ250273），数量 500 吨，单价2250元/吨。该合同已累计提505.74吨，客户2025年11月20日-11月26日接收的505.74吨玉米存在杂质超标、破损较大的问题。所提货物匹配船：宁兴18/2525。_x000a__x000a_     经双方友好协商，正大对该批次货物进行折价接收，以上情况合计产生扣款5240.75元（大写：人民币伍仟贰佰肆拾元柒角伍分），该批次累计提货505.74吨，合计折单吨扣款10.36元/吨。该合同销售时已加价10元/吨。_x000a__x000a_     以上扣款是否可行，烦请领导批示，谢谢。"/>
        <s v="我司与福建湘大骆驼饲料有限公司于 2025 年9月22日签订《粮食销售合同》（合同编号：YMFJZZ250287），数量 300 吨，单价2310元/吨。_x000a_客户2025年11月22日-11月23日接收的196.3吨玉米客户检测杂质偏大（杂质检测在1.1%-1.8%），部分车辆杂质超标,与客户多次进行协商后，客户扣款2224.53元接收，所提货物匹配船：宁兴18/2525。该合同累计提货295.02吨，折合单吨扣款7.5元/吨。_x000a__x000a_     福建湘大骆驼饲料有限公司对该批次货物进行折价接收，以上情况合计产生扣款2224.53元（大写：人民币贰仟贰佰贰拾肆元伍角叁分）。该合同签订_x000a__x000a_     以上扣款是否可行，烦请领导批示，谢谢。"/>
        <s v="我司与三明市丰源饲料有限公司于 2025 年10月22日签订《粮食销售合同》（合同编号：JZXYMFJFZ250080），数量 500 吨，单价2260元/吨。该合同已累计提货490.35吨，客户2025年10月25日-10月30日接收的102.52吨集装箱货物，因新玉米水分不稳定，到货存在发热情况，扣款60元/吨。_x000a_经双方友好协商，三明市丰源饲料有限公司对该批次货物进行折价接收，以上情况合计产生扣款6151.2元（大写：人民币陆仟壹佰伍拾壹元贰角），该批次累计提货490.35吨，合计折单吨扣款12.55元/吨。_x000a__x000a_     以上扣款是否可行，烦请领导批示，谢谢。"/>
        <s v="我司与福建省金同星汇贸易有限公司于 2025 年10月12日签订《粮食销售合同》（合同编号：JZXYMFJFZ250074），数量210吨，单价2345元/吨。该合同已累计提货209.155吨，客户2025年10月22日接收的集装箱CSNU2904028、CSNU2895414，因新玉米水分不稳定，到货存在发热情况，客户扣款接收。所提集装箱计划号：YHSZ-25-092310，禹泰库。该批集装箱10月18日到货。_x000a_经双方友好协商，福建省金同星汇贸易有限公司对该批次货物进行折价接收，以上情况合计产生扣款2,030.00 元（大写：人民币贰仟零叁拾），该批次累计提货209.155吨，合计折单吨扣款10元/吨。我司与客户签订该合同时间，已对比同期指导价格加价40元/吨进行销售，同时对后续批次交货进行挑选后出货，可覆盖扣款。"/>
        <s v="我司与安徽正康饲料有限责任公司于 2025 年6月26 日签订的《粮食销售合同》合同号 YMZSJQY250105，单价 2555 元/吨，数量 2000 吨，客户提货我司库存前移驳船:粤海 36 轮货物(该船清仓我司弘泰 819 货物1069.982吨+京粮/250115合同货物 209.72吨，装货时已出现粉尘较大、霉变现象，后续出现发热情况)，共计库存前移 1279.702吨，客户于8月 26 日开始提货到厂 299.94 吨,反馈提货时出现大量粉尘。于 2025年8月31 日开始到货共计 299.86 吨，到厂后发现该船玉米有出现大量的粉尘杂质，玉米都被淹没在粉尘杂质里，碎粒、粉尘占比达5.75%，同时经过测验:呕吐毒素测试分别为1231.04，1837.26，不符合客户合同签订指标中质量验收标准，我司销售人员9月去现场查看后，确认情况属实，后经过销售与客户沟通,又于9月 16 日协助我司提货 99.82 吨共计三车货物。粤海 36 轮剩余货物 350.92吨由于质量较差无法使用，为避免货物质量进一步受损，销售给韶关市源饲料有限公司(价格:2270 元/吨)，经过销售与客户沟通，客户原计划扣款100元/吨，现经过双方友好协商，客户共计提货699.62吨，申请对8月26日开始提货到厂的299.94吨扣款 40元/吨，对8月31 日和9月 16 日提货的玉米共计 399.68 吨，进行扣款 70 元/吨，共计扣款 299.94*40+399.68*70=39975.2元。请领导批示"/>
        <s v="我司与 中山市福大生物科技有限公司 于2025年 11月28日签署的粮食销售合同：YMZSJDGJZX250422（合同量：382吨，单价：2420元/吨）；客户提货到厂检测出现6个柜子出现容重低、毒素超标、水分超标情况（运单号：JZ21JZLX1454F7），对于该6个柜子扣款15元/吨处理，合计162.66吨*15元/吨=2439.9元；"/>
        <s v="我司于2025年11月6日与贵州漓源饲料有限公司签订内贸玉米合同，编号YMZSJDKHLY250180，数量1000吨，单价2240元/吨。_x000a_客户于南沙港东星海泰/077灌箱提货，提单号NSDXHT7725009，因工厂检测杂质偏高，综合平均杂质约2.99%。因对客户成品以及口碑造成影响，扣价15元/吨，需扣价:997.544*15=14963.16元。"/>
        <s v="2025年11月24日 我司与  信丰温氏畜牧有限公司  签订内贸玉米合同，协议号：YMZSJDKHWS250037，数量1500吨，单价2360元/吨。客户提麻涌港 东星海泰/078货物，报161.76吨货物赤霉烯酮（250ppb）超标，单吨扣价10元，合计扣款1617.6元。"/>
        <s v="2025年11月13日我司与   富川广东温氏畜牧有限公司  签订内贸玉米转让协议，合同号：YMZSJDKHWS250025-3 ，数量1000 吨，单价2290元/吨。客户提麻涌港 东星海泰/078，报189.68吨货物赤霉烯酮( 290 ppb)超标，属于折价接收范围，单吨扣价10元，合计扣款1896.8元。"/>
        <s v="2025年11月12日我司与  河源市温氏禽畜有限公司  签订内贸玉米转让协议，协议号：YMZSJDKHWS250025-2，数量1000吨，单价2290元/吨。客户提麻涌港 东星海泰/078货物，报29.2吨货物杂质（ 3.34 ）超标，属于折价接收范围，单吨扣价10元，合计扣款292元。"/>
        <s v="2025年11月13日 我司与  道县温氏畜牧有限公司  签订内贸玉米合同，合同号：YMZSJDKHWS250030 ，数量2500吨，单价2305元/吨。客户提麻涌港 国家能源610/2511货物，报1154.2吨货物 杂质（2.07-13.07）超标，属于折价接收范围，单吨扣价10元，合计扣款11542元。"/>
        <s v="2025年11月17日我司与  大余温氏畜牧有限公司  签订内贸玉米合同，协议号：YMZSJDKHWS250033，数量1000吨，单价2350元/吨。客户提麻涌港 国家能源610/2511货物，报549.32吨货物杂质（1.32%-1.67%）、呕吐毒素（2250-2440）和赤霉烯酮( 1734 ppb)超标，属于折价接收范围，单吨扣价15元，合计扣款8239.8元。"/>
        <s v="茂名响亮饲料有限公司 YMYXMM250391（合同量 3000 吨，单价 2406 元），合同约定呕吐毒素≤_x000a_1000ug/kg。该合同执行 3005.77 吨，在中心不保毒大船“鑫海城 1/2516”轮提货过程中，252.01 吨存在_x000a_毒素超标的质量问题，在 1025-1574ppb 之间，不符合同规定。经我司业务人员核实，检测结果确实存在。_x000a_秉承长期友好合同原则，经我部与客户多次友好协商后，做扣价 30 元/吨处理，申请扣款金额合计 7560.3_x000a_元。该扣款情况已报备饲料原料部。已在 YMYXMM250391 合同成交时预留 30 元/吨溢价处理质量扣款，_x000a_预留价差可覆盖扣款。由于该合同已经结算完毕，申请在 JZXYMYXMM250507 合同抵扣扣款"/>
        <s v="茂名金源生物科技有限公司 YMYXMM250392（合同量 2000 吨，单价 2409 元），合同约定呕吐毒素_x000a_≤1000ug/kg。该合同执行 1972.24 吨，安排在中心大船“鑫海城 1/2516、远泰 99/2521”轮提货不保毒_x000a_素玉米，1754.02 吨存在毒素超标的质量问题，在 1012-1350ppb 之间，不符合同规定。经我司业务人员核_x000a_实，检测结果确实存在。秉承长期友好合同原则，经我部与客户多次友好协商后，做扣价 20 元/吨处理，申_x000a_请扣款金额合计 35080.4 元。该扣款情况已报备饲料原料部。已在 YMYXMM250392 合同成交时预留 20_x000a_元/吨溢价处理质量扣款，预留价差可覆盖扣款。由于该合同已经结算完毕，申请在 YMYXMM250778 合同_x000a_抵扣。"/>
        <s v="江门市旺海饲料实业有限公司，于2025 年 11 月24 日签订的《粮食销售合同（赊销）》合同编号:YMZSJJM25081)合同数量2000吨,合同单价2373元/吨，配送船只粤新会货 8093存在玉米杂质超标扣款费用：_x000a_船号粤新会货8093，卸船重量995.958吨，该批玉米验收过程时检测出杂质为3.34%,超出合同标准1.34%,江门市旺海饲料实业有限公司提出该船折价20元/吨让步接收处理，总计费用：995.958*20=19919.16元。"/>
        <s v="我司与三明海大饲料有限公司于 2025 年10月20日签订《粮食销售合同》（合同编号：JZXYMFJFZ250075），数量500吨，单价2360元/吨。该合同已累计提498.07吨，客户2025年11月1日-2025年11月28日接收的167.16吨玉米存在水分超标发热、毒素超标等情况。所提货物匹配计划号：YHSZ-25-092324，宏泰源库；YHSZ-25-092311，禹泰库。_x000a_ 经双方友好协商，三明海大饲料有限公司对该批次货物进行折价接收，以上情况合计产生扣款5133.43元（大写：人民币伍仟壹佰叁拾叁元肆角叁分），该批次累计提货498.07吨，折单吨扣款10.3元/吨，因合同签订保呕吐毒素，前期已加价15元/吨进行销售，可涵盖扣款损失."/>
        <s v="我司与营口长源物流供应链管理有限公司于 2025 年10月13日签订《粮食销售合同》（合同编号：JZXYMFJFZ250072），数量 540吨，单价2300元/吨。合同约定杂质≤1%，不完善粒≤8%，呕吐毒素≤1000ug/kg。_x000a_客户于10月27日提货的集装箱经过水分检测均存在超15%的情况，部分集装箱有轻微发热的情况，根据检测结果，客户的对水分检测超15.5%的6柜集装箱，每吨扣款30元/吨接收，合计产生扣款4898.7元，折单吨扣款9元/吨。该批集装箱匹配计划号：YHSZ-25-092310，禹泰库。我司前期已对该批集装箱水分超标情况登记反馈。_x000a_因考虑到该客户为终端销售，该批次销售猪料客户，因此在销售时，已加价20元/吨进行销售，溢价可涵盖上述扣款损失。_x000a_以上扣款是否可行，烦请领导批示，谢谢。"/>
        <s v="客户于麻涌港东耀海泰提货，有一车（车号皖LD5749）32.40 吨玉米检测毒素不符合合同标准"/>
        <s v="我司与福建省邵武市华龙饲料有限公司于 2025 年7月14日签订《粮食销售合同》（合同编号：YMFJFZ250086），数量3000吨，单价2410元/吨。该合同累计提货3119.12吨，客户2025年8月14日-2025年9月13日接收的1084.11吨玉米，出现杂质及霉变超标情况，客户原诉求扣款51398.46元，经双方多次沟通后，客户同意扣款21584.2元（附客户扣款商函及照片），折合6.92元/吨。_x000a_     以上扣款，对应船舶昌晟隆/2523、明金2号/2523，是否可行，烦请领导批示，谢谢。"/>
        <s v="我司与福清双胞胎饲料有限公司于 2025 年11月18日签订《粮食销售合同》（合同编号：YMFJFZ250187），数量2000吨，单价2360元/吨。该合同已累计送货1918.48吨，累计接货1914.95吨，客户2025年11月24日-2025年11月29日接收的773.74吨玉米呕吐毒素超标，总计扣款20202.80元，折合10.55元/吨。对应船舶华源盛/2529。该客户原玉米，基本为北方自发到长乐，我部为推动福清双胞胎往军航码头提货，同时推动军航码头电车配送福清双胞胎业务。该单合作是近3年来内贸_x000a_玉米的首单合作，主要为双方再此合作磨合（品质、配送等），在销售时未加价销售。接货过程中，我司玉米出现了较大批次的呕吐毒素超标情况，工厂主要生产猪料，对品质要求较为严格，经双方多次友好协商，工厂进行扣款接货，该工厂后续合作，我部将充分考虑实际品质及工厂可能扣款情况，进行溢价销售，涵盖质量损失。_x000a_以上扣款是否可行，烦请领导批示，谢谢。"/>
        <s v="于2025年11月28日签订《粮食销售合同》(合同编号:YMZSJJY250186)，数量500吨，单价2410元/吨，该合同己累计交货499.49吨，(其中12月11日4车车号:C1715D，重量34.86吨车号:粤BGT302，重量35.49吨，车号:粤BFS784，重量35.87吨，车号:粤MA1287，重量39.53吨合计:145.75吨)到货玉米经检验杂质1.2%杂质和破碎粒超出合同约定指标(杂质≤1%),不符合客户接受指标针对该批次到厂不合格玉米，经双方友好协商处理后，退货转扣款接收"/>
        <s v="我司与海南省粮油产业有限公司于2025年11月3日签订的《粮食销售合同》（合同号：JCYMHN250088-1），合同数量1500吨，合同单价2257元/吨，截止目前共计执行1487.7吨，执行完毕。该批货物在接卸过程中客户反水分及不完善粒超标等质量问题，我司现场人员范闻超和工厂品管人员共同抽样检测，检测结果事实存在，现场检测水分15.1-15.3%，不完善粒11.7-11.8%不等，合计数量1487.7吨。经双方友好协商，此批玉米按20元/吨进行扣价接收，合计扣款¥29754元。以上扣款具体执行航次为：2025年11月30日抵达马村港“益嘉9/2528”玉米轮执行430.12吨，8602.4元；2025年12月8日抵达马村港“炜业福星/2525”玉米轮执行1057.58吨，扣款21151.6元。"/>
        <s v="我司与三明海大饲料有限公司于 2025 年11月5日签订《粮食销售合同》（合同编号：JZXYMFJFZ250081），数量800吨，单价2330元/吨。该合同已累计提货788.73吨，客户2025年11月27日-2025年11月30日接收的100.74吨玉米存在毒素超标等情况。所提货物匹配计划号：YHSZ-25-092324，宏泰源库、新誉库。_x000a_明细如下：到厂日期 车号 重量/吨 备注_x000a_2025/11/27 TLLU3079330 10.14 1500ppb_x000a_2025/11/27 ZGXU3005031 27.28 1170ppb_x000a_2025/11/28 ZGLU3210656 27.34 1110ppb_x000a_2025/11/28 ZGXU3032042 8.45 1710ppb_x000a_2025/11/30 ZGLU3138757 27.53 1120ppb_x000a_ 经双方友好协商，三明海大饲料有限公司对该批次货物进行折价接收，以上情况合计产生扣款1971.90元（大写：人民币壹仟玖佰柒拾壹元玖角），该批次累计提货788.73吨，折单吨扣款2.5元/吨，合同签订保呕吐毒素，前期已加价15元/吨进行销售，可涵盖扣款损失._x000a__x000a_     以上扣款是否可行，烦请领导批示，谢谢。"/>
        <s v="苏州穗满德国际贸易有限公司，2025年11月19日签订的《粮食销售合同》(合同编号:JCYMZSJQY250029-2)合同数量2000吨，合同单价2297.5元/吨，提货麻涌港东星海泰/078，二车到厂检测杂质分别为1.71%、2.98%出合同约定的标准，合计64.92吨，申请分别扣款538与1472元，合计扣款2010元"/>
        <s v="我司于 2025 年 11 月 26 日与韶关市漓源饲料有限公司签订内贸玉米合_x000a_同，编号 YMZSJDKHLY250195，数量 1000 吨，单价 2400 元/吨。_x000a_客户于麻涌港东星海泰/079 提货，提单号 MCDXHT07925039，因工厂到_x000a_厂抽样检测发现 200.04 吨玉米杂质检测均值在 1.82%，达不到合同指标_x000a_≤1% 。 因 对 客 户 成 品 以 及 口 碑 造 成 影 响 ， 扣 价 10 元 / 吨 ， 需 扣_x000a_价:200.04*10=2000.4 元。"/>
        <s v="双胞胎（集团）股份有限公司，2025年12月2日签订的《粮食销售合同》(合同编号:JZXYMZSJQY250113)合同数量400吨,合同单价 2470 元/吨,客户提货外采合同号JZXYMSZCG250092，运单号JZ21JZLX1454A，柜号FTAU1999604，到厂检测结果水分15.38，呕吐毒素1161，超出合同约定的标准，申请扣款35元/吨，26.93吨*35=942.55元。"/>
        <s v="我司与海南胜飞贸易有限公司于2025年11月21日签订的《粮食销售合同》（合同号：JZXYMHN250170），合同数量550吨，合同单价2400元/吨，质量标准：容重≥700g/L，水分≤15%，杂质≤1.0%，霉变粒≤2.0%，不完善粒≤8%，呕吐毒素≤1000ug/kg。截止目前共计执行547.55吨，执行完毕。该批货物在接卸过程中发现箱号为CSNU3002368发运重量27.11吨，呕吐毒素1480.15ug/kg，不符合合同约定质量标准。经双方友好协商，此批玉米收货重量共计27.21吨，按30元/吨进行扣价接收，合计扣款¥816.3元。_x000a_以上扣款货物为对应发运计划编号YHSZ-25-102202，对应装箱库点：营口雨荷库"/>
        <s v="2025年11月17日签订的的集装箱合同，潘钟明，合同号JZXYMYXMM250805（322吨，2370元每吨）；_x000a_客户在提货中发现提单号ASMWGSU250802497A，箱号：HJLU1340302；北方磅装货一组总数56.32吨。_x000a_该箱在码头转运过程中爆箱撒漏，12月3日到货后确认柜体侧面漏洞，撒漏，保险第三方已经处理，经双方协商，本合同扣款金额为4.26吨*2370元/吨=10096.2元。"/>
        <s v="司与成都德康动物健康技术服务有限公司于2025年12月10日签订的&lt;&lt;粮食销售合同&gt;&gt;(赊销),合同号JCYMZSJQY250011-1,单价2361元/吨,数量2000吨。客户于2025年12月16日开单我司麻涌港大船:国家能源/2512轮货物共计1000吨，实际装货:996.818吨，提货驳船粤鼎湖货0388于12月19日到厂后发现有杂质超标情况，经检测杂质达3.43%，合同第二条:质量标准中约定:杂质2%，考虑到杂质检测方法尚存争议，且考虑到双方长期以来的友好合作关系，经双方友好协商，申请对12月19日开始提货到厂的996.818货物扣款23556.96元(折合单吨扣款四舍五入后为23.63元)。"/>
        <s v="提货杂质大，7车做 25 元/吨扣款，数量 311.46 吨，金额为 7786.5 元。"/>
        <s v="联系单号:YHSZ-25-111427、YHSZ-25-111429销售广州顺泽粮食贸易有限公司，2025年12月5日签订的《粮食销售合同》(合同编号:JZXYMLCYDG251207)合同数量2500 吨，合同单价 2482元/吨。该合同交货过程中2柜因水湿粘底,杂质破碎杂质大,扣款 20-30 元/吨让步接收,车上粘住卸不下来的 0.36吨客户拒收退回码头仓库 600元/吨让步接收，合计扣款2011.22元"/>
        <s v="关于茂名正辉有限公司与我司签订了原料采购合同(合同编号:YMYXMM250863)，合同数量500吨，合同约定质量标准：容重≥690g/L，水分≤15%，杂质≤1%，霉变粒≤2%，不完善粒≤10%。客户共有两个合同共1000吨在该条船上提货。客户于1月2日在茂名市长晟码头世恒2仓“炜业68V2507“轮提货3车(98.85吨)发现玉米杂质达到4%，呕吐毒素达到2150ug/kg,客户为生产猪料工厂，杂质及呕吐毒素超标只能降级使用，经友好商务沟通，客户同意折价接收，现申请如下：_x000a_3车申请扣款20元/吨，共98.85吨，共计扣款1979元"/>
        <s v="广 州 顺 泽 粮 食 贸 易 有 限 公 司 ， 2025 年 9 月 8 日 签 订 的 《 粮 食 销 售 合 同 》 ( 合 同 编_x000a_号:JZXYMZSJJM25040)合同数量 540 吨，合同单价 2460 元/吨，该合同签订为按照乙方工厂磅单_x000a_结算，工厂磅重 537.78 吨，但结算时，按照集装箱北方发运数 538.805 吨进行了结算，差额为_x000a_1.025 吨，折合 2460*1.025 吨=2521.5 元，因 JZXYMZSJJM25040 已结算完毕关闭合同，申请_x000a_在后续合同 YHYMZSJXS251113002 中扣除该笔货款。"/>
        <s v="我司与成都东方希望农业有限公司于 2025 年11月18日签订《粮食销售合同》（合同编号：JZXYMFJFZ250084），数量400吨，单价2440元/吨。该合同已累计提385.33吨，客户2025年12月4日-2025年12月12日接收有3柜出现呕吐毒素超标情况。所提货物匹配计划号：YHSZ-25-092324，新誉库。_x000a_经双方友好协商，成都东方希望农业有限公司对该批次货物进行折价接收，以上情况合计产生扣款2345.24元（大写：人民币贰仟叁佰肆拾伍元贰角肆分），该批次累计提货385.33吨，折单吨扣款6.08元/吨，因合同签订保呕吐毒素，前期已加价15元/吨进行销售，可涵盖扣款损失。"/>
        <s v="2025年12月5日我司与大余温氏畜牧有限公司订内贸玉米转让协议，合同号:YMZSJDKHWS250040-2，数量2000吨，单价2380元/吨，客户提涌港东星海泰078，报 488.7 吨货物杂质( 1.32-1.43)超标，属于折价接收范围，单吨扣价 10元，合计扣款4887 元."/>
        <s v="2025年12月2日我司与大余温氏畜牧有限公司签订内贸玉米转让协议，协议号:YMZSIDKHWS250038-5，数量1000吨，单价2330元/吨。客户提新港东亿603货物报360.04吨货物杂质(1.36-2.2)超标，属于折价接收范围，单吨扣价10元，合计扣款3600.4元。"/>
        <s v="2025年12月8日我司与广西温氏畜牧有限公司签订内贸玉米合同，协议号YMZSJDKHWS250041-2,数量1650吨，单价2400 元/吨。客户提麻涌港 国家能源 610/2512货物，报375.14吨货物赤霉烯酮(317-1137ppb)超标和水分(15.38-15.41)，属于折价接收范围，单吨扣价 30元，合计扣款 11254.2元"/>
        <s v="前期在 2025 年 12 月 8 日与宾阳通威饲料有限公司签署的内贸玉米合同，对应合同号YMGXXJ250144，单价 2465 元/吨，数量 800 吨。于 2025 年 12 月 27 日至 2026 年 1 月 4 日在白沙港“鸿丰 9678”上完成交付（珠三角大船名：国家能源 610/2512），交货数量 779.27 吨。  在实际交货中存在杂质超标情况，其中较为严重的有 5 车，抽检结果为：3-3.3%，通威集团原规定杂质超 2%需供方退货处理，经过友好协商后对这五车做 20 元/吨扣款，数量 199.63 吨，金额为3992.6 元。折算整合同为 5.12 元/吨。 "/>
        <s v="前期在2025年11月17日与南宁通威生物科技有限公司签署的内贸玉米合同，对应合同号_x000a_YMGXXJ250134，单价2360元/吨，数量1500吨。于2025年12月23日至2025年12月27日发散船&quot;谢圩6878&quot;配送到厂完成交付(珠三角大船名：国家能源610/2512)，交货数量1492.08吨。_x000a_在实际交货中存在水分超标的情况，我司与客户场抽样并邮寄第三方检测机构，实际检测水分为15.69%。经过友好协商后对实际交货数量做17元/吨扣款，数量1492.08吨，金额为25365.36元。"/>
        <s v="我司与三明海大饲料有限公司于 2025 年11月6日签订《粮食销售合同》（合同编号：YMFJFZ250159），数量500吨，单价2245元/吨。该合同已累计提货494.5吨，客户2025年11月20日-2025年11月22日接收的120.61吨玉米存在毒素超标等情况。所提货物匹配船号：弘泰612/2524。_x000a_明细如下：_x000a_到厂日期 车号 重量/吨 备注_x000a_2025/11/20 闽HB3996 39.16 1906ppb_x000a_2025/11/22 闽GA2988 41.30 1350ppb_x000a_2025/11/20 闽GA2988 40.15 2406.2ppb_x000a__x000a_     经双方友好协商，三明海大饲料有限公司对该批次货物进行折价接收，以上情况合计产生扣款6195.04元（大写：人民币陆仟壹佰玖拾伍元零角肆分），该批次累计提货120.61吨，折单吨扣款51元/吨。折整批单吨扣款为12.5元/吨，合同签订保呕吐毒素，加价15元/吨。可覆盖扣款。（该订单11月16日申请，当期先款价格2230元/吨，申请2245元/吨签订保毒素交付）_x000a_以上扣款是否可行，烦请领导批示，谢谢。"/>
        <s v="我司与深圳市凌念网络科技有限公司于 2025 年10月23日签订《粮食销售合同》（合同编号：YMFJFZ250134），数量1000吨，单价2260元/吨，约定指标杂质≤1%，呕吐毒素≤1mg/Kg，福州军航码头自提；客户已累计提货985.31 吨。_x000a_客户于12月17日-12月19日提货的散粮，存在呕吐超标、杂质超标的情况，合计产生扣款7516.1元（大写：人民币柒仟伍佰壹拾陆元陆角），产生商务扣款货物共计248.53吨，折单吨扣款30.42元/吨。所提货物匹配船名：正海3/2506。（10月23日申请该订单时指导价格为先款2245元/吨，11月马尾港自提）。我司已加价15元/吨进行保毒素销售，溢价可覆盖扣款。_x000a__x000a_以上扣款是否可行，烦请领导批示，谢谢。"/>
        <s v="与广西园丰牧业集团股份有限公司签订的《粮食销售合同》，合同号：YMGXQZ250316，数量1000吨，单价2415元/吨，提“长峰98/2526”轮散装玉米，其中有6车共200.6吨水分指标远超出合同约定标准15%（合同提前预留有5元/吨商务），客户原则上拒收。经双方协商同意，工厂做商务扣款让步接收，合计扣款金额2679.00元，折合单吨扣款2.68元，溢余2.32元/吨对我司有利。（附商函）"/>
        <s v="联系单号 YHSZ-25-111428 销售蚌埠丰盛饲料贸易有限公司，2025年12月29 日签订的《粮食销售合同》(合同编号:JZXYMLCYDG251212)合同数量440 吨，合同单价 2450 元/吨。该合同送货过程中-柜运单号ZG25129672602箱号ZGLU3255732杂质偏多，客户需要增加过筛一遍才能处理，经友好协商该柜扣款 20 元/吨让步接收处理"/>
        <s v="合同号：YMGXQZ250315，数量600吨，单价2420元/吨，提“长峰98/V2526”轮散装玉米，其中有3车共99.68吨呕吐毒素超出双方约定标准1500（合同多预留有5元/吨商务），客户原则上拒收。经双方协商同意，工厂做商务扣款让步接收，合计扣款金额1324.20元，折合单吨扣款2.20元，溢余2.80元/吨对我司有利。（客户出有商函及检测报告）"/>
        <s v="，2025 年 12 月 11 日签订的《粮食销售合同（赊销）》(合同编号:YMZSJJY250195)_x000a_合同数量 1000 吨，合同单价 2415 元/吨，客户提货国翔 3/2540，提货重量 270.82 吨，经检测三车共计 126_x000a_吨杂质超出合同约定不符合合同约定标准（杂质≤1.0%），我司承担该批次下超标杂质 126 吨折合货款 1260 元。_x000a_经双方友好协商处理后，退货转扣款接收，合计扣款 1260 元 折合 10 元/吨。"/>
        <s v="2025年12月5日我司与   富川广东温氏畜牧有限公司  签订内贸玉米转让协议，合同号YMZSJDKHWS250045 ，数量1000 吨，单价2460元/吨。客户提麻涌港 国家能源610/2512货物，报374.62吨货物赤霉烯酮( 280-483ppb)超标，属于折价接收范围，单吨扣价30元，合计扣款11238.6元。"/>
        <s v="2025年12月5日 我司与  连州温氏畜牧有限公司 签订内贸玉米合同，协议号：YMZSJDKHWS250046，数量1000吨，单价2460元/吨。客户提麻涌港 国家能源610/2512货物，报192.64吨货物杂质( 1.62)超标，属于折价接收范围，单吨扣价10元，合计扣款1926.4元。"/>
        <s v="我司于 2026 年 1 月 5 日与广东嘉好农产品有限公司签订内贸玉米合同，编号 YMZSJXXW260001，数量 1000 吨，单价 2400 元/吨。_x000a_客户于南沙港东星海泰/80 提货，提单号 NSDXHT8026021，因工厂检测水分偏高，综合平均水分 15.71%。因对客户成品以及口碑造成影响，扣价_x000a_10 元/吨，需扣价:999.38*10=9993.8 元。"/>
        <s v="我司于2025年12月31日与阳江市阳东温氏畜牧有限公司签订了玉米内贸合同YMYXYJ250250-1，签订主体为中粮贸易（深圳）有限公司。合同总量为1000吨，单价为2430元/吨，实际执行量为1013.12吨。大船名：益嘉88/2528。合同约定标准：水分≤15%，赤霉烯酮≤200ppb。1.6-1.9日客户提取了一批玉米（猪料），经检测，其中有330.02吨水分在15.65-15.66之间，赤霉烯酮达到240ppb,不符合合同约定的标准。考虑到双方后期的长期友好合作，对该批货物进行15元/吨的折价处理，折价金额为4950.3元,在货款中扣除。"/>
        <s v="我司于2025年12月31日与阳江市阳东温氏畜牧有限公司签订了玉米内贸合同YMYXYJ250250-3，签订主体为中粮贸易（深圳）有限公司。合同总量为1000吨，单价为2430元/吨，实际执行量为1002.32吨。大船名：益嘉88/2528。合同约定标准：水分≤15%，赤霉烯酮≤200ppb，黄曲霉毒素B1（ppb）≤30。1.7-1.8日客户提取了一批玉米（猪料），经检测，其中有317.6吨水分在15.39-15.66之间，赤霉烯酮在318-597之间，黄曲霉毒素达到51，不符合合同约定的标准。考虑到双方后期的长期友好合作，对该批货物进行20元/吨的折价处理，折价金额为6352元，在货款中扣除。"/>
        <s v="丰顺县海新饲料有限公司，2025年 12月 18 日签订《粮食销售合同》(合同编号:YMZSJY250201)，数量500 吨,单价 2390 元/吨,该合同已累计交货497.09 吨,提货锦航佰福/2532(其中1月2日6车车号:粤 BGT302重量 32.02 吨,车号: CC8777,重量 32.23 吨,车号:豫 PU7705,重量 32.26 吨,车号: C4M573,重量 33.14吨，车号:粤 MR7785，重量 33.230 吨，车号:赣 COP948，重量 34.91 吨合计:197.79 吨)到货玉米经检验杂质.2%杂质和破碎粒超出合同约定指标(杂质&lt;1%)，不符合客户接受指标针对该批次到厂不合格玉米。经双方友好协商处理后，退货转扣款接收。合计产生扣款 1977.9元。折合10元/吨"/>
        <s v="YHSZ-25-111425，台山市向星饲料有限公司，2025年12月11日签订的《粮_x000a_食销售合同》(合同编号：YMZSJDGJZX250427)合同数量1080吨，合同单价2472元/吨，_x000a_结算数量 1082.09 吨 ，其中10柜，总共267.9吨，因工厂检测抽检发现水份15.19%至_x000a_15.62%偏高。不符合合同约定的标准。经过双方友好协商，该10柜按减价4元/吨结算处_x000a_理使用，即总共扣款267.9吨*4元/吨=1071.6元"/>
        <s v="与钦州播恩生物技术有限公司签订的《粮食销售合同》，合同号：YMGXQZ250317，数量800吨，单价2425元/吨，提“长峰98/V2526”轮散装玉米，其中有9车共283.06吨呕吐毒素超出双方约定1500（客户多预留5元/吨商务），工厂原则上拒收。经双方协商同意，决定做商务扣款让步接收，合计扣款金额3108.20元，折合单吨扣款3.88元，溢余1.12元/吨对我司有利。（客户出有商函及检测报告）"/>
        <s v="YHSZ-25-121919、开平市绿皇农牧发展有限公司，2026年1月6日签订的《粮食销售合同》（合同编号：JZXYMZSJJM26001）合同数量1030吨，合同单价2450元/吨，结算数量1018.14，其中3柜，总共76.53吨，因工厂仓库收货开柜后发现玉米有霉味的现象，经过协商沟通，进行扣款处理。（1）车号:湘U6955,柜号:XYLU1191171，来货实收重量:21.55吨。（2）车号:湘MJ9132,柜号:XYLU1178631，来货实收重量:27.98吨。（3）车号:湘LD6811,柜号:XYLU1313449，来货实收重量:27吨。合计:76.53*20=1530.6元"/>
        <s v="关于广东凤凰饲料有限公司与我司签订了原料采购合同(合同编号:YMYXMM250904)，合同数量900吨，合同签订指标:容重&gt;690g,呕吐毒素&lt;1000ugkg,水分&lt;15%,杂质&lt;1%,霉变粒&lt;2%,不完善粒&lt;10%未约定的其它质量标准按实际交货品质标准执行。于1月14日及1月19日在茂名市远海码头“中恒顺丰/2533“轮提货配送2车均发现玉米霉变及呕吐毒素超标，实测霉变4.1%、4.8%、呕吐毒素1270、1301。经友好商务沟通，客户同意折价接收，现申请如下：_x000a_其中桂KB3339、粤K87698 车辆申请扣款20元/吨，共61.15吨，共计扣款1223元；合同签订有做溢价10元销售，可覆盖扣款金额。"/>
        <s v="我司与河南牧原粮食贸易有限公司于2025年12月3日签订的《粮食销售合同》（合同号： YMHN250338），合同数量1000吨，合同单价2470元/吨（送到厂价）。该合同已执行完毕，到厂数量979.4吨，但该合同货物在接卸过程中客户发现部分货不符合合同约定标准。扣重2车的执行数量为65.14吨，杂质每超0.01%减重0.01%，合计减重2.65%（0.867吨），此合同实际结算重量变更为978.533吨；扣款具体执行航次为：2026年1月3日抵达马村港“炜业福星/2527”玉米轮执行193.02吨，扣款2256.8元；2026年1月11日抵达马村港“锦富航69/2601”玉米轮执行97.08吨，扣款970.8元。综上，该合同合计扣重0.867吨，扣款3227.6元。"/>
        <s v="我司与成都德康动物健康技术服务有限公司于2025年10月31日签订的《粮食销售合同》(赊销)，合同号YMZSJQY250182，单价2220元/吨，数量5000吨。于2025年10月31日签订的《粮食销售合同》(赊销)，合同号YMZSJQY250189单价2220元/吨，数量5000吨。现有如下情况:YMZSJQY250189合同于2025年12月24日开单我司南沙港大船:国远707/2526轮，于1月3日开始到货。提货驳船名:贵港东旺6178，提货1470.62吨，汽运到厂后取样综合样有1467.65吨出现杂质超标情况，经工厂检测，取样后杂质平均达2.98%，YMZSJQY250182合同于2026年1月7日开始提货我司南沙港大船:东星海泰/080轮，桂远航838轮提货2098.902吨，汽运到厂后取样综合样有1916.81吨出现杂质超标情况，取样后杂质平均达2.47%，大福8658轮提货1397.264吨，汽运到厂后取样综合样有1395.56吨出现杂质超标情况，取样后杂质平均达2.16%，共计有4958.95吨货物杂质超过合同约定的杂质≤2%的指标，我司与客户沟通要求汽运到厂后进行二次采样检测，经过双方友好协商，对杂质在1%-2%之间的不合格货物扣款5元/吨，对杂质在2%-2.5%之间的货物扣款10元/吨，对杂质在2.5%-3%之间的货物扣款20元/吨，对杂质超过3%的货物扣款30元/吨。"/>
        <s v="我司与郴州大北农饲料科技有限公司于2025年12月12日签订的《粮食销售合同》，合同号YMZSJQY250280，单价2420元/吨，数量1000吨。客户于1月8日开始提货我司外采大船:南方地采-谷润/25200，共计提货387.2吨，到厂后检测该批玉米存在不同程度的水分超标(合同约定水分≤15%)，共计13台车共计387.2吨货物出现水分超标情况，经与品种线沟通，客户提货外采大船不合格的部分扣款由上游京粮承担，共计扣款8873.9元"/>
        <s v="2026我司与南宁大北农饲料科技有限责任公司于2025年12月26日签订的《粮食销售合同》，合同号YMZSJQY250293，单价2385元/吨，数量1000吨。客户于1月7日开始提货我司南沙港大船:东星海泰/80，共计提货998.98吨，到厂后检测该批玉米存在水分、杂质超标(合同约定水分≤15%，杂质≤1%)，检测结果取平均值:水分15.6、杂质1.37，经过双方友好协商，决定对该批货物按照15元/吨的方案进行扣款，共计扣款998.98吨*15元/吨=14984.7元"/>
        <s v="现有贵港湘大骆驼饲料有限公司与我司于2025年12月17日签订的内贸玉米合同YMZSJQY250284，数量1000吨，单价2380元/吨，客户于1月9日提货我司南沙港大船:东星海泰/80，(驳船名:贵港兴泰5288，提货998.69吨)到厂后检测有水分超标情况，超出合同质量签订标准:水分≤15%的约定，申请对水分超标的驳船扣款5元/吨。"/>
        <s v="兹有我司与成都东方希望农业有限公司司签订《粮食销售合同》(合同号:YMFJFZ250183)，合同数量1500吨，单价2410元/吨，配送到厂，合同约定容重(g/L)≥710，水分≤15%，呕吐毒素≤1000ppb。该合同于2025年11月17日-2026年1月9日提货玉米，其中137.97吨，结果检验指标不符合合同标准(毒素超标，毒素在1400ppb-1500ppb)，扣款5244元。该合同累计收货1499.43吨，折扣款3.5元/吨。所提货物匹配计划号:YHSZ-25-092324、YHSZ-25-102222。_x000a_该合同在销售时已按保毒素价格加价15元/吨销售，以上扣款是否可行，请领导批示。"/>
        <s v="兹有我司与双胞胎（集团）股份有限公司签订《粮食销售合同》（合同号：YMFJFZ250188）合同数量1000吨，单价2425元/吨，合同约定呕吐毒素≤1000ppb。该合同于2025年12月30日前执行完毕，共计执行989.1吨，在提货过程中,出现部分车次呕吐毒素超标问题,扣款20元/吨，扣款金额为1506.6元,"/>
        <s v="兹有我司与贵司于2025年11月18号签定《粮食销售合同》（合同编号：YHYMZSJXS251118002），数量1000吨，单价2365元/吨，该合同已累计到货991.72吨，我司检测杂质超出合同约定的0.5%，检测杂质为0.73347%，不符合我司接收标准，贵司承担该批次筛下杂质2.308吨折合货款5458.42元，另有：水分超出合同约定2.619吨折合扣货款6193.93元，霉变不合格扣款2687.28元。目前情况合计产生扣款14339.63元（大写：壹万肆仟叁佰叁拾玖元陆角叁分）"/>
        <s v="2026年1月7日我司与温氏集团下属子公司签订内贸玉米合同，合同号:YMZSJDKHWS250048-1，客户提新沙港国家能源610/2513货物，报1197.12吨货物杂质（1.49-2.04）超标，属于折价接收范围."/>
        <s v="2026年1月7日我司与温氏集团下属子公司签订内贸玉米合同，合同号:YMZSJDKHWS250049-3，客户提新沙港国家能源610/2513货物，报1197.12吨货物杂质（1.11-2.69）和赤霉烯酮（264-1884）超标，属于折价接收范围."/>
        <s v="饲料原料部、物流仓储部:_x000a_贵港瑞康饲料有限公司，2025年9月9日签订的《粮食销售合同》(合同编号:YMZSJMYX25052)合同数量4000 吨,合同单价2420元/吨;2025 年9月15 日签订的《粮食销售合同》(合同编号:YMZSJMYX25057)合同数量5000吨，合同单价2475元/吨;2025年9月5日签订的《粮食销售合同》(合同编号:YMZSJMYX25050)合同数量3000吨，合同单价2380元/吨。_x000a_上述合同原计划2025年9月18日计划派船提货，因货源紧张，需等大船国家能源610抵港才有货物交付，期间耽误约4 天。后因台风桦加沙登陆影响未能按期发运且台风过后又发生跑船换船，直至9月28日装出1500吨。又有国庆假期面临放假，同时台风影响西江上游发生洪涝，预期国庆期间西江航道面临停航风险，为保障供应安全，经双方协商同意贵港瑞康委派物流进行在新沙港、湛江港、桂平启用汽运提货，发生的物流费用合计247396.05元。_x000a_具体费用对比明细如下：_x000a_一、YMZSJJMYX25052，单价2420元/吨，合同数1000吨，收货数966.56吨_x000a_1、原计划：新沙港—白沙港—瑞康，船+汽运，我司配送，配送费40元/吨。_x000a_2、变更后：新沙港—瑞康，改为汽运，运费124.3元/吨。_x000a_3、费用增加情况：每吨运费客户承担84.3元，共计增加81481.01元。_x000a_二、YMZSJJMYX25057，单价2475元/吨，合同数1000吨，收货数954.32吨_x000a_1、原计划：新沙港—白沙港—瑞康，船+汽运，我司配送，配送费40元/吨。_x000a_2、变更后：湛江—瑞康，改为汽运，运费120元/吨。_x000a_3、费用增加情况：每吨运费客户承担80元，共计增加76345.60元。_x000a_三、YMZSJJMYX25052，单价2420元/吨，合同数500吨，收货数500.21吨_x000a_1、原计划：新沙港—白沙港—瑞康，船+汽运，我司配送，配送费40元/吨。_x000a_2、变更后：新沙港—桂平港—瑞康，改为汽运，运费80元/吨。_x000a_3、费用增加情况：每吨运费客户承担40元，共计增加20008.40元。_x000a_四、YMZSJJMYX25057，单价2475元/吨，合同数1000吨，收货数997.21吨_x000a_1、原计划：新沙港—白沙港—瑞康，船+汽运，我司配送，配送费40元/吨。_x000a_2、变更后：新沙港—桂平港—瑞康，改为汽运，运费80元/吨。_x000a_3、费用增加情况：每吨运费客户承担40元，共计增加39888.40元。_x000a_五、YMZSJJMYX25050，单价2380元/吨，合同数3000吨，卸船数3002.525，运输收货数3002.225_x000a_1、原计划：新沙港—白沙港—瑞康，船+汽运，我司配送，配送费40元/吨。_x000a_2、变更后：新沙港—苏湾港—瑞康，台风因素在桂平港卸货，费用49元/吨。_x000a_3、费用增加情况：每吨费用客户承担9元，共计增加27020.925元，详情如下：_x000a_码头费：3元/吨，新增费用3002.525x3=9007.575元_x000a_汽运费：6元/吨，新增费用3002.225x6=18013.35元_x000a_六、YMZSJJMYX25052，单价2420元/吨，合同300吨，卸船数294.635，运输收货数294.635_x000a_1、原计划：新沙港—白沙港—瑞康，船+汽运，我司配送，配送费40元/吨。_x000a_2、变更后：新沙港—苏湾港—瑞康，台风因素在桂平港卸货，费用49元/吨。_x000a_3、费用增加情况：每吨费用客户承担9元，共计增加2651.715元，详情如下：_x000a_码头费：3元/吨，新增费用294.635x3=883.905元_x000a_汽运费：6元/吨，新增费用294.635x6=1767.81元_x000a_以上变更产生的费用共计：81481.01+76345.60+20008.40+39888.40+27020.925+2651.715=247396.05_x000a_此次费用分到YMZSJM26007合同开票结算时扣除，具体金额247396.05元(附扣款商函)_x000a_请领导批示。"/>
        <s v="贵港瑞康饲料有限公司，2025年12月27日签订的《粮食销售合同》（合同编号：YMZSJJM25103）合同数量2000吨，合同单价2400元/吨。_x000a_2026年01月21-26日送货至工厂的贵港兴泰55船玉米，经质检部门检测，该船杂质超标，该船玉米共入库1996.19吨，其中杂质49.62吨，杂质占比例2.49%。按原合同质量标准杂质≤1%;则杂质超标扣款合计:1996.19吨*(2.49%-1%)*2,400元/吨=71383.75元，在开票结算时扣除。"/>
        <s v="我司与双胞胎（集团）股份有限公司于2025年11月21日签署生效的《粮食销售合同（赊销）》（合同编号：YMFJZZ250304)，合同数量5000吨，合同单价2350元/吨，该合同累计提货5009.52吨，客户于2025年12月30日至2026年1月8日提货批次玉米存在水分、杂质均超标等问题（水分检测为15.17%至15.54%，杂质超1%），对应船名：浙洋97/2537"/>
        <s v="我司与正大贸易（中国）有限公司于2025年12月22日签署生效的《粮食销售合同（赊销）》（合同编号：YMFJZZ250315)，合同数量3000吨，合同单价2425元/吨，该合同累计提货2985.66吨，客户于2026年1月6日至1月12日提货2985.66吨玉米存在杂质超标、破损较大问题，对应船名：浙洋97/2537 ；"/>
        <s v="我司与南平华农恒青农牧有限公司于 2026 年1月7日签订《粮食销售合同》（合同编号：YMFJFZ260006），数量400吨，赊销，单价2410元/吨，合同约定水分≤15%，杂质≤1%，呕吐毒素≤1000ppb。该合同已累计提货399.66吨，客户2026年1月13日-2026年1月19日接收209.04吨玉米，存在提货杂质超标、呕吐超标的情况。所提货物匹配船名：轩祥3/2535。 经与客户多次协商沟通，客户对该批玉米扣款接收，其中209.04吨玉米产生商务扣款6371.22元（人民币陆仟叁佰柒拾壹元贰角贰分），折单吨扣款30.48元/吨（整笔合同折单吨扣款15.9元/吨）。我司在1月7日销售时，当日赊销指导价格2388元/吨，我司已加价20元/吨，可覆盖扣款。_x000a_     以是否可行，烦请领导批示，谢谢。"/>
        <s v="我司与福州海龙生物科技有限公司于 2026 年1月6日签订《粮食销售合同》（合同编号：YMFJFZ260002），数量500吨，赊销，单价2400元/吨，合同约定水分≤15%，杂质≤1%。该合同已累计提480.79吨，客户2026年1月13日接收的110.08吨玉米，存在提货杂质超标情况。所提货物匹配船名：轩祥3/2535。 经与客户多次协商沟通，其中110.08吨玉米客户扣款接收，产生商务扣款2201.6元(人民币贰仟贰佰零壹元陆角），折单吨扣款20元/吨（整笔合同折单吨扣款4.5元/吨）。我司在1月7日销售时，当日赊销指导价格2375元/吨自提，我司已加价5元/吨，可覆盖扣款。_x000a_     以是否可行，烦请领导批示，谢谢。"/>
        <s v="联系单号：YHSZ-25-111427，广州顺泽粮食贸易有限公司，2026年1月6日签订的《粮_x000a_食销售合同》(合同编号：JZXYMDG26003)合同数量1000吨，合同单价2432元/吨，结算_x000a_数量 1080.34 吨_x000a_该合同在1月22日交货过程中1柜产生质量问题，经过双方友好协商，1柜霉变超标按照_x000a_40元/吨扣款结算，即总共扣款27.57吨*40元/吨=1102.8元"/>
        <s v="播恩集团股份有限公司，2026 年 1 月 16 号 于 南 沙 港 东 星 海 泰 /80 提 货 ， 提 单 号_x000a_NSDXHT8026008，因工厂检测抽检，其中 224.78 吨玉米呕吐毒素为_x000a_1550ppb-1660ppb，不符合合同约定的标准。经过双方友好协商，按 10 元/_x000a_吨扣款接收，其中一车呕吐毒素检测为 1660ppb，按 20 元/吨扣款接收，_x000a_即总共扣款 193.36 吨*10 元/吨+31.42 吨*20 元/吨=2562 元"/>
        <s v="播恩集团股份有限公司，2025 年 12 月 18 号于麻涌港国家能源 610/2512 提货，提单号_x000a_GJNY6101225011，因工厂检测抽检，其中 31.76 吨玉米毒素为 1550ppb，_x000a_不符合合同约定的标准。经过双方友好协商，按 10 元/吨扣款接收，即总_x000a_共扣款 31.76 吨*10 元/吨=317.60 元"/>
        <s v="广东泰德饲料有限公司 于 南 沙 港 东 星 海 泰 /80 提 货 ， 提 单 号_x000a_NSDXHT8026002，因工厂检测抽检，平均水份为 15.22%，不符合合同约定_x000a_标准，经过双方友好协商，超出水分 0.22%*2370 元/吨=5.2 元/吨，即总_x000a_共扣款 1498.032 吨*5.2 元/吨=7789.77 元"/>
        <s v="我司于2026年1月16日和深圳市中佳粮食有限公司签订粮食销售合同JZXYMDG26007(合同量:800吨、单价:2430元/吨),对应运单号:Q089668881:由于运单号:Q089668881，柜号:00LU0108760，出现漏玉米预计少1.325吨，已报保险处理，现申请该组柜子按照工磅单结算，即25.19吨(北方重量26.515吨)"/>
        <s v="联系单号：YHSZ-25-121503，广州顺泽粮食贸易有限公司，2025年12月8日签订的《_x000a_粮食销售合同》(合同编号：JZXYMLCYDG251208)合同数量2500吨，合同单价2482元/吨_x000a_，结算数量2366.84吨_x000a_该合同在1月14号交货过程中，5柜水分检测超标，经过双方友好协商，5柜工厂检测平_x000a_均水份为15.41%，不符合合同约定标准，按约定比例扣重 0.35338吨，即总共扣款_x000a_0.35338吨*2482元/吨=877.09元"/>
        <s v="联系单号：YHSZ-25-121503，广州顺泽粮食贸易有限公司，2025年12月8日签订的《_x000a_粮食销售合同》(合同编号：JZXYMLCYDG251209)合同数量2500吨，合同单价2482元/吨_x000a_，结算数量2366.42吨_x000a_该合同在1月13号交货过程中，其中2柜存在发热、霉味问题，另有14柜水分检测超标，_x000a_经过双方友好协商，2柜发热有霉味按照40元/吨扣款处理，14柜工厂检测平均水份为_x000a_15.23%，不符合合同约定标准，按约定比例扣重 1.06166吨，即总共扣款26.82吨*40元_x000a_/吨+1.06166吨*2482元/吨=3707.84元"/>
        <s v="河南牧原粮食贸易有限公司YMGXNN250144玉米散粮合同（5000吨，现金2400元/吨,珠三角自提)于1月9日至11日期间，珠三角自提“东星海泰/80”4996.054吨，出现水分超出合同标准情况。客户原则上拒收，经过沟通，要求整体扣款30元/吨，后再次沟通，客户要求扣款20元/吨并发出商函，最终经反复多次沟通，本着长远战略友好合作出发，客户让步同意对该合同整体进行15元/吨扣款接收，合计扣款：74940.81元。"/>
        <s v="前期与南宁海大生物科技有限公司签约的内贸玉米合同，合同号YMGXQZ250329，数量600吨，合同单价2370元/吨，签约时间2025年12月19日。_x000a_该合同执行于2026年1月23日-1月26日完成了该批次的提货，提货大船为长峰98/2526，提货地点钦州，执行数量为583.86吨。在接货过程中出现杂质超标情况，经我部到现场抽样检测后，其检测结果最低为2.04%，最高2.94%。_x000a_经过多次沟通后最终决定将项下的377.26吨做单吨5元扣款处理，扣款金额为1886.3元。"/>
        <s v="隆安县扬翔饲料有限公司，于2025年12月12日签订的《粮食销售合同(赊销)》合同编号:JCYMZSJJM25006-4)。合同数量1500吨,合同单价2352元/吨，提货大船为麻涌港的国家能源610/2512。_x000a_隆安县扬翔饲料有限公司于2025年12月15日派桂平鸿达1689船舶提该合同玉米，提货数量1498.166吨。到货检测该批玉米检测综合样杂质1.7%，超出合同标准(合同标准杂质≤1%).隆安县扬翔饲料有限公司现提出对该船玉米进行扣重处理，即扣重为1498.166吨*(1.7%-1%)=10.487吨,按合同单价换算扣款金额为10.487吨*2352元/吨=24665.42元(人民币大写:贰万肆仟陆佰陆拾伍元肆角贰分)。_x000a_因JCYMZSJJM25006-4合同已经开发票，该笔扣款将在玉米合同YMZSJM25101中扣减。"/>
        <s v="南宁扬翔农牧有限公司，于2025年11月26日签订的《粮食销售合同》合同编号:YMZSJJM25084)，合同数量5000吨，合同单价2340元/吨。提货大船为麻涌港的国家能源_x000a_610/2512.南宁扬翔农牧有限公司于2025年12月15日贵港兴泰828船舶提该合同玉米，提货数量2395.88吨。到货检测该批玉米检测综合样杂质1.9%，超出合同标准(合同标准杂质≤1%)。南宁扬翔农牧有限公司现提出对该船玉米进行扣重处理，即扣重为2395.88吨*(1.9%-1%)=21.563吨,按合同单价换算扣款金额为21.563吨*2340元/吨=50457.42元(人民币大写:伍万零肆佰伍拾柒元肆角贰分)。_x000a_因YMZSJJM25084合同已经开发票，该笔扣款将在玉米合同YMZSJJM25100中扣减。"/>
        <s v="我司与正大原料供应有限公司于 2025 年12月11日签订《粮食销售合同》（合同编号：YMFJFZ250210），数量 1500 吨，单价2425元/吨，合同约定杂质≤1%，不完善粒≤8%，呕吐毒素≤1000ug/kg。 客户于2026年1月4日-1月16日提货的1453.96吨玉米存在杂质、水分超标情况，合计产生扣款24282.25元（大写：人民币贰万肆仟贰佰捌拾贰元贰角伍分），折单吨扣16.71元/吨。所提货物匹配船名：轩祥3/2535提货986.86吨，福兴9/2538提货467.1吨。合同约定交付期2026年1月，2025年12月11日对1月交付的指导价格2385元/吨（扣除补偿阿根廷高粱问题10元/吨，实际溢价30元/吨），溢价可覆盖扣款。_x000a_      以上扣款请领导批示，谢谢。"/>
        <s v="    兹有我司与正大原料供应有限公司2025年12月29日签署生效的《粮食销售合同》（合同编号：YMFJZZ250316)，合同数量1500吨，合同单价2425元/吨，截止至2026年01月21日，该合同累计提货1491.92吨，客户于2026年1月14日至1月20日提货玉米经检测杂质超标，破碎大，对应船名：同庆18/2539 "/>
        <s v="福建经营部通过延伸粮源池采购的散船玉米“炜业19”轮（航次号：2511），发运至漳州港，发运数量19541.03吨，实际卸货数量19499.46吨。该船于2025年12月23日靠泊漳州港并启动卸货，12月25日卸货工作全部完成。_x000a_卸货期间，经营部物流工作人员现场监卸发现该批玉米存在水分、杂质超标问题。经华正检测，玉米水分含量在15.2%-15.5%区间，超出标准0.2%-0.5%，部分杂质指标亦未达到规定要求。针对上述品质问题，福建经营部第一时间报告饲料原料部及上游供应商进行反馈，客户在接货过程中，亦反馈该批玉米存在相同品质问题。_x000a_为妥善处置该问题，福建经营部与饲料原料部、客户充分沟通协商，确定按正常商务流程给予扣款，并同步推进货物提货工作。截至2026年1月21日，该批玉米已全部出库，累计出库数量19440.36吨"/>
        <s v="广东粮品农产品经营有限公司，2025年1月7日签订的《粮食销售合同》(合同编号:JZXYMZSJJM26002)合同数量400吨，合同单价2430元/吨，提货港为新会新港。_x000a_计划号：YHSZ-25-111430-1，运单号：Q089492200，箱号00LU0694125，卸货净重27.44，杂质超标1.7%，扣款金额478.27元。_x000a_计划号：YHSZ-25-111430-1，运单号：Q089492200，箱号FCIU3159167，卸货净重27.4，杂质超标1.7%，扣款金额477.58元。_x000a_合计扣款金额为:955.85元。"/>
        <s v="广东粮品农产品经营有限公司，2025年1月23日签订的《粮食销售合同》(合同编号:JZXYMZSJJM26009)合同数量380吨，合同单价2430元/吨，提货港为新会新港。_x000a_计划号：YHSZ-25-121923，运单号：Q089671463，箱号CSNU3235781，卸货净重27.32，杂质超标1.5%，扣款金额341.5元。_x000a_计划号：YHSZ-25-121923，运单号：Q0896714630，箱号CSNU3031290，卸货净重9.86_x000a_，杂质超标3.1%，扣款金额517.65元。_x000a_    计划号：YHSZ-25-121923，运单号：Q0896714630，箱号CSNU3077942，卸货净重27.6，_x000a_杂质超标1.7%，扣款金额483元。_x000a_合计扣款金额为:1342.15元。"/>
        <s v="与金钱农牧（广西）有限公司签订的《粮食销售合同》，合同号：YMGXQZ250335，数量300吨，单价2390元/吨，提“三水809/2601”轮散装玉米，其中有6车共199.16吨水分指标远超出合同约定标准15%，客户原则上拒收。经双方协商同意，做商务扣款让步接收，合计扣款金额1991.60元，合同折合单吨扣款6.63元。"/>
        <s v="与广西柯特农业发展有限公司签订的《粮食销售合同》，合同号：YMGXQZ250314，数量1000吨，单价2410元/吨，提“长峰98/V2526”轮散装玉米，其中有21车共704.54吨水分指标远超出合同约定标准15%，客户原则上拒收。经双方协商同意，做商务扣款让步接收，合计扣款金额7045.40元，整合同折合单吨扣款7.04元。"/>
        <s v="我司于2025年12月16日与贵港市源饲料有限公司签订内贸玉米合同，编号YMZSJDKHLY250202，数量1500吨，单价2350元/吨。_x000a_客户于2026年1月13日在新沙港国家能源610/2513提货，提单号GJNY61025130031。因工厂检测水分偏高，综合平均水分15.5%。因对客户成品以及口碑造成影响，扣价15元/吨，需扣价:1499.88*15=22498.2元"/>
        <s v="我司于2024年12月16日与北流市响亮饲料有限公司签订内贸玉米合同，编号YMZSJDKHLY250206，数量1500吨，单价2350元/吨。_x000a_客户于南沙港东星海泰/80提货，提单号NSDXHT8026031，因工厂检测杂质超标，平均值达3.03%(合同签订指标:杂质≤1.0%)。因对客户成品以及口碑造成影响，扣价25元/吨，需扣价:1496.97*25=37424.25元"/>
        <s v="贵我双方于 2025 年 12 月 30 日签订 2000 吨玉米《粮食销售合同》_x000a_（合同编号：YMZSJJY250204），单价 2380 元/吨，合同约定以港口外_x000a_磅结算。2026 年 1 月 8 日—2026 年 1 月 17 日收到贵司港口外磅共计_x000a_1951.44 吨玉米。经我司品管检测，此批玉米杂质 1.5%，超出约定标准_x000a_1%，影响使用，我司系统扣款 23319.7 元。经双方协商，另按 10 元/吨_x000a_扣款，即按 1951.44 吨*10 元/吨=19514.4 元做扣款接收处理。综上合计_x000a_扣款 19514.4+23319.7=42834.1 元。"/>
        <s v="兹有我司与正大贸易（中国）有限公司于2026年01月16日签署生效的《粮食销售合同（赊销）》（合同编号：YMFJZZ260004)，合同数量3000吨，合同单价2435元/吨，截止至2026年02月05日，该合同累计提货2999.56吨，客户于2026年1月23日至2月6日提货批次玉米经检测杂质超标，对应船名：中安89/2601"/>
        <s v="兹有我司与正大原料供应有限公司于2026年01月19日签署生效的《粮食销售合同（赊销）》（合同编号：YMFJZZ260019)，合同数量2000吨，合同单价2430元/吨，截止至2026年02月04日，该合同累计提货2000.08吨，客户于2026年1月22日至2月4日批次提货批次玉米检测杂质超标，对应船名：弘泰625/2601；"/>
        <s v="我司与将乐温氏家禽有限公司于 2025 年11月26日签订《粮食销售合同》（合同编号：JZXYMFJFZ250086），数量1000吨，赊销，单价2450元/吨到厂，合同约定水分≤15%，杂质≤1%。该合同已累计提货970.5吨，其中客户2025年12月3日-2026年1月3日接收的528.75吨玉米，存在破碎粒、杂质粉尘较多、水分超标的情况。所提货物匹配船名：福兴9/2538（水分超标）、华源盛/2531（提货到仓底，粉尘与破碎超标）。    _x000a_     客户原需对于该批有质量问题的货物扣款50元/吨接收，经与客户多次协商沟通，对破碎粒、杂质粉尘超标的586.2吨玉米客户按扣款25元/吨接收，产生商务扣款13218.75元（人民币壹万叁仟贰佰壹拾捌元柒角伍分），整笔合同折单吨扣款13.62元/吨。"/>
        <s v="我司于 2026 年 1 月 30 日与金钱饲料（东莞）有限公司签订内贸玉米合同，编号 YMZSJDG26010 ，合同数量 2000 吨，结算数量 1991.3 吨，单价_x000a_2346 元/吨。客户 2026 年 1 月 30 号于新沙港长鑫 86 提货，提单号 XSCX8625003，因工厂检测抽检，其中 1292.42 吨平均水分为 15.49%，平均杂质为 4.19%，不符合合同约定标准，经过双方友好协商，按 10 元/吨扣款接收，即总共扣款 1292.42 吨*10 元/吨=12924.20 元"/>
        <s v="联系单号：YHSZ-25-121920，中山市福大生物科技有限公司，2026年1月28日签订的_x000a_《粮食销售合同(赊销）》(合同编号：JZXYMDG26016)合同数量225吨，合同单价2445_x000a_元/吨，结算数量222.214吨_x000a_该合同在2月1号交货过程中，7柜产生质量问题，经过双方友好协商，其中222.24吨工_x000a_厂检测平均水份为15.47%，不符合合同约定标准，经过双方友好协商，按10元/吨扣款_x000a_接收，即总共扣款222.24吨*10元/=2222.4元"/>
        <s v="我司与将乐温氏家禽有限公司于 2026年1月6日签订《粮食销售合同》（合同编号：YMFJFZ260003），数量1500吨，赊销，单价2465元/吨，合同约定水分≤15%，杂质≤1%。该合同已累计提货1499.88吨，客户2026年1月13日接收的159.87吨玉米，存在杂质粉尘超标。所提货物匹配船名：轩祥3/2535。    _x000a_     经与客户多次协商沟通，对杂质破碎超标的159.87吨玉米客户扣款5元/吨接收，产生商务扣款799.35元（人民币柒佰玖拾玖元叁角伍分），整笔合同折单吨扣款0.5元/吨。该批次提货出现提货到杂质集中部位，后续将加强对码头存粮与出货作业的管理。"/>
        <s v="我司与将乐温氏家禽有限公司于 2025 年12月24日签订《粮食销售合同》（合同编号：YMFJZZ260010），数量1000吨，赊销，单价2360元/吨，合同约定水分≤15%，杂质≤1%。该合同已累计提货973.28吨，客户2026年1月1日-2026年1月9日接收的586.2吨玉米，存在破碎粒、杂质粉尘较多情况。所提货物匹配船名：浙洋97/2537。    _x000a_     原定对于存在商务的货物按扣款30元/吨接收，经与客户多次协商沟通，对杂质破碎超标的586.2吨玉米，客户扣款减半按15元/吨接收，产生商务扣款8793元（人民币壹万柒仟伍佰捌拾陆），整笔合同折单吨扣款9元/吨。"/>
        <s v="现有清远大北农生物科技有限公司与我司于2025年12月26日签订的内贸玉米合同YMZSJQY250294，数量1500吨，单价2385元/吨，客户于1月23日提货我司新沙港大船:国家能源610/2513，到厂后有两台车呕吐毒素检测超出合同质量签订标准:呕吐毒素≤1200的约定，申请对以下提货毒素超标的两车扣款5元/吨。"/>
        <s v="广州顺泽粮食贸易有限公司于2025年9月10日签订国产内贸合同(合同号JZXYMZSJQY250069,合同量270吨，单价2450元/吨)，该合同已结算完毕。由于上次扣款时，由保险方承担的CSLU1499746柜子扣款的5218元未在之前的合同扣除，申请在我司与广州顺泽粮食贸易有限公司签订的JZXYMZSJQY260002合同中扣除(签订时间2026年1月21日，数量1070吨，单价2432元/吨)，请领导批示"/>
        <s v="联系单号:YHSZ-25-121921，广州顺泽粮食贸易有限公司，2025年12月8日签订的《粮食销售合同》(合同编号:JZXYMLCYDG251210合同数量2500吨，合同单价2482元/吨，结算数量2389.511吨)_x000a_该合同在1月27号交货过程中，1柜存在杂质破碎严重超标，工厂退货，经过双方友好协商，27.3吨因质量问题导致的直接损失由工厂承担，该批货物往返所产生的运输费用由我司承担，申请在JZXYMLCYDG251210销售合同中扣除，即总共扣款1550元(附扣款商函)"/>
        <s v="2026年1月7日和2025年11月12日我司与双胞胎集团签订内贸玉米合同合同号:YMZSJDKHSBT260001、YMZSJDKHSBT250017，单价分别为2390、2290元/吨。客户提新沙港 国家能源 610/2513和国远 86货物，报 490.96 和 358.93 吨货物呕吐毒素和赤霉希酮超标，属于折价接收范围，扣款明细如下:"/>
        <s v="2026年1月7日和2025年11月12日我司与双胞胎集团签订内贸玉米合同合同号:YMZSJDKHSBT260001、YMZSJDKHSBT250017，单价分别为2390、2290元/吨。客-提新沙港 国家能源 610/2513和国远 86货物，报 490.96 和 358.93 吨货物呕吐毒素和赤霉希酮超标，属于折价接收范围，扣款明细如下:"/>
        <s v="我司于2025年11月25日与正大康地阳江饲料有限公司签订了玉米内贸合同YMYXYJ250218，签订主体为中粮贸易（深圳）有限公司，大船:益嘉88/2528。签订主体:中粮贸易(深圳)有限公司，合同量2000吨，合同单价2402元/吨，执行量1983.62吨，其中该批货物999.86吨水分检测在15.3-15.8之间，赤霉260-500。不符合合同约定标准。考虑到双方后期的长期友好合作，对该批货物做折价10元/吨处理，总计9998.60元，在货款中扣除。"/>
        <s v="我司于2025年12月3日与正大康地阳江饲料有限公司签订了玉米内贸合同YMYXY250225，签订主体:中粮贸易(深圳)有限公司，大船:益嘉88/2528，合同量2000吨，合同单价2442元/吨，执行量1980.12吨，其中该批货物980.56吨水分检测在15.3-15.5之间，赤霉238-624。不符合合同约定标准。考虑到双方后期的长期友好合作，对该批货物做折价10元/吨处理，总计9805.60元，在货款中扣除。"/>
        <s v="2026年1月7日 我司与  温氏集团下属子公司 签订内贸玉米合同，合同号：YMZSJDKHWS250049-2，单价分别为2350元/吨。客户提新沙港 国家能源610/2513货物，报194.4吨货物赤霉烯酮超标，属于折价接收范围"/>
        <s v="联系单号:YHSZ-25-121922，深圳市中佳粮食有限公司，2026年1月21日签订的《粮食销售合同》(合同编号:JZXYMDG26014合同数量1080吨，合同单价2420元/吨，结算数量1074.753吨)_x000a_该合同在2月6号交货过程中，AYLZAXV260013424B运单2柜产生质量问题，其中53.35吨工厂检测杂质超标，TELU2283128(26.58吨)杂质为2.86%，GCXU2171181(26.77吨)杂质为3.05%，不符合合同约定标准，经过双方友好协商，TELU2283128按55元/吨扣款接收，GCXU2171181按61元/吨扣款接收，即总共扣款26.58吨*55元/吨+26.77吨*61元吨=3094.87元"/>
        <s v="我司与海南省粮油产业有限公司于2026年1月30日签订的《粮食销售合同》（合同号：JCYMHN260002-1），合同数量1500吨，合同单价2441元/吨，截止目前共计执行1499.4吨，执行完毕。该批货物在接卸过程中客户反馈不完善粒及杂质超标等质量问题，我司现场人员范闻超和工厂品管人员共同抽样检测，检测结果事实存在，现场检测不完善粒11.75%，杂质1.2%，合计数量1499.4吨。经双方友好协商，此批玉米按20元/吨进行扣价接收，合计扣款¥29988元。"/>
        <s v="广西辽大农业科技股份有限公司YMGXNN250131玉米散粮合同（2000吨，现金2405元/吨,钦州港自提)于1月8日至31日期间，钦州港提“长峰98/V2526”1986.82吨，出现水分超出合同标准情况。客户原则上拒收，经过沟通，要求整体扣款15元/吨，后经反复多次沟通，客户要求扣款5元/吨并发出商函，最终沟通后，本着长期友好合作理念，客户让步同意对该合同整体进行4元/吨扣款接收，合计扣款：7,947.28元"/>
        <s v="现有赣州湘大骆驼饲料有限公司与我司于2026年1月26日签订的内贸玉米合同YMZSJQY260016，数量1500吨，单价2320元/吨，客户于2月5日开始提货我司新沙港大船：长鑫86，共计提货980.4吨，到厂后有部分车辆水分检测超出合同质量签订标准：水分≤ 15%的约定，经过双方友好协商，申请对以下提货水分超标的车辆共计扣款8059.68元（单吨扣款约8.22元/吨）"/>
        <s v="2026年1月7日我司与温氏集团下属子公司签订内贸玉米合同，合同号YMZSJDKHWS250048-2、YMZSJDKHWS250048-3.单价为2360 元/吨。客户提新沙港国家能源 610/2513 货物，报 2259.88吨货物破碎粒、杂质、水分、赤霉烯酮等超标，属于折价接收范围"/>
        <s v="梅州大北农生物科技有限公司，2026 年 1 月 29 日签订的《粮食销售合同（赊销）》(合同编号:YMZSJJY250224)_x000a_合同数量 1000 吨，合同单价 2425 元/吨，客户提货航安顺/2603，共计提货重量 994.92 吨，经检测三车 199.38_x000a_吨水分分别为 15.22%、15.43%、15.43%超出合同约定不符合合同约定标准（水分≤15%），我司承担该批次下_x000a_超标水分 199.38 吨折合货款 1740.59 元。"/>
        <s v="我司于 2025 年 12 月 12 日与佛山播恩生物科技有限公司签订内贸玉米_x000a_合同，编号 JCYMZSJDG25051-1 ，合同数量 500 吨，单价 2378 元/吨。_x000a_客 户 2026 年 2 月 1 号 于 南 沙 港 东 星 海 泰 /80 提 货 ， 提 单 号_x000a_NSDXHT8026064，因工厂检测抽检，其中 32.72 吨毒素为 1654ppb，不符合_x000a_合同约定标准，经过双方友好协商，按 10 元/吨扣款接收，即总共扣款 32.72_x000a_吨*10 元/吨=327.2 元"/>
        <s v="兹有我司与福州海龙生物科技有限公司司签订《粮食销售合同》（合同号：YMFJFZ250158），合同数量1200吨，单价2265元/吨，配送到厂，合同约定容重（g/L)≥685，霉变≤2%，水分≤15%，热损≤2%，呕吐毒素≤1000ppb。该合同于2025年11月14日-2026年1月20日提货玉米，共计提货1185.85吨，接货1183.97吨，其中部分到货检测结果不符合合同标准（呕吐毒素超标，在1200ppb-1800ppb，杂质超标，霉变超标等情况），扣款15213.7元（明细详见商函），折合12.8元/吨。该合同考虑为不保毒素玉米中挑选出货，在销售时已考虑扣款因素加价15元/吨销售，加价可涵盖扣款。_x000a_以上扣款是否可行，请领导批示"/>
        <s v="我司于 2025 年 10 月 30 日与佛山播恩生物科技有限公司签订内贸玉米_x000a_合同，编号 YMZSJDG250412 ，合同数量 1500 吨，单价 2220 元/吨。_x000a_客户 2025 年 12 月 14 号于麻涌港国家能源 610/2512 提货，提单号_x000a_GJNY6101225003，因工厂检测抽检，其中 31.38 吨毒素为 1820ppb，不符_x000a_合合同约定标准，经过双方友好协商，按 30 元/吨扣款接收，即总共扣款_x000a_31.38 吨*30 元/吨=941.4 元"/>
        <s v="通过实地抽样及多轮复测后，整体杂质多超过合同约定的≤1%的指标，_x000a_平均杂质在2.5-2.8%之间，经过多次沟通后计划扣款25018.07元，折合单吨_x000a_6.26元/吨。由于年前涉及到部分合同货款到期，为避免逾期货款产生故在春_x000a_节前做了部分结算，对于该扣款金额折到YMGXXJ250149合同上结算。"/>
        <s v="我司于2025年12月26日与正大康地(广州番禺)有限公司签订内贸玉米合同，编号YMZSJDG250500 ，合同数量3000吨，单价2370元/吨。_x000a_客户2026年2月7号于南沙港东星海泰/82提货，提单号NSDXHT8226003，因工厂检测抽检，其中278.14吨平均水分为15.2%，不符合合同约定标准，经过双方友好协商，按6元/吨扣款接收，即总共扣款278.14吨*6元/吨=1668.84 元"/>
        <s v="联系单号：YHSZ-25-121922，广州顺泽粮食贸易有限公司，2026年2月3日签订的《粮_x000a_食销售合同》(合同编号：JZXYMDG26018)合同数量377吨，合同单价2430元/吨，结_x000a_算数量376.585吨_x000a_该合同在2月7号交货过程中，2柜工厂检测杂质超标，不符合合同约定标准，经过双方_x000a_友好协商，按照20元/吨扣款接收，即总共扣款52.52吨*20元/吨=1050.4元"/>
        <s v="我司与南平华农恒青农牧有限公司于 2026 年1月20日签订《粮食销售合同》（合同编号：YMFJFZ260012），数量400吨，赊销，单价2450元/吨，合同约定水分≤15%，杂质≤1%，呕吐毒素≤1000ppb。该合同已累计提货405.12吨，客户2026年2月9日接收100.17吨玉米，存在提货杂质超标的情况。所提货物匹配船名：铭宏发展/2603。    经与客户多次协商沟通，客户对该批玉米扣款接收，其中100.17吨玉米产生商务扣款2161.58元（人民币贰仟壹佰陆拾壹元伍角捌分），折单吨扣款21.6元/吨（整笔合同折单吨扣款5.3元/吨）。我司在1月20日销售时，当日赊销指导价格2435元/吨，我司已加价15元/吨，可覆盖扣款。_x000a_     以是否可行，烦请领导批示，谢谢。"/>
        <s v="江门市英海饲料有限公司，2026年1月19日签订的《粮食销售合同》(合同编号:JZXYMZSJJM26005)合同数量610 吨,合同单价2430元/吨，提货港为新会新港。_x000a_江门市英海饲料有限公司于1月29日收到3个柜子，经检验发现水分整体超标约0.4%-0.5%，超过合同约定的水分≤15.0%，经双方协商同意，做商务扣款让步接收。总卸货数为44.78吨，扣款为10元/吨，具体明细如下：_x000a_计划号YHSZ-25-121923，运单号Q089671468，箱号CSNU1470499，卸货数8.58吨，水分15.4%，扣款为10元/吨，扣款金额8.58x10=85.8元。_x000a_计划号YHSZ-25-121923，运单号Q089613601，箱号CSNU1612612，卸货数9.07吨，水分15.5%，扣款为10元/吨，扣款金额9.07x10=90.7元。_x000a_计划号YHSZ-25-121923，运单号Q089810130，箱号CSLU2246130，卸货数27.13吨，水分15.4%，扣款为10元/吨，扣款金额27.13x10=271.3元。_x000a_总扣款金额为85.8+90.7+271.3=447.8元"/>
        <s v="我司于2026年1月6日与永州市漓源饲料有限公司签订内贸玉米合同，编号YMZSJDKHLY260001，数量1100吨，单价2330元/吨。_x000a_客户于南沙港东星海泰/81与东方祥通/2518提货，提单号NSDXHT8126028与NSDFXT2518030，因工厂检测杂质偏高，综合平均杂质4.29%。因对客户成品以及口碑造成影响，扣价30元/吨，需扣价:1099.48*30=32984.4元。_x000a_请领导批示。"/>
        <s v="我司于2025年12月16日与梧州柳新农牧科技有限公司签订内贸玉米合同，编号YMZSJDKHLY250204，数量2000吨，单价2350元/吨。_x000a_客户于2026年1月10日在南沙港东星海泰/80提货，提单号NSDXHT8026026，驳船名:广通0819。因工厂检测赤烯酮与杂质偏高综合平均赤霉烯酮326.75ppb，杂质平均值4.56%。因对客户成品以及口碑造成影响，扣价40元/吨，需扣价:1999.706*40=79988.24元。_x000a_请领导批示。"/>
        <s v="兹有我司与福建圣农发展（浦城）有限公司签订YMFJFZ250164号《粮食销售合同》，合同数量2000吨，单价2390元/吨，截止2月28日，该合同实际送货1949.73吨，接货1949.64吨，质量扣款23183元，折合扣款11.85元/吨，该扣款为圣农杂质及不完善粒固定扣款，在销售合同时已进行加价15元/吨进行销售，实际无损失。_x000a_以上扣款，是否可行，请领导批示。"/>
        <s v="兹有我司与圣农发展（政和）有限公司签订YMFJFZ250165号《粮食销售合同》，合同数量1000吨，单价2390元/吨，截止2月28日，该合同实际送货954.42吨，接货953.99吨，质量扣款12839.3元，折合扣款13.46元/吨，该扣款为圣农杂质及不完善粒固定扣款，在销售合同时已进行加价15元/吨进行销售，实际无损失。_x000a_以上扣款，是否可行，请领导批示。_x000a_"/>
        <s v="我司于2026年2月2日和深圳市中佳粮食有限公司签订粮食销售合同JZXYMDG26017(合同量:587吨、单价:2420元/吨),对应运单号:Q090050033;由于运单号:Q090050033、柜号:CSNU1256790在中转码头撒漏玉米，出现少重情况报保险处理，现申请该组柜子按照工厂磅单结算，即14.53吨(北方重量26.7875吨)"/>
        <s v="我司于2026年1月23日和深圳市中佳粮食有限公司签订粮食销售合同JZXYMDG26015(合同量:1650吨、单价:2430元/吨),对应运单号:ZG26019808062-B，Q090050032由于运单号:ZG26019808062-B、柜号:ZGXU2827614出现少重情况，报保险处理，现申请该组柜子按照工厂磅单结算，即23.92吨(北方重量27.06吨)运单号Q090050032，柜号CSLU2018167出现少重情况，报保险处理，现申请该组子按照工厂磅单结算，即25.12吨(北方重量27.8375吨)"/>
        <s v="兹有我司与南平海大生物科技有限公司司签订《粮食销售合同》（合同号：YMFJFZ250189）及《补充协议》（协议号：YMFJFZ250189-1），合同数量500吨，单价2370元/吨，配送到厂，合同约定容重（g/L)≥685，霉变≤2%，水分≤15%，热损≤2%。该合同原为军航码头散粮出货，与客户沟通交付南平港集装箱玉米，对应福满仓及禹泰库。该合同总计提货495.14吨，因提货过程中有玉米发霉、水分超标、发热情况，经双方友好沟通扣款15134.5元，折30.56元/吨。_x000a_以上扣款是否可行，请领导批示。"/>
        <s v="YMYXYJ260001-2，阳春市温氏畜牧有限公司，签订主体:中粮贸易(深圳)有限公司，合同量1500吨，单价2430元/吨，执行量1491.94吨，合同签订标准：玉米赤霉烯酮&lt;200μg/kg，水分≤15%，经检验，该批货物有702.2吨赤霉在368-407之间，水分在15.2-15.51之间，不符合合同约定标准，考虑到双方后期的长期友好合作，对该批货物做15元/吨折价处理，扣款10533元，在货款中扣除。"/>
        <s v=" YMYXYJ260004-2，阳江市阳东温氏畜牧有限公司，签订主体:中粮贸易(深圳)有限公司，大船：锦鑫6/2601，合同量1000吨，单价2415元/吨，执行量1002吨，同签订标准：玉米赤霉烯酮&lt;200μg/kg，杂质≤1%，经检验，该批货物有529.76吨赤霉在349-597之间，杂质在1.15-1.93之间，不符合合同约定标准，考虑到双方后期的长期友好合作，对该批货物做15元/吨折价处理，扣款7946.4元，在货款中扣除。"/>
        <s v="YMYXYJ260013-2，阳江市阳东温氏畜牧有限公司，签订主体:中粮贸易(深圳)有限公司，大船：锦鑫6/2601，合同量1000吨，单价2350元/吨，执行量983.44吨，合同签订标准：玉米赤霉烯酮&lt;200μg/kg，杂质≤1%，经检验，该批货物有114.02吨赤霉烯酮在273-311之间，杂质在1.17-2.68之间，不符合合同约定标准，考虑到双方后期的长期友好合作，对该批货物做15元/吨折价处理，扣款1710.3元，在货款中扣除。"/>
        <s v="现有于与广东嘉豪签署的内贸玉米合同JCYMGXQZ260002-1，数量2000吨，在2026年2月6日-13日期间在执行过程中因水分不符产生了相应的商务问题，执行大船为钦州港“三水809/2601”，执行数量1990.86吨，在抽检过程中水分高点在15.45%，中间值平均在15.2%左右，与客户多次沟通协商后按照扣款3564.89元进行接收，折算到单吨为1.79元/吨。"/>
        <s v="YMYXYJ260013-3，阳西温氏禽畜有限公司，签订主体:中粮贸易(深圳)有限公司，大船：锦鑫6/2601，合同量1000吨，单价2350元/吨，执行量981.08吨，合同签订标准：不完善粒≤10%，经检验，该批货物有216.3吨不完善粒在11.3-16.1，不符合合同约定标准，考虑到双方后期的长期友好合作，对该批货物做5元/吨折价处理，扣款1081.5元，在货款中扣除。"/>
        <s v="YMYXYJ260013-1，阳春市温氏畜牧有限公司，签订主体:中粮贸易(深圳)有限公司，大船：锦鑫6/2601，合同量1000吨，单价2350元/吨，执行量1005.48吨，合同签订标准：杂质≤1%，经检验，该批货物有397.22吨杂质为2.28，不符合合同约定标准，考虑到双方后期的长期友好合作，对该批货物做15元/吨折价处理，扣款5958.3元，在货款中扣除。"/>
        <s v="茂名通威生物科技有限公司JCYMYXMM260005-1(合同量1000吨，单价2440元)，签订日期2026年2月3日。该合同共执行999.67吨。2026年2月8日客户在中心船“中伟顺/2603&quot;轮提货过程中，反馈到货的3车共84.58吨玉米存在水分超标的质量问题，经饲料厂人员取样检测并复查，玉米水分达15.3%，超合同规定标准。经我部与客户多次协商，秉承长期友好合同原则，共申请扣款592.06元，单吨扣款7元/吨。"/>
        <s v="现有清远加乐饲料有限公司与我司于2025年12月17日签订的内贸玉米合同YMZSJQY250282，数量1000吨，单价2380元/吨，客户于2月4日于深粮码头开始提货我司外采粮源:南方地采-谷润/25197合同货物，到厂后有4车杂质检测超出合同质量签订标准:杂质≤2%的约定，经过双方友好协商，决定对杂质超标的货物进行扣款，申请对以下提货杂质超标的4车扣款30元/吨。扣款由上游京粮承担"/>
        <s v="苏州穗满德国际贸易有限公司YMYXMM260016(合同量600吨，单价2400元)，签订日期2026年1月7日。该合同共执行590.84吨。2026年1月23日客户在中心船&quot;益嘉98/2534”轮提货过程中，反馈到货的2车共62.94吨玉米杂质超标的质量问题，经饲料厂人员取样检测并复查，玉米杂质达1.91%，超合同规定标准。经我部与客户多次协商，秉承长期友好合同原则，共申请扣款1258.8元，单吨扣款20元/吨。"/>
        <s v="现有于与钦州海大桂柳生物科技有限公司的内贸玉米合同YMGXQZ260018，_x000a_数量650吨，在2026年2月10日-13日期间在执行过程中因水分不符产生了相应的_x000a_商务问题，执行大船为钦州港“三水809/2601”，执行数量638.7吨。在抽检过程中水分高点在15.46%，中间值平均在15.3%左右，与客户多次_x000a_沟通协商后按照单吨5元/吨进行扣款接收。"/>
        <s v="兹有我司与漳浦县海新饲料科技有限公司于2025年12月30日签署生效的《粮食销售合_x000a_同》（合同编号：YMFJZZ250325)，合同数量1000吨，合同单价2420元/吨，截止至2026_x000a_年01月15日，该合同累计提货1031.03吨，客户于2026年1月4日至1月6日提货158.85吨，_x000a_经检测杂质、水份超标，对应船名：浙洋97/2537，该船在卸船时已向品种线报备杂质超_x000a_、部分水分异常的情况。"/>
        <s v="广西兴安县扬翔饲料有限公司，2026年1月27日签订的《粮食销售合同》(合同编号:JCYMZSJJM25007-4)合同数量2500 吨,合同单价2394.7元/吨，提货大船名：东星海泰082。_x000a_广西兴安县扬翔于2月12日派桂平安运138船舶到南沙港的东星海泰082提货，提货数量 1497.048 吨。客户检测该批玉米检测综合样杂质1.53%，超出合同标准（合同标准杂质≤1%）。现 _x000a_双方友好协商该船玉米扣款10元/吨，扣款金额1497.048吨*10元/吨=14970.48元。"/>
        <s v="与钦州播恩生物技术有限公司签订的《粮食销售合同》，合同号：YMGXQZ260004，数量1500吨，单价2425元/吨，提“长峰98/V2526”轮散装玉米，其中有9车共295.26吨水分指标远超出合同约定标准15%，客户原则上拒收。经双方协商同意，做商务扣款让步接收，合计扣款金额1538.22元，合同折合单吨扣款1.025元，该合同预留有5元/吨商务，溢余3.975元/吨，于我司有利。"/>
        <s v="现有于南宁通威生物科技有限公司签署的内贸玉米合同在执行过程中因_x000a_杂质不符产生了相应的商务问题，具体如下：JCYMGXXJ260003-1合同在执行钦州港最后一公里配送的三水809/2601中_x000a_因水分超标产生了其商务纠纷，经多次协商抽取水分较高的13车428.84吨做_x000a_扣款2144.2元接收处理（详细见附件一），对应扣款吨数折合单吨5元/吨。"/>
        <s v="YMGXXJ250157合同在执行珠三角最后一公里配送的东方详通/18中因水分_x000a_超标产生了其商务纠纷，经多次协商抽取水分较高的3车139.07吨做扣款_x000a_695.35元接收处理（详细见附件二），对应扣款吨数折合单吨5元/吨。"/>
        <s v="现有韶关海大生物科技有限公司我司于2026年2月11日签订的内贸集装箱玉米合同JZXYMZSJQY260019,数量500吨，单价2465元/吨,客户于2月14日开始接货我司集装箱玉米(计划号:YHSZ-25-121915,运单号:Q090134490、Q090134491)，到厂后，有4车水分检测超出合同质量签订标准:水分≤15%的约定，经过双方友好协商，决定对水分超标的货物进行扣款。"/>
        <s v="现有广州顺泽粮食贸易有限公司我司于2026年3月2日签订的内贸集装箱玉米合同JZXYMZSJQY260022，数量220吨，单价2472元/吨，客户于3月4日接货我司集装箱玉米，计划号:YHSZ-26-011509,运单号:WBYNA262X0055。客户于3月4日接货的TEMU0253426柜存在柜子破洞，漏水情况，该柜底部货物水湿结块严重，有5.36吨货物受损，已经向保险公司报险理赔，保险公司同意对结块粘底货物扣款1000元/吨，共计扣款5360元，已经沟通保险，由保险公司承担该部分费用"/>
        <s v="我司于2026年1月8日与广州市禾润兴饲料有限公司签订内贸玉米合编号 YMZSJDG26001，合同数量 2000 吨，单价 2370 元/吨。同，_x000a_客户 2026年3月2号于新沙港长鑫86 提货，提单号 XSCX8625039因工厂检测抽检，其中 62.74 吨杂质为 2.5%，不符合合同约定标准，经过双方友好协商,按 30 元/吨扣款接收,即总共扣款62.74吨*30 元/吨=1882.2元"/>
        <s v="我司于2026年1月8日与金钱饲料(东莞)有限公司签订内贸玉米合同，编号 YMZS.JDG26002，合同数量 2500 吨，单价 2406 元/吨。客户2026年2月27号于新沙港安丰 09/2604 提货，提单号XSAF0926006,因工厂检测抽检,其中2498.42吨杂质为 3.45%,水分 15.65%,不符合合同约定标准，经过双方友好协商，按10元/吨扣款接收，即总共扣款 2498.42 吨*10 元/吨=24984.2元"/>
        <s v="双胞胎（集团）股份有限公司 YMYXMM250880（合同量 6000 吨，单价 2360 元），签订日期为 202_x000a_5 年 12 月 23 日，合同约定杂质≤1%。该合同执行 5965.74 吨，2026 年 2 月 2 日-2026 年 2 月 5 日在中心_x000a_大船“中恒顺丰/2602”轮提货，862.65 吨杂质 1.43-1.67%超标，不符合同规定。经我司业务人员核实，检_x000a_测结果确实存在。秉承长期友好合同原则，经我部与客户多次友好协商后，862.65 吨申请扣款 10 元/吨，申_x000a_请扣款金额合计 8626.5 元。"/>
        <s v="双胞胎（集团）股份有限公司 YMYXMM250880（合同量 6000 吨，单价 2360 元），签订日期为 202_x000a_5 年 12 月 23 日，合同约定水分≤15%、杂质≤1%。该合同执行 5965.74 吨，2026 年 1 月 7 日-2026 年 1_x000a_月 9 日在外采大船“锦江河/2523”轮提货，67.33 吨水分 15.18-15.6%超标；461.44 吨水分 15.18-15.6%_x000a_且杂质 1.2-1.4%超标，不符合同规定。经我司业务人员核实，检测结果确实存在。秉承长期友好合同原则，_x000a_经我部与客户多次友好协商后，67.33 吨申请扣款 10 元/吨，461.44 吨申请扣款 20 元/吨，申请扣款金额合_x000a_计 9902.1 元。该扣款情况已报备饲料原料部，由饲料原料部向供应方扣款弥补我司损失。"/>
        <s v="丰顺县海新饲料有限公司，2026 年 1 月 22 日签订的《粮食销售合同（赊销）》(合同编号:YMZSJJY250221)_x000a_合同数量 2000 吨，合同单价 2425 元/吨，数量 1000 吨，单价 2430 元/吨，客户提货鑫泰 128/2604，该合同_x000a_已累计交货 976.79 吨，(其中 2 月 14 日 1 车车号:粤 VT7065，重量 33.1 吨，2 月 25 日 3 车车号:粤 V34913，_x000a_重量 32.54 吨，车号:粤 D03333，重量 32.62 吨，车号:粤 MA1287，重量 33.86 吨，合计:132.12 吨)到货玉米_x000a_经检验杂质 1.2%杂质和破碎粒超出合同约定指标(杂质≤1%)，不符合客户接受指标。针对该批次到厂不合格玉_x000a_米，经双方友好协商处理后，退货转扣款接收。"/>
        <s v="梅州双胞胎饲料有限公司，2026 年 2 月 3 日签订的《粮食销售合同（赊销）》(合同编号:YMZSJJY250228)_x000a_合同数量 1500 吨，合同单价 2420 元/吨，客户提货航安顺/2603，提货重量 1494.03 吨，经检测十四车共计 520.87_x000a_吨水分超出合同约定不符合合同约定标准（水分≤15%），一车 43.11 吨赤霉毒素超过合同约定标准（赤霉≤_x000a_200ppb）我司承担该批次下超标水分、赤霉 563.98 吨折合货款 8926.81元。"/>
        <s v="我司与海口金长城饲料有限公司于2026年1月26日签订的《粮食销售合同》（合同号：JZXYMHN260011），合同数量550吨，合同单价2480元/吨。截止目前共计执行553.705吨，执行完毕。该批货物在接卸过程中客户发现玉米水分超过合同约定标准，我司现场人员范闻超和工厂品管人员共同抽样，样品邮寄北方复测后，确认结果事实存在，复测水分15.2-15.5%。经双方友好协商，此批玉米共305.84吨，客户计划扣款7246.9元，经与客户协商，扣款5000元，折合单吨扣款16.35元/吨。"/>
        <s v="我司与南平华农恒青农牧有限公司于 2026 年2月10日签订《粮食销售合同》（合同编号：YMFJFZ260029），数量400吨，赊销，单价2450元/吨，合同约定水分≤15%，杂质≤1%，呕吐毒素≤1000ppb。该合同已累计提货397.25吨，客户2026年2月28日接收174.67吨玉米，存在提货杂质超标的情况。所提货物匹配船名：正海3/2601。_x000a_  经与客户多次协商沟通，客户对该批玉米扣款接收，其中174.67吨玉米，原产生商务扣款11608.13元，经双方多次协商扣款5804.06元（人民币伍仟捌佰零肆元零角陆分），折单吨扣款33.2元/吨（整笔合同折单吨扣款14.6元/吨）。我司在2月10日销售时，当日赊销指导价格2430元/吨，我司已加价20元/吨，可覆盖扣款。_x000a_     以是否可行，烦请领导批示，谢谢。"/>
        <s v="兹有我司与福建省金华龙饲料有限公司于2026年1月19日签订《粮食销售合同》，合同号:JCYMFJFZ250017-1，合同数量500吨，单价2378元/吨，该合同截止2月10日共计提货515.32吨，检测水分超标(合同约定水分≤15.9%，实测结果15.11%~15.5%)，已超出合同约定标准，经双方友好协商按15元/吨扣款，以上质量扣款合计7729.8元。_x000a_以上扣款对应兆丰6/2601(一体化粮源，经华正检验重新复测水分整体超标)，以上扣款是否可行，请领导批示。"/>
        <s v="兹有我司与福建省福清华龙饲料有限公司于2025年11月28日签订《粮食销售合同》，合同号:YMFJFZ250196，合同数量500吨，截止3月4日提货完毕，共计提货517.52吨，其中2026年1月19日至2026年1月29日提货397.59吨，其中提货165.6吨检测水分霉变超标(合同约定水分≤15.0%，霉变≤2%，实测结果15.54%~16.2%)，已超出合同约定标准，经双方友好协商按25元/吨扣款，以上质量扣款4140元;其中188.78吨检测水分霉变超标(合同约定水分≤15.0%，实测结果15.1%~15.5%)，已超出合同约定标准，经双方友好协商按15元/吨扣款，以上质量扣款2831.7元，该合同共计扣款6971.7元。折合合同扣款13.47元/吨。以上扣款玉米，实际对应兆丰6/2601(一体化粮源，经华正检验重新复测水分整体超标)以上扣款是否可行，请领导批示。"/>
        <s v="与广西诚轩粮汇贸易有限公司签订的《粮食销售合同》，合同号:JZXYMGXQZ260007，数量300吨，单价2490元/吨。客户于3月4日到3月5日提货到厂的以下箱号玉米水分超标，不符合合同质量标准，检测指标在15.4-15.9区间。发运计划号：JZXYMSZCG260008；运单：ZG26025109096；ZG26025109104；ZG26015060048，共10箱，301.80吨。经双方协商扣款让步接收，标准为8元/吨，合计金额2414.40元。"/>
        <s v="广西忠昇饲料有限公司 YMLDW2603033001玉米集装箱合同（1000吨，现金2490元/吨,钦州港自提)于3月4日至6日期间提货到厂出现水分超出合同标准情况（15.3-16.4）。发运计划号：JZXYMSZCG260008，运单：ZG26015060118,ZG26015060036,ZG26015060106,ZG26015060098,ZG26015060086,ZG26015060074,ZG26015060062,ZG26015060050,ZG26010008536共34箱，合计1023.42吨。客户原则上拒收，经过沟通，要求整体扣款27428.79元（折单吨27元/吨）并发出商函，经最终沟通后，本着长期友好合作理念，客户让步同意对该合同整体进行5元/吨扣款接收，合计扣款：5117.1元。"/>
        <s v="北流市响亮饲料有限公司 YMYXMM260008-1（合同量 3000 吨，单价 2420 元），签订日期为 2026_x000a_年 1 月 19 日，合同约定容重≥685g/L，呕吐毒素≤2000ug/kg，水分≤15.0%，杂质≤1.0%，霉变粒≤2.0%，_x000a_不完善粒≤10%，黄曲霉毒素 B1≤20μg/kg，玉米赤霉烯酮≤200μg/kg。该合同执行 2991.4 吨，2026 年 1_x000a_月 27 日-2026 年 1 月 31 日在中心大船“益嘉 98/2534”轮提货，711.58 吨呕吐毒素超标，在 2004.27pp_x000a_b-2135.38ppb，不符合同规定。经我司业务人员核实，检测结果确实存在。秉承长期友好合同原则，经我部_x000a_与客户多次友好协商后，申请扣款 20 元/吨，申请扣款金额合计 14231.6 元。成交时预留 5 元/吨溢价处理质_x000a_量扣款，预留价差可覆盖扣款。"/>
        <s v="北流市响亮饲料有限公司 YMYXMM260008-1（合同量 3000 吨，单价 2420 元），签订日期为 2026_x000a_年 1 月 19 日，合同约定容重≥685g/L，呕吐毒素≤2000ug/kg，水分≤15.0%，杂质≤1.0%，霉变粒≤2.0%，_x000a_不完善粒≤10%，黄曲霉毒素 B1≤20μg/kg，玉米赤霉烯酮≤200μg/kg。该合同执行 2991.4 吨，2026 年 1_x000a_月 23 日-2026 年 1 月 26 日在外采大船“锦江河/2523”轮提货，784.12 吨水分 15.21-15.46%，杂质 1.12_x000a_-1.38%，不符合同规定。经我司业务人员核实，检测结果确实存在。秉承长期友好合同原则，经我部与客户_x000a_多次友好协商后，申请扣款 20 元/吨，申请扣款金额合计 15682.4 元。该扣款情况已报备饲料原料部。"/>
        <s v="2026年2月10日签订的《粮食销售合同（赊销）》(合同编号:YMZSJJY250230)合同数量2000吨，合同单价2410元/吨，客户提货鑫泰128/2604，提货重量693.43吨，经检测十三车共计459.7吨赤霉烯酮（266-1099）、呕吐毒素(2300)超出合同约定不符合合同约定标准（赤霉烯酮≤200ppb、呕吐毒素≤2000ppb），我司承担该批次下超标水分459.7吨折合货款 9194元。"/>
        <s v="2026年1月7日签订的《粮食销售合同》(合同编号:YMZSJJY250216)合同数量5000吨，合同单价2400元/吨，客户提货国翔3/2540、锦航佰福/2532，该合同已累计交货4945.39吨，(其中1月26日4车车号:赣C1715D,重量34.26吨，车号:粤VT7065，重量34.47吨，车号:赣C2186D，重量35.75吨，车号:赣C3535D，重量38.12吨，1月27日2车车号:CU2823，重量33.1吨，车号:粤MA1287,重量35.36吨,2月10日4车车号:粤MR7785,重量34.55吨，车号:粤D28948，重量36.46吨，车号:粤VR5572，重量37.42吨，车号:赣C88710，重量42.57吨合计:362.06吨)到货玉米经检验杂质1.2%杂质和破碎粒超出合同约定指标(杂质≤1%)，不符合客户接受指标。针对该批次到厂不合格玉米，经双方友好协商处理后退货转扣款接收。_x000a_目前情况合计产生扣款3620.6元"/>
        <s v="2026年1月7日签订的《粮食销售合同》(合同编号:YMZSJJY250227)合同数量1000吨，合同单价2425元/吨，客户提货鑫泰128/2604，该合同己累计交货988.43吨，(其中2月26日3车车号:粤D28948，重量34.73吨，车号:赣COP948，重量34.72吨，车号:C7N331，重量36.2吨，3月8日2车车号:粤VZ1486，重量30.47吨，车号:C5615D，重量32.47吨，合计:168.59吨)到货玉米经检验杂质1.2%杂质和破碎粒超出合同约定指标(杂质≤1%)，不符合客户接受指标。针对该批次到厂不合格玉米，经双方友好协商处理后，退货转扣款接收。目前情况合计产生扣款1685.9元"/>
        <s v="苏州穗满德国际贸易有限公司，2026 年 1 月 27 日签订的《粮食销售合同》(合同编_x000a_号:JCYMZSJQY250043-2)合同数量 800 吨,合同单价 2439 元/吨,客户提货大船东星海泰/82（一_x000a_体化粮源），3.9 日，客户提货到厂，检测结果霉变、杂质超标，超出合同约定标准，申请扣款 19_x000a_元/吨，合计扣款 15041.16 元，由一体化承担。"/>
        <s v="一、运单 ASNJNSN250754887, 箱号 TELU2369392、TEMU1234924 和 GCXU2010844,该3个柜子，原先计划卖给开平市绿皇农牧发展有限公司(JZXYMZSJM25059、560、单价2280元)，合同签订日期2025年10月29日。因质量问题，绿皇退回给港口后，转卖给广州市天伟生物科技有限公司(JZXYMZSJM25069、84吨、单价1800元)，合同签订日期2025年11月13日。期间3个柜子共产生滞期费180*3=540元，当时由客户先行帮忙垫付以便接收柜子。因当时临近年末结算，不便冲销发票重新开票，双方经协商后，此费用在后续的JZXYMZSJM26026合同结算_x000a_中扣除。二、运单AQMHQKE260081920A，箱号ATHU1228154，原先计划卖给开平市绿皇农牧发展有限公司(ZXYMZSJM26017、535、单价2460元)，合同签订日期2025年3月3日。因质量问题，绿皇退回给港口后，转卖给广州市天伟生物科技有限公司(JZXYMZSJM26026、17.5吨、单价2200元)，合同签订日期2026年3月11日。_x000a_期间该柜子产生了重出重回的运费，共计780元，当时由客户先行帮忙垫付以便接收柜子，此费用在后续结算中扣除。_x000a_综上，共计540+780=1320元，现申请由我司承担，在JZXYMZSJM26026合同结算中扣除。"/>
        <s v="2026年2月6日我司与双胞胎集团签订内贸玉米合同，合同号:YMZSJDKHISBT2600017，单价分别为2400元/吨。客户提南沙港东星海泰/82货物，报32.06屯货物杂质超标，属于折价接收范围，单吨扣价10元"/>
        <s v="2026年2月11日我司与海大集团下属子公司签订内贸玉米合同，合同号:YMZSJHD260076,单价为2380元/吨。客户提南方地采-谷润/25199货物,报1096.92吨货物水分超标，在货物中挑拣出石块86.1KG，单吨扣价10元"/>
        <s v="合同在执行苏湾码头最后一公里配送的集改散玉米中因霉变超标产生了其商务纠纷，经多次协商对本合同执行的 2 车(桂R01608D、桂 R02918D)84.4 吨做扣款 422 元接收处理。另一车桂 R05931D 霉变指标较高，退回苏湾仓库。"/>
        <s v="JCYMGXXJ260002-1 合同在执行珠三角的福顺 338 中因杂质超标产生了_x000a_其商务纠纷，经多次协商对本合同执行的 12 车 455.47 吨，总计扣款 2277.4_x000a_元接收处理"/>
        <s v="JCYMGXXJ260004-2 合同在执行白沙码头最后一公里配送的长鑫 86 中_x000a_因水分超标产生了其商务纠纷，经多次协商对本合同执行的 15 车 748.82 吨_x000a_做扣款 3744.1 元接收处理（详细见附件一），对应扣款吨数折合单吨 5 元/_x000a_吨"/>
        <s v="我司与南平海大生物科技有限公司于 2026 年1月6日签订《粮食销售合同》（合同编号：YMFJFZ260005），数量540吨，单价2390元/吨，合同约定水分≤15%，杂质≤1%。该合同已累计提货537.54吨，客户2026年1月20日-2月11日接收288.03吨玉米，存在提货杂质超标严重的情况，部分水分超标。所提货物来源船名：兆丰6/2601。_x000a_经与客户多次协商沟通，客户对该批玉米扣款接收，共计288.03吨玉米，产生商务扣款14401.5元，（人民币壹万肆仟肆佰零壹元伍角），折单吨扣款50元/吨。该船玉米已与第三方检测人员一同检测，同时对于客户反馈的商务第一时间与第三方检测人员到工厂核实情况。客户原需退货处理，经多次协商，客户同意扣款接收。_x000a_     以是否可行，烦请领导批示，谢谢。"/>
        <s v="兹有我司与龙岩大北农生物科技有限公司于2026年02月04日签署生效的《粮食销售合同(赊销)》(合同编号:YMFJZZ260043)，合同数量300吨，合同单价2410元/吨，截止至2026年03月08日，该合同累计提货282.4吨，其中客户于2026年3月1日提货批次对应2车合计65.46吨玉米经检测水分超标，经双方友好协商，该批次货物由退货转扣款接收。以上情况合计产生扣款566.35元。"/>
        <s v="丰顺温氏家禽有限公司， 2026 年 2 月 5 日签订的《粮食销售合同（赊销）》(合同编号:YMZSJJY250229)_x000a_合同数量 2000 吨，合同单价 2410 元/吨，客户提货鑫泰 128/2604、航安顺/2603，提货重量 1981.94 吨，提_x000a_货时间2026年2月11日至3月9日，经检测二十六车共计 938.91 吨杂质、赤霉烯酮、黄曲霉毒素超出合同约定不_x000a_符合合同约定标准（赤霉烯酮≤200ppb 、黄曲霉毒素≤30ppb、杂质≤1） ，我司承担该批次下超标杂质、赤霉_x000a_烯酮、黄曲霉毒素 938.91 吨折合货款 28167.3 元"/>
        <s v="揭阳海大饲料有限公司，2026 年 1 月 27 日签订的《粮食销售合同》(合同编号:JCYMZSJJY250155-1)合同_x000a_数量 3000 吨，合同单价 2412.51 元/吨，客户提货鑫泰 128/2604，提货重量 2990.64 吨，经检测两车赣 DK8181、_x000a_赣 FC0156 共计 69.78 吨水分分别为 15.24%、15.18%超出合同约定不符合合同约定标准（水分≤15%），我司_x000a_承担该批次下超标水分 69.78 吨折合货款 348.9 元。"/>
        <s v="兹有我司与福建圣农发展（浦城）有限公司签订YMFJFZ260021号《粮食销售合同》，合同数量500吨，单价2550元/吨，截止3月15日，该合同实际送货509.74吨，接货509.96吨，质量扣款6400.5元，折合扣款12.55元/吨，该扣款为圣农杂质及不完善粒固定扣款，在销售合同时已预留12元/吨溢价进行销售，实际无损失。_x000a_以上扣款，是否可行，请领导批示。_x000a_"/>
        <s v="贵港瑞康饲料有限公司，于2026年1月28日签订的《粮食销售合同》(合同编号:YMZSJM26013、合同数量5000吨、合同单价2370元/吨，提货大船为南沙港的东星海泰/82。2026年3月3日送货至工厂的驰海5599船玉米，经客户质检部门检测，该船杂质超标:该船玉米共入库1598.06 吨，其中 836.36吨杂质占比例2.08%,不符合原合同质量标准杂质≤1%.杂质超标扣款合计:836.36 吨*(2.08%-1%)*2,370元/吨=21407.47元。此费用双方协商后，该笔扣款在结算时扣减，总扣减金额为21407.47元。"/>
        <s v="我司与南平华农恒青农牧有限公司于 2026 年2月24日签订《粮食销售合同》（合同编号：YMFJFZ260034），数量500吨，赊销，单价2475元/吨，合同约定水分≤15%，杂质≤1%，呕吐毒素≤1000ppb。该合同已累计提货507吨，客户2026年3月3日-3月13日接收362.22吨玉米，存在提货杂质超标的情况。所提货物匹配船名：正海3/2601。   经与客户多次协商沟通，客户对该批玉米扣款接收，其中362.22吨玉米，原产生商务扣款10385.18元，经双方多次协商扣款7269.63元（人民币柒仟贰佰陆拾玖元陆角叁分），折单吨扣款20元/吨（整笔合同折单吨扣款14.33元/吨）。我司在2月24日销售时，当日赊销指导价格2453元/吨，我司已加价22元/吨，可覆盖扣款。"/>
        <s v="我司与将乐温氏家禽有限公司于 2026年1月21日签订《粮食销售合同》（合同编号：YMFJFZ260011），数量1000吨，赊销，单价2515元/吨，合同约定水分≤15%，杂质≤1%。该合同已累计提货982.37吨，客户2026年3月1日-3月11日接收的230.02吨玉米，存在杂质粉尘超标。所提货物匹配船名：兆丰6/2601。    _x000a_     经与客户多次协商沟通，对杂质破碎超标的230.02吨玉米客户原定扣款25元/吨接收转为扣款15元/吨接收，产生商务扣款3450.3元（人民币叁仟肆佰伍拾元叁角），整笔合同折单吨扣款3.5元/吨。该船货物北方第三方检测人员一同到福州作卸船检测，相应的杂质超标情况已及时反应北方。"/>
        <s v="兹有我司与福州市农益森农业发展有限公司签订YMFJFZ260030号《粮食销售合同》，合同数量2000吨，单价2420元/吨，截止3月15日，该合同实际提货2098.58吨，在接货过程中，其中873.54吨存在杂质及水分超标情况(水分检验15.3-16%，杂质2-4%)，质量扣款21838.5元，折合扣款25元/吨，该部分数量对应兆丰6、炜业99，(2船检验报告均有杂质超标和水分超标检验报告)。"/>
        <s v="广东比利美英伟生物科技有限公司，2026 年 1 月 23 日签订的《粮食销售合同》(合同编_x000a_号 :JZXYMZSJQY260008) 合 同 数 量 500 吨 , 合 同 单 价 2470 元 / 吨 , 客 户 提 货 外 采 合 同 号_x000a_JZXYMSZCG260012，运单号 ZG26025090442_A、ZG26020055030，我司 3.2-3.5 日配送到厂，_x000a_其中 6 柜到厂检测呕吐毒素超标（合同约定呕吐毒素≤1000ppb），经与客户协商后，客户扣款接_x000a_收，明细如下，合计扣款 1950.42 元，经与品种线沟通，该部分扣款由上游承担。"/>
        <s v="兹有我司与南平鑫华港饲料有限公司于2025年11月28日签订《粮食销售合同》，合同号:YMFJFZ250194，合同数量2000吨，截止3月24日提货完毕，共计提货2000.09吨，其中2026年1月20日至2026年2月12日提货1392.02吨，其中检测水分、杂质超标(合同约定水分≤15.0%，实测结果15.21%~16.2%;合同约定杂质≤1%，实测结果2.1%~3.2%)，已超出合同约定标准，经双方友好协商按20元/吨扣款，以上质量扣款27840.4元。_x000a_以上扣款玉米，实际对应兆丰6/2601(一体化粮源，经华正检验重新复测水分整体超标)以上扣款是否可行，请领导批示。"/>
        <s v="清远加乐饲料有限公司于2026年2月10日签订的《粮食销售合同》(合同编号:JZXYMZSJQY260018)合同数量330吨,合同单价 2460 元/吨,客户提货外采合同号JZXYMSZCG260012，运单号ZG26025090454，我司配送到厂，其中10柜到厂检测呕吐毒素、水分超标，(合同约定呕吐毒素≤1000ppb,水分≤15%)经与客户协商后，客户扣款接收，合计扣款9787.76元，已经沟通品种线，该部分扣款由上游承担。"/>
        <s v="我司于2025年11月4日与广东正钱饲料有限公司签订内贸玉米合同，编号YMZSJDKHLY250166，数量2000吨，单价2190元/吨。_x000a_客户于新沙港安丰09/2604提货，提单号XSAF0926007，因工厂卸货时其中一车到货30.74 吨卸出砖块，砖块称重共0.026吨。因对客户成品以及口碑造成影响，将该部分重量折合扣价0.026*2190=56.94元，剩余30.714吨玉米按 10 元/吨处理费扣价30.714*10=307.14元，合计需扣价:56.94+307.14=364.08元。"/>
        <s v="我司于2025年11月4日与清远正清源畜牧实业有限公司签订内贸玉米合同，编号YMZSJDKHLY250168，数量2000吨，单价2190元/吨。客户于新沙港长鑫86提货，提单号XSCX8625041，共计提货四车122.74吨。因工厂检测呕吐毒素偏高，综合平均呕吐毒素1928.94ppb。因对客户成品以及口碑造成影响，扣价10元/吨，需扣价: 122.74*10=1227.4元。"/>
        <s v="我司与正大原料供应有限公司于 2025 年1月22日签订《粮食销售合同》（合同编号：YMFJFZ260017），数量 500 吨，单价2460元/吨，合同约定杂质≤1%，不完善粒≤8%，呕吐毒素≤1000ug/kg。 客户于2026年2月5日-3月10日提货的498.09吨玉米存在杂质、水分、呕吐毒素超标情况。其中第二批接货83.83吨，合计产生扣款1295.28元。_x000a_整批合同提货的498.09吨玉米存在杂质、水分、呕吐毒素超标情况，共计扣款11793.57元（大写：人民币壹万壹仟柒佰玖拾叁元伍角柒分），折单吨23.67元。所提货物匹配船名：兆丰6/2601。_x000a_2026年1月22日的指导价格2437元/吨，有23元/吨的溢价销售，同时对于兆丰6/2601的玉米，北方第三方检测华正已派人到现场进行共同检测，该批到货玉米实际存在杂质、水分超标的情况。_x000a_      以上扣款请领导批示，谢谢。"/>
        <s v="我司于2026年2月9日与正大康地(广州番禺)有限公司签订内贸玉米合编号YMZSJDG26016,合同数量2500吨,单价2405元/吨。客户于2026年3月18号-21号于新港南方地采-首裕/26010提货，提单号NFDCSY2601002,因工厂检测抽检,其中414.66 吨水分为15.31%-15.49%不符合合同约定标准，经过双方友好协商，其中128.98 吨水分为15.31%，按9元/吨扣款接收，水分为15.49%的285.68吨，按14元/吨扣款接收。即总共扣款128.98吨*9元/吨+285.68吨*14元/吨=5158.66元"/>
        <s v="我司于2026年1月16日与佛山市顺德区利宝饲料有限公司签订内贸玉米合同，编号 YMZSJDG26011，合同数量 4000吨，单价2345元/吨该合同为配送合同，结算数为3847.815吨，提单号NSDXHT8126027和NSDXHT8226002按照港口磅单结算。提单号NSDXHT8126027，损耗989.458吨*千分之 2=1.979 吨，我司承担16.345 吨，结算数 973.113 吨;提单号NSDXHT8226002，损耗958.93吨*千分之 2=1.918吨，我司承担 40.434 吨结算数为 918.496 吨。"/>
        <s v="我司于2026年1月30日与广州番禺灵川饲料有限公司签订内贸玉米合同，编号 YMZSJDG26050，合同数量700吨，单价2338元/吨。_x000a_客户2026年3月13号于麻涌港南方地采-谷润/25199提货，提单号NFDCGR26019，码头实装数598.30吨，我实收数596.45吨，差异1.85吨，损耗率0.3%，超出0.1%损耗(即0.6吨*2338元/吨=1402.8元)。因该合同为配送合同，申请在货款中扣除1402.8元(附扣款商函(备注:其中1402.8元损失，烦请物流仓储部在与物流公司结算中扣_x000a_除)"/>
        <s v="我司与漳州市海扬饲料有限公司于2026年02月03日签署生效的《粮食销售合同（赊销）》（合同编号：YMFJZZ260035)，合同数量1300吨，合同单价2420元/吨，截止至2026年03月18日，该合同累计提货1282.36吨，客户于2026年3月11日至3月17日提货批次玉米经检测杂质超标（均超出合同约定标准），合计提货1282.36吨，对应船名：信耀/2604；"/>
        <s v="我司与漳州市海力饲料有限公司于2026年02月03日签署生效的《粮食销售合同（赊销）》（合同编号：YMFJZZ260036)，合同数量700吨，合同单价2420元/吨，截止至2026年03月17日，该合同累计提货686.68吨，其中客户于2026年3月04日至3月17日提货玉米杂质严重超标（均超出合同约定标准），合计质量扣款5704.780元，对应船名：信耀/2604"/>
        <s v="清远大北农生物科技有限公司，2026年1月23日签订的《粮食销售合同》(合同编号:YMZSJQY260021)合同数量1500吨,合同单价2445元/吨,客户提货大船国家能源611/2603,3.7-3.8日，客户提货到厂，其中五车(161.86吨)检测杂质超标，超出合同约定标准2%,经与客户协商后，客户扣款接收，明细如下，协商后，合计扣款1618.6元"/>
        <s v="黄敏杰，于2025年11 月25日签订的《玉米销售合同》(合同编号:JZXYMZSJJM25078,同数量330吨、合同单价2415元/吨，柜子数为18柜，提货港口为四会永泰港。因四会永泰港口的要求，每个柜子的过磅费为10元/柜，一共产生了10x18=180元的过磅费，该费用由黄敏杰进行代付。因当时临近年末结算，不便冲销发票重新开票，双方经协商后，此费用在后续的JZXYMZSJJM26037合同结算中扣除。"/>
        <s v="兹有我司与南平市丰源饲料有限公司于2026年1月19日签订《粮食销售合同》，合同号:YMFJFZ260008，合同数量1000吨，单价2370元/吨，该合同累计提货995.33吨，其中139.58吨检测杂质、水分超标(合同约定杂质≤1%，实测结果2%-4%;合同约定水分≤15%，实测结果15.39%-15.42%)，已超出合同约定标准，经双方友好协商按30元/吨扣款，以上质量扣款合计4187.4元。以上扣款玉米，实际对应兆丰6/2601(一体化粮源，经华正检验重新复测水分整体超标)以上扣款是否可行，请领导批示。"/>
        <s v="兹有我司与宁德鑫华港饲料有限公司于2026年1月23日签订《粮食销售合同》，合同号:YMFJFZ260013,合同数量1000吨，单价2405元/吨，该合同累计提货923.59吨，对应船名:兆丰6/2601，其中449.88吨检测杂质、水分超标(合同约定杂质≤1%，实测结果2%-4.1%;合同约定水分≤15%，实测结果15.39%-15.78%)，已超出合同约定标准，经双方友好协商按20元/吨扣款，以上质量扣款合计8997.6元。_x000a_以上扣款玉米，实际对应兆丰6/2601(一体化粮源，经华正检验重新复测水分整体超标)以上扣款是否可行，请领导批示。"/>
        <s v="兹有我司与圣农发展（政和）有限公司签订YMFJFZ260063号《粮食销售合同》，合同数量1000吨，单价2630元/吨，截止3月25日，该合同实际送货962.74吨，接货961.35吨，质量扣款12893.4元，折合扣款13.41元/吨，该扣款为圣农杂质及不完善粒固定扣款，在销售合同时已预留10元/吨溢价进行销售，实际扣款3.41元/吨。"/>
        <s v="兹有我司与福建省金华龙饲料有限公司于2026年2月24日签订《粮食销售合同》，合同号:YMFJFZ260035，合同数量600吨，单价2450元/吨，该合同截止3月25日共计提货622.69吨，检测杂质、水分超标(合同约定≤1%，实测结果1.8%-3.01%杂质，合同约定水分≤15%，实测结果15.11%-16.07%)，已超出合同约定标准，经双方友好协商按25.43元/吨扣款，以上质量扣款合计15835元。以上扣款对应兆丰6/2601(一体化粮源，经华正检验重新复测杂质、水分整体超标)，以上扣款是否可行，请领导批示。"/>
        <s v="2026年3月23日我司与广东新粮实业有限公司新粮饲料厂签订内贸玉米合同，合同号:YMZSJJM26024,单价为2510元/吨。客户提新沙港国家能源608/2607货物，报996.588吨货物杂质超标，属于折价接收范围，以上扣款涉及商务扣款数量996.588吨。总扣款金额为9965.88元，折单吨扣款为10元。"/>
        <s v="兹有我司与福建省邵武市华龙饲料有限公司于2026年1月30日签订《粮食销售合同》，合同号:YMFJFZ260020，合同数量1000吨，单价2390元/吨，该合同截止3月15日共计提货999.92吨，其中413.34吨检测杂质、71吨水分超标(合同约定杂质≤1%，实测结果1.7%-3.6%，合同约定水分≤15%,实测结果15.41%-15.72%),已超出合同约定标准，经双方友好协商质量扣款合计12073.69元。"/>
        <s v="兹有我司与福建省金华龙饲料有限公司于2026年1月28日签订《粮食销售合同》，合同号:YMFJFZ260018，合同数量1300吨，单价2420元/吨，交货期截止2026年3月31日。该合同截止3月20日共计提货1364.83吨,其中524.42吨检测杂质、水分超标(合同约定杂质≤1%，实测结果1.7%-2.98%，合同约定水分≤15%，实测结果15.54%-16.11%)，已超出合同约定标准，经双方友好协商按25元/吨扣款，以上质量扣款合计13135.5元。_x000a_以上扣款对应炜业99/2604(一体化粮源，经华正检验重新复测杂质、水分整体超标)，以上扣款是否可行，请领导批示。"/>
        <s v="我司与福建省莆田市新兴达饲料有限公司签订《粮食销售合同》（合同编号：JZXYMFJFZ250092），数量1650吨，单价2535元/吨，合同约定呕吐毒素≤1000ug/kg。该合同已累计接货1598.16吨，客户2026年1月22日-1月23日接收两柜玉米，经检测存在呕吐毒素超标。经与客户多次协商沟通，客户对毒素超标的两柜玉米扣款接收，产生商务扣款1593.45元（人民币壹仟伍佰玖拾叁元肆角伍分），折价约1元/吨，该合同在销售时已加价保毒素15元/吨，可覆盖扣款，以上是否可行，烦请领导批示，谢谢。"/>
        <s v="与钦州播恩生物技术有限公司签订的《粮食销售合同》，合同号：YMGXQZ260030，数量1500吨，单价2510元/吨，3月18－31日提“大禹长航/V2607”轮散装玉米，其中有14车共466.96吨呕吐毒素指标超出合同约定标准1500，客户原则上拒收。经双方协商同意，做商务扣款让步接收，合计扣款金额2679.28元，合同折单吨扣款1.78元，客户有预留5元/吨商务，溢余3.22元/吨。（附商函及检测报告已收悉）"/>
        <s v="于 2026 年 3 月 3 日签订 2000 吨粮食销售合同（合同编号：YMZSJJY250232）_x000a_合同单价 2506 元/吨，2026 年 3 月 18 日-2026 年 4 月 15 日,提货数量 1971.46 吨，提货鑫泰_x000a_128/2604、锦航奋进/2605。经客户品管检测，此批玉米杂质 1.4-2 超出合同约定标准（杂质≤1）。其中 2026_x000a_年 4 月 15 日最后一车玉米水分 15.46，超出合同指标（水分≤15），影响使用。经双方协商， 一致统一做扣_x000a_款处理。合计扣款 41388.13 元。该合同签订已预留 11 元/吨作扣款处理。_x000a_经双方友好协商处理后，退货转扣款接收，合计扣款 41388.13 元 折合 20.99 元/吨"/>
        <s v="于 2026 年 3 月 6 日签订《粮食销售合同》(合同编号:YMZSJJY250234)，数_x000a_量 2000 吨，单价 2485 元/吨，该合同于 2026.3.22-3.27 己累计交货 1994.54 吨，提货鑫泰 128/2604，(其中_x000a_3 月 26 日 1 车 车号:赣 CR0596，重量 34.84 吨，3 车号:赣 CR0596，重量月 27 日 7 车车号:粤 V75300，_x000a_重量 33.03 吨，35.44 吨， 车号:粤 VN1708，重量 35.74 吨，车号:赣 C6068W，重量车号:赣 C2668D，重_x000a_量 36.13 吨，车号:赣 K65118，重量 36.85 吨，36.92 吨，车号:闽 FB9509，重量 37.04 吨，合计:285.99 吨)_x000a_到货玉米经检验杂质 1.2%杂质和破碎粒超出合同约定指标(质≤1%)，不符合客户接受指标。针对该批次到厂不_x000a_合格玉米，经双方友好协商处理后，退货转扣款接收。合计扣款 2859.9 元 。"/>
        <s v="广东粮品农产品经营有限公司，2026 年 4 月 7 日签订的《粮食销售合同》(合同编号:JZXYMZSJJM26039)，合同数量_x000a_555 吨，合同单价 2490 元/吨。对应提货计划号：YHSZ-26-020926-1、YHSZ-26-020926 和 YHSZ-26-020914-2；运_x000a_单号：ABUGWBX260162013A、Q091390576、Q091432280 和 Q091432281，货物提货地点为新会新港。_x000a_该批次货物送达客户厂区后，经进厂检验反馈，货物霉变、热损指标超标，综合不合格占比超 5%。我司联合华正工_x000a_作人员共同赴现场开箱复检，核实质量异常问题属实，已不满足合同正常交付使用标准。_x000a_经双方友好沟通协商，现就本次质量问题达成扣款处理方案：该批货物实际卸货净重 549.685 吨，按 122.65 元 / 吨_x000a_标准进行扣款，合计扣款金额：67418.87 元。"/>
        <s v="广东粮品农产品经营有限公司，2026 年 4 月 21 日签订的《粮食销售合同》(合同编号:JZXYMZSJJM26046)，合同数_x000a_量 550 吨，合同单价 2460 元/吨。对应提货计划号：YHSZ-26-041713，运单号：AJSLYNF260198708A 和_x000a_AJSLYNF260204033A，货物提货地点为四会南江港。_x000a_合同质量指标为：容重≥710g/L，水分≤15.0%，杂质≤1.0%，霉变粒≤2.0%，不完善粒≤8%，热损≤2%。_x000a_货物送达客户厂区后，经第三方检测出具结果，共计 20 柜的综合样品查出水份测值为 16.31%-16.46%区间，超合同_x000a_约定限值，质量指标不达标。_x000a_经双方协商同意，做商务扣款让步接收，合计扣款金额 7164.75 元，合同折单价扣款 2.91 元。（已附扣款函及检测报_x000a_告已收悉）"/>
        <s v="双胞胎（集团）股份有限公司 YMYXMM260086（合同量 5000 吨，单价 2490 元），签订日期为 20_x000a_26 年 3 月 2 日，该合同共执行 4835.89 吨。2026 年 4 月 7 日-2026 年 4 月 19 日在中心一体化粮源大船“炜_x000a_业 58/2608”轮提货中反馈 1838.96 吨水分 15.29%-15.58%，平均 15.4%左右，合同约定水分≤15.0%，不_x000a_符合同规定。经我司业务人员核实，检测结果确实存在。秉承长期友好合同原则，经我部与客户多次友好协_x000a_商后，申请扣款 11.5 元/吨，申请扣款金额合计 21148.04 元"/>
        <s v="双胞胎（集团）股份有限公司 YMYXMM260095（合同量 3000 吨，单价 2510 元），签订日期为 20_x000a_26 年 3 月 6 日，该合同共执行 2983.72 吨。2026 年 4 月 1 日-2026 年 4 月 8 日在外采大船利泰朝阳/2606_x000a_（供应商：京粮（盘锦）港口物流有限公司）提货中反馈 988.46 吨水分实测在 15.11%-15.29%之间；2026_x000a_年 4 月 6 日-2026 年 4 月 16 日在中心一体化粮源大船“炜业 58/2608”轮提货中反馈 822.92 吨水分 15.30%_x000a_-15.56%，平均 15.4%左右，合同约定水分≤15.0%，不符合同规定。经我司业务人员核实，检测结果确实存_x000a_在。秉承长期友好合同原则，经我部与客户多次友好协商后，平均扣款 8 元/吨，（988.46+822.92）吨*8_x000a_元=14491.04 元，申请扣款金额合计 14491.04 元"/>
        <s v="梅州海大生物科技有限公司，于 2026 年 1 月 27 日签订 2000 吨粮食销售合同（合同编号：_x000a_JCYMZSJJY250156-1）合同单价 2412.51 元/吨，2026 年 2 月 10 日-2026 年 3 月 14 日,提货数量_x000a_1972.81 吨，提货锦航发展/2602、锦航奋进/2605。经客户品管检测，此批玉米 17 车共计 624.16 吨水分超出_x000a_合同约定标准（水分≤15%），影响使用。经双方协商， 一致统一做扣款处理。合计扣款 3120.8 元。_x000a_经双方友好协商处理后，退货转扣款接收，合计扣款 3120.8 元 折合 5 元/吨"/>
        <s v="箱号CSNU3066845，箱重27.21吨，客户提货到下游后发现烘伤粒、玉米霉变率过高死，霉味重，水份偏高同时伴有发热，下游退货回来，我方也到达现场取样查看，发现问题确实，后经沟通，客户让步接收，进行转卖，需要补回客户运费及作整箱扣款接收处理，每吨扣款80元处理，"/>
        <s v="兹有我司与正大原料供应有限公司于2026年03月31日签署生效的《粮食销售合同（赊销）》（合同编号：YMFJZZ260057)，合同数量500吨，合同单价2560元/吨，， 经双方友好协商，正大对该批次货物进行折价接收，以上情况合计产生扣款4,589.52元。（人民币肆仟伍佰捌拾玖元伍角贰分），该批次累计提货489.75吨，合计折单吨扣款9.37元/吨。"/>
        <s v="兹有我司与漳州市海扬饲料有限公司（以下简称“漳州海扬”）于2026年03月20日签署生效的《粮食销售合同（赊销）》（合同编号：YMFJZZ260059)，合同数量2000吨，合同单价2510元/吨，与漳州市力饲料有限公司（以下简称“漳州海力”）于2026年03月20日签署生效的《粮食销售合同（赊销）》（合同编号：YMFJZZ260060），合同数量1000吨，合同单价2510元/吨； 漳州海扬、漳州海力对该批次货物进行折价接收，漳州海扬经过协商该批次最终扣款26,466.00元（单吨扣款约13.34元/吨），漳州海力经协商该批次最终扣款9,631.50元（单吨扣款约9.72元/吨），以上2笔商务总计产生扣款36,097.5元，折单吨扣款约12.13元/吨。"/>
        <s v=" 兹有我司与中牧（上海）粮油有限公司于2026年04月10日签署生效的《粮食销售合同》（合同编号：YMFJZZ260069)，合同数量1000吨，合同单价2460元/吨，截止至2026年05月05日，合同已提货完毕，客户于2026年4月30日至5月5日提货批次玉米713.38吨经检测杂质、水份超标，对应船名：德勤68/2611（外采粮源）"/>
        <s v="_x000a_饲料原料部：_x000a_广州市禾润兴饲料有限公司，2026 年 4 月 3 日签订的《粮食销售合同》(合同编号:JZXYMZSJJM26038)，合同数量_x000a_450 吨，合同单价 2490 元/吨，客户提货计划号 YHSZ-26-020926，运单号 Q091432570。合同质量标准为：容重≥710g/L，水分≤15.0%，杂质≤1.0%，霉变粒≤2.0%，不完善粒≤8%，热损≤2%。_x000a_该批次货物送达客户厂区后，经进厂检验反馈，货物热损指标超标，综合样品热损伤率达 4.7%。我司联合华正工作人_x000a_员共同赴现场开箱复检，核实质量异常问题属实，已不满足合同正常交付使用标准。_x000a_经双方友好沟通协商，现就本次质量问题达成扣款处理方案：该批货物实际卸货净重 446.5 吨，扣款金额为 45000，_x000a_合同折单价扣款 100.78 元。（已附扣款函及检测报告已收悉）_x000a_此次费用JZXYMZSJJM26038合同结算扣除15936元；JZXYMZSJJM26040合同结算扣除29064元。"/>
        <s v="2026年3月19日签订的的散粮合同，广东嘉好农产品有限公司，合同号 YMYXZJ260058（2000吨，单价2550元/吨），配送到厂合同，合同质量标准为：容重≥690g/L，水分≤15.0%，杂质≤1.0%，霉变粒≤2.0%，不完善粒≤10%。_x000a_其中在给客户配送合盛顺达/2607船货物时，车牌粤GH9239（30.82 吨，水分 15.30%）、粤G43055（30.5吨，水分15.14%），合计61.32吨，到厂后工厂反馈水分均超合同15%标准，由于合盛顺达/2607在到港时我方就发现水分超标，有石头子，并已报送过饲料部，同时对上游京粮扣款63957.24元，故客户反馈问题是属实存在的。_x000a_经双方友好沟通协商，客户让步接收，合计扣款346.1元。_x000a_请领导批示。"/>
        <s v="兹有我司与莆田温氏家禽有限公司于 2026 年 4 月 10 日签订《粮食销售合同_x000a_（赊销）》，合同号：YMFJFZ260113，合同数量 1000 吨，单价 2510 元/吨，该合_x000a_同截止 4 月 21日共计提货 991.96 吨，其中 482.62 吨检测水分、杂质超标(合同约_x000a_定水分≤15.0%，实测结果 15.13%-15.48%；合同约定杂质≤1.0%，实测结果 1.45_x000a_%-2.05%)，已超出合同约定标准，经双方友好协商扣款 20 元/吨，以上质量扣款_x000a_合计 9652.4 元。_x000a_以上扣款对应恒顺达 8/2607，以上扣款是否可行，请领导批示"/>
        <s v="高州市安佑生物科技有限公司 YMYXMM260109（合同量 500 吨，单价 2510 元），签订日期为 2026_x000a_年 3 月 11 日，该合同共执行 497.04 吨。2026 年 4 月 4 日-2026 年 4 月 8 日在外采大船“锦富航 69/2608”_x000a_（供应商：北京京粮谷润贸易有限公司）提货中，反馈 60.98 吨水分实测在 15.31%-15.54%之间、杂质实测_x000a_1.45%-1.58%，不符合同规定。经我司业务人员核实，检测结果确实存在。秉承长期友好合同原则，经我部_x000a_与客户多次友好协商后，申请扣款 30 元/吨，60.98 吨*30 元=1829.4 元，申请扣款金额合计 1829.4 元。该_x000a_扣款情况已跟饲料原料部报备，由饲料原料部向供应方扣款弥补我司损失。"/>
        <s v="兹有我司与圣农发展（政和）有限公司签订YMFJFZ260097号《粮食销售合同》，合同数量1000吨，单价2630元/吨，截止4月11日，该合同实际送货1023.8吨，接货1022.59吨，质量扣款13649.7元，折合扣款13.35元/吨，该扣款为圣农杂质及不完善粒固定扣款，在销售合同时已预留10元/吨溢价进行销售，实际扣款3.35元/吨。_x000a_以上扣款，是否可行，请领导批示。"/>
        <s v="兹有我司与福建圣农发展（浦城）有限公司签订YMFJFZ260062号《粮食销售合同》，合同数量3000吨，单价2610元/吨，截止4月11日，该合同实际送货2877.46吨，接货2873.33吨，质量扣款37401.3元，折合扣款13.02元/吨，该扣款为圣农杂质及不完善粒固定扣款，在销售合同时已预留10元/吨溢价进行销售，实际扣款3.02元/吨。_x000a_以上扣款，是否可行，请领导批示。"/>
        <s v="现有于贵港市万千饲料有限公司签署的集改散玉米合同在执行过程中因_x000a_霉变率超标产生了相应的商务问题，具体如下在执行 YMGXXJ260030 合同中，车号桂 R11798 万千提货到厂检测霉变_x000a_率超标产生了其商务纠纷（已邮寄第三方检测，并出结果），经多次协商对_x000a_本车中的 21.3 吨扣款 30 元/吨接收处理（详细见附件一），总计扣款 639_x000a_元。特此说明。"/>
        <s v="我司于 2026年4月 10日和佛山市顺德区利宝饲料有限公司签订粮食销售合同，(合同量:2000 吨、单价:2460 元/吨)_x000a_客户于2026年4月28日在深粮码头南方地采-谷润/26003 提取玉米,数量 997.756吨。工厂抽样检测发现该船玉米杂质&gt;8%，不符合合同约定标准，经过双方友好协商，997.756 吨按照 20元/吨扣款接收，即总共扣款 20 元/吨*997.756 吨=19955.12元"/>
        <s v="我司于2026年3月30日与阳江海大饲料有限公司签订内贸玉米合同YMYXYJ260054，签订主体:中粮贸易(深圳)有限公司，合同量3900吨，合同单价2532元/吨，执行量3879.44吨。2026年4月18日-2026年5月18日在外采大船：柯兴发展/2606提货中反馈，该批货物有993.86吨水分超标，检测水分15.23%-15.45%，经我司业务人员核实，检测结果确实存在。考虑到双方后期的长期友好合作，对该批货物做折价7.5元/吨处理，总计7453.95元，在货款中扣除。该批次商务扣款，已扣除供应商对应款项。"/>
        <s v="清远大北农生物科技有限公司，2026年4月17日签订的《粮食销售合同》(合同编号:JZXYMZSJQY260049，合同数量500吨,合同单价2500元/吨),客户提货计划号YHSZ-26-041720，运单号Q091889680，其中一柜检测结果杂质超标，超出合同约定标准，申请扣款5元/吨，合计扣款133.6元，由一体化承担。"/>
        <s v="兹有我司与福建省福清华龙饲料有限公司于2026年1月29日签订《粮食销售合同》，合同号:JCYMFJFZ250065-1，合同数量500吨，单价2402元/吨，该合同截止4月05日共计提货521.51吨，其中提货290.85吨，检测杂质、水分超标(合同约定杂质≤1%，实测结果1.2%-2.9%;合同约定水分≤15%，实测结果15.46%-15.78%)，已超出合同约定标准，经双方友好协商按28.94元/吨扣款，以上质量扣款合计8416.76元。对应船名:铭宏发展/2603。以上扣款是否可行，请领导批示。"/>
        <s v="广州顺泽粮食贸易有限公司，2026年4月15日签订的《粮食销售合同》(合同编号:ZXYMZSJQY260044，合同数量1500吨,合同单价2482元/吨)，客户提货计划号YHSZ-26-020916-4, YHSZ-26-041719-2, 运单号 ZG26035513310_F, ZG26030512108, 明细如下，北方发运点为红透山，到厂发现玉米发热发霉，扣款90元/吨，红透山货物已反馈向北方追溯，合计扣款18982.7元由北方承担。"/>
        <s v="广州顺泽粮食贸易有限公司，2026年4月15日签订的《粮食销售合同》(合同编号:ZXYMZSJQY260043，合同数量1500吨,合同单价2482元/吨),客户提货计划号YHSZ-26-020916-4, YHSZ-26-041719, 运单号 ZG26035513310 B, AJSLKYN260204146,ZG26035513310，明细如下，北方发运点为红透山，到厂发现玉米发热发霉，扣款90元/吨，红透山货物已反馈向北方追溯，合计扣款22825.7元由北方承担。"/>
        <s v="广州顺泽粮食贸易有限公司，2026年3月13日签订的《粮食销售合同》(合同编号:JZXYMZSJQY260027，合同数量2000吨,合同单价2527元/吨)，客户提货计划号YHSZ-26-020916-2,运单号 Q091237512,其中三柜(CSNU1449830,TEMU3085497,CSNU1683283)检测结果容重较低，超出合同约定标准，申请扣款10元/吨，合计扣款814元，由一体化承担。_x000a_广州顺泽粮食贸易有限公司，2026年3月13日签订的《粮食销售合同》(合同编号:JZXYMZSJQY260026，合同数量1700吨,合同单价2527元/吨)，客户提货计划号YHSZ-26-011509,YHSZ-26-020916-2,运单号Q090753130,Q091237511,,合i计扣款 2877.9元，由一体化承担。"/>
        <s v="广州顺泽粮食贸易有限公司，2026年3月19日签订的《粮食销售合同》(合同编号:JZXYMZSJQY260029，合同数量1500吨,合同单价2537元/吨),客户提货计划号YHSZ-26-041719-2,运单号Q092186410,柜号FCIU5432244,北方发运点为红透山，到厂发现玉米发热发霉，扣款90元/吨，红透山货物已反馈向北方追溯，扣款2175.2元由北方承担。计划号YHSZ-26-041719-2, 运单号 WBYNA264X0412-3, 柜号 TGBU2443615、 TGBU2710326,柜子有漏洞漏水，造成内部货物发霉。报保险处理，扣款55.6*500元=27800元，在结算中扣除，由保险公司承担。合计扣款29975.2元"/>
        <s v="2026 年 4 月 8 日，我部在桂林西站向桂林市漓源粮油饲料有限责任公司执行的内贸玉米铁路入_x000a_关业务，合同号：JZXYMGXXJ26002，数量 2000 吨，单价 2528 元/吨。_x000a_该批货物由长春经营部往桂林西站发运，在执行到箱号 TBJU3375243、TBJU1257555 时出现出_x000a_现玉米生霉、箱底粘底情况（单柜重量平均在 31 吨左右），我部人员现场确认以上情况，并且同步_x000a_反馈给长春经营部，最终决定将生霉部分做扣重处理，数量 0.35 吨，已于长春经营部确认处理方_x000a_式。"/>
        <s v="广西自贸区丰禧供应链管理有限公司，合同号：YMLDW260325004,数量1000吨，单价：2540元/吨。客户提货计划号：YHSZ-26-041705-2，运单：Q092769780。北方装货库点：鑫封缘，营口港5月8日发出，17日到港。客户18－19日陆续提箱，发现存在较大质量问题：主要是粉尘大、杂质多。经双方协商同意，对已提的5个箱共138.385吨，扣款40元/吨处理，合计金额5535.40元。"/>
        <s v="我司于2026年5月8日与阳江市富民饲料有限公司签订内贸玉米合同YMYXYJ260075，签订主体:中粮贸易(深圳)有限公司，合同量500吨，合同单价2512元/吨，执行量477.48吨。2026年5月20日在外采大船：柯兴发展/2606提货中，反馈该批货物有391吨水分超标，且有霉味，检测水分15.26%-15.41%，经我司业务人员核实，检测结果确实存在。考虑到双方后期的长期友好合作，对该批货物做折价7.5元/吨处理，总计2932.5元，在货款中扣除。该批次商务扣款，已扣除供应商对应款项。_x000a_是否可行，烦请领导批示，谢谢！"/>
        <s v="我司于2025年1月27日和播恩集团股份有限公司签订粮食销售合同(合同量:500吨、单价:2423 元/吨)客户于2026年2月11日在新沙国家能源611/2603提取玉米，数量483.1吨。工厂抽样检测发现该船玉米62.86吨毒素检测超标，不符合合司约定标准，经过双方友好协商，62.86吨按照10元/吨扣款接收，即总共扣款10元/吨*62.86 吨=628.60元(附扣款函)因JCYMZSJDG25054-1已结算完毕，申请在后续合同YMZSJDG26035中扣除该笔货款。在YMZSJDG26035合同扣除628.60元。"/>
        <s v=" 兹有我司与正大原料供应有限公司于2026年04月02日签署生效的《粮食销售合同（赊销）》（合同编号：YMFJZZ260063)，合同数量2000吨，合同单价2565元/吨，截止至2026年05月15日，该合同累计提货1995.20吨，客户于2026年4月14日至5月10日提货批次玉米检测杂质超标、不完善超标，对应船名：弘泰818/2605（一体化粮源）"/>
        <s v="    兹有我司与正大原料供应有限公司于2026年04月15日签署生效的《粮食销售合同》（合同编号：JZXYMFJZZ260020)，合同数量3000吨，合同单价2550元/吨，截止至2026年05月14日，该合同累计提货2994.76吨，客户于其中2026年4月23日至4月24日提货2柜集装箱玉米检测水份超标，超出合同约定标准，对应箱号：CSNU3046113（提单号：Q091496351）、ZGXU2570803（提单号：ZG26035562172_C），对应集装箱粮源；"/>
        <s v="我司与正大原料供应有限公司于 2026年5月11日签订《粮食销售合同（赊销）》（合同编号：JZXYMHN260071），数量 500吨，单价2555元/吨（送到厂价）。容重≥700g/L，水分≤15%，霉变 ≤2%，杂质≤1%，呕吐毒素≤1000ppb，赤霉烯酮≤150ppb，黄曲霉素≤20ppb，蛋白≥7%。_x000a_客户于5月25日开始收货，截止目前共执行4柜107.62吨，此批货物接货过程中客户反馈其中箱号为CSNU3388733内玉米呕吐毒素、赤霉烯酮超出合同约定标准，检测结果为赤霉烯酮818.2μg/kg，呕吐毒素1532ug/kg，沟通客户重新取样复测，复测结果赤霉烯酮798.1μg/kg，呕吐毒素1275ug/kg。后我司现场人员范闻超、姜程介赴工厂与工厂品管人员共同抽样检测，检测结果依旧超标，检测结果赤霉烯酮381.6μg/kg，呕吐毒素430ug/kg。经沟通，此柜货物计划按如下方案处理：集装箱内未卸货物不再接收，转由海南恩希实业有限公司JZXYMHN260070合同执行，按实际收货数量结算，期间不产生退货费用。已卸货进入流程约11.3吨玉米厂方协商扣款30元/吨让步接收。我方与正大JZXYMHN260071合同仍在执行中，后续如遇上述问题，继续按照此方案处理。_x000a_此柜玉米共合计扣款339元，折合单吨扣款12.49元，销售时溢价30元/吨，可覆盖此单商务扣款。"/>
        <s v="我司与正大原料供应有限公司于 2025 年2月10日签订《粮食销售合同》（合同编号：YMFJFZ260028），数量 500 吨，单价2450元/吨，合同约定杂质≤1%，不完善粒≤8%，呕吐毒素≤1000ug/kg。 客户于2026年5月7日提货的87.74吨玉米存在杂质超标情况。_x000a_整批合同提货的487.92吨玉米，其中87.74吨存在欧体毒素超标、杂质超标情况（杂质检测在2.6%），共计扣款3311.79元（大写：人民币叁仟叁佰壹拾壹元柒角玖分），整批次折单吨扣款6.7元。所提货物匹配船名：福昌耀/2609。_x000a_2026年2月10日的指导价格2438元/吨，有12元/吨的溢价销售，溢价可覆盖扣款，该批货物出至仓底部位，沟通客户作了扣款接收，后续将加强现场出货的管理。该合同为赊销客户，我司加快处理完毕商务后开票催促客户回款。"/>
        <s v=" 我司与南平华农恒青农牧有限公司于 2026 年2月28日签订《粮食销售合同》（合同编号：YMFJFZ260042），数量500吨，赊销，单价2495元/吨；3月5日签订《粮食销售合同》（合同编号：YMFJFZ260060），数量500吨，赊销，单价2505元/吨；3月11日签订《粮食销售合同》（合同编号：YMFJFZ260067），数量500吨，赊销，单价2525元/吨；合同约定水分≤15%，杂质≤1%，呕吐毒素≤1000ppb，赤霉烯酮≤150ppb。三笔合同累计提货1459吨，共计产生扣款16021.32元，折单吨扣款10.9元/吨，该客户考虑到需签订毒素指标，在销售时，已加价15元/吨进行销售，可覆盖客户扣款损失。扣款详情如下：_x000a_1、YMFJFZ260042合同合计提货490.23吨，其中客户2026年3月22日接收197.13吨玉米，存在提货杂质超标的情况，杂质检测在2%-4%，呕吐毒素与赤霉烯酮严重超标的情况（赤霉烯酮≥1000ppb），原计划退货处理，多次沟通后协调扣款接收，产生扣款8542.06元，折合所提货物匹配船名：炜业99/2604。_x000a_2、YMFJFZ260060合同客户4月17日-5月3日提货的495.78吨玉米。其中364.74吨存在呕吐毒素、杂质超标情况（杂质1.5%-2%，呕吐毒素1150-1500ppb），产生商务扣款3410.37元。所提货物匹配船名：福昌耀/2609。_x000a_3、YMFJFZ260067合同客户5月5日-5月8日提货的472.99吨玉米。其中366.16吨存在呕吐毒素、杂质超标情况（杂质1.8%-2%，呕吐毒素1200-1500ppb），产生商务扣款4068.89元。该合同因我司前期到货品质无法挑选出符合指标的货物进行交付，客户超合同期对该合同进行提货。剩余27吨因我司后续货物难以达到客户要求指标，为及时清理该客户超期合同，申请以472.99吨进行结算（提货比例94.7%）。所提货物匹配船名：福昌耀/2609。"/>
        <s v="合同号YMFJZZ260048，数量4500吨，单价2390元/吨；合同号YMFJZZ260061，数量2000吨，单价2505元/吨；合同号YMFJZZ260064，数量2000吨，单价2500元/吨;合同号YMFJZZ260073，数量2000吨，单价2470元/吨，共4份合同。截止至2026年5月20日，以上四份合同总提货数为9002.52吨，期中涉及到德勤68/2611这船提货数量为1101.36吨，客户在提货期间检测杂质、水份超标。经双方友好协商，客户对涉及到德勤68/2611批次货物进行扣款接收，合计产生扣款24893.4元（大写：贰万肆仟捌佰玖拾叁元肆角），该批次累计提货1101.36吨，折单吨扣款22.42元/吨。"/>
        <s v="_x000a_我司与南平华农恒青农牧有限公司于 2026 年2月27日签订《粮食销售合同》（合同编号：YMFJFZ260041），数量500吨，赊销，单价2485元/吨，合同约定水分≤15%，杂质≤1%，呕吐毒素≤1000ppb。该合同已累计提货394.88吨，客户2026年3月10日-3月21日接收394.88吨玉米，存在提货杂质超标的情况，杂质检测杂质平均在2%-3%（明细结算单内），同时在后期进工厂对毒素进行复测时还存在呕吐与赤霉超标的情况。所提货物匹配船名：炜业99/2604。_x000a_     经与客户多次协商沟通，客户对该批玉米扣款接收，其中394.88吨玉米，原产生商务扣款26701.83元，经双方多次协商扣款13350.91元（人民币壹万叁仟叁佰伍拾元玖角壹分），折单吨扣款33元/吨。我司在2月27日销售时，当日赊销指导价格2470元/吨，我司已加价15元/吨，同时该批货物因客户提货杂质实测超标，已到工厂实际检测并留样品。"/>
        <s v="兹有我司与福建省金华龙饲料有限公司于2026年3月12日签订《粮食销售合同》，合同号:YMFJFZ260081，合同数量1500吨，单价2520元/吨，交货期截止2026年4月30日。该合同截止4月25日共计提货1447.56吨，其中 685.11吨检测水分超标(合同约定水分≤15%，实测结果15.32%-15.67%)，已超出合同约定标准，经双方友好协商按10元/吨扣款，以上质量扣款合计6851.1元。以上扣款对应船名：恒顺达8/2607（延伸粮源池，该船检验报告水分超标较多），以上扣款是否可行，请领导批示。"/>
        <s v="兹有我司与厦门粮缘饲料科技有限公司于2026年4月8日签订《粮食销售合同》，合同号：YMFJFZ260107，合同数量500吨，单价2490元/吨，该合同截止4月24日共计提货499.64吨，提货163.48吨，检测水分超标(合同约定水分≤15.0%，实测结果15.21%-15.53%)，已超出合同约定标准，经双方友好协商按10元/吨扣款，以上质量扣款合计1634.8元。_x000a_以上扣款对应恒顺达8/2607，以上扣款是否可行，请领导批示。"/>
        <s v="兹有我司与福建省佳牧农牧集团有限公司于2025年12月2日签订《粮食销售合同》，合同号：YMFJFZ250198，合同数量3000吨，截止2026年3月20日提货完毕，共计提货2996.42吨，其中提货977.88吨检测水分、呕吐毒素超标(合同约定水分≤15.0%，实测结果15.46%-16.2%，合同约定呕吐毒素≤1000ppd，实测结果1179ppd-1532ppd)，已超出合同约定标准，经双方友好协商，水分超标不进行扣款结算，其余按30元/吨进行扣款，以上质量扣款29336.4元（折合合同扣款9.79元/吨），该合同呕吐毒素已加价20元/吨进行销售，溢价可涵盖扣款损失。_x000a__x000a_以上扣款玉米，实际对应正海3/2601（一体化粮源）以上扣款是否可行，请领导批示。"/>
        <s v="兹有我司与福建圣农发展（浦城）有限公司签订YMFJFZ260096号《粮食销售合同》，合同数量2000吨，单价2630元/吨，截止5月20日，该合同实际送货1947.97吨，接货1946.04吨，质量扣款26582.54元，折合扣款13.6元/吨，该扣款为圣农杂质及不完善粒固定扣款，在销售合同时已溢价12元/吨，实际扣款损失1.6元/吨。_x000a_以上扣款，是否可行，请领导批示。"/>
        <s v="兹有我司与福建圣农发展股份有限公司签订JZXYMFJFZ260001号《粮食销售合同》，合同数量1000吨，单价2590元/吨，截止5月20日，该合同实际送货981.46吨，接货978.85吨，质量扣款13301.64元，折合扣款13.5元/吨，该扣款为圣农杂质及不完善粒固定扣款，在销售合同时已考虑该扣款13元/吨，实际无损失。_x000a_以上扣款，是否可行，请领导批示。"/>
        <s v="兹有我司与福州东坤饲料有限公司于2026年3月23日签订《粮食销售合同》，合同号：YMFJFZ260103，合同数量410吨，单价2530元/吨。该合同截止5月21日共计提货409.15吨,其中207.86吨检测水分超标(合同约定水分≤15%，实测结果15.22%-15.65%)，已超出合同约定标准，经双方友好协商按10元/吨扣款，以上质量扣款合计2078.6元。_x000a_以上扣款对应船名：恒顺达8/2607（延伸粮源池，该船检验报告水分超标较多），以上扣款是否可行，请领导批示。"/>
        <s v="现有河源市瑞昌饲料有限公司与我司于2026年4月20日签订的铁路集装箱玉米合同，数量1000吨，单价2530元/吨，客户于5月10日开始接货我司铁路集装箱玉米，到厂后，有两柜检测呕吐毒素分别为1507ppb，1816ppb，超出合同质量签订标准:呕吐毒素≤1000ppb的约定，经过双方友好协商，决定对毒素超标的货物进行扣款。(第三方检测出结果分别为1350ppb,1490ppb，结果见附件)共计提货有质量问题的货物62.61吨，共申请扣款62.61*10=626.1元"/>
        <s v="2026 年 4 月 27 日，我司与海大集团执行的内贸玉米合同，合同号：YMSZCG260003，执行在_x000a_珠三角外采货源“国丰-中埠鑫航-Q35”，执行数量为 799.362 吨。_x000a_在执行过程中反馈有杂质超标情况，实际货船抵达码头后我部人员现场取样检查后存在超标情_x000a_况，并且在现场完成取样。在与工厂多次沟通后，最终按照扣款 5 元/吨进行扣价让步接受，扣款金额为：3996.81 元。"/>
        <s v="兹有我司与福建圣农发展（浦城）有限公司签订JZXYMFJFZ260002号《粮食销售合同》，合同数量2000吨，单价2645元/吨，截止5月20日，该合同实际送货1969.98吨，接货1968.65吨，质量扣款26026.8元，折合扣款13.22元/吨，该扣款为圣农杂质及不完善粒固定扣款，在销售合同时已溢价13元/吨，实际无扣款损失。以上扣款对应恒顺达8/2607，是否可行，请领导批示。_x000a_"/>
        <s v="于 2026 年 3 月 13 日签订 6000 吨粮食销售合同（合同编号：_x000a_YMZSJJY250236）合同单价 2395 元/吨，2026 年 3 月 21 日-2026 年 5 月 17 日,提货数量 5,929.72 吨，_x000a_提货中安 9/2603、华辰 9/2609。经客户品管检测，3.22-5.2 提货玉米 514.84 吨 杂质 2.8 超出合同约定标准（杂_x000a_质≤1）水分 15.2-15.3 超出合同约定标准（水分≤15），影响使用。经双方协商，一致统一做扣款处理。合计扣_x000a_款 2574.2 元"/>
        <s v="我司与正大原料供应有限公司于 2026年5月11日签订《粮食销售合同（赊销）》（合同编号：JZXYMHN260071），数量 500吨，单价2555元/吨（送到厂价）。容重≥700g/L，水分≤15%，霉变 ≤2%，杂质≤1%，呕吐毒素≤1000ppb，赤霉烯酮≤150ppb，黄曲霉素≤20ppb，蛋白≥7%。_x000a_客户于5月27日、28日收货过程中陆续反馈箱号为CSNU3514169、CSNU3336468柜内赤霉烯酮超出合同约定标准，检测结果为赤霉烯酮634μg/kg、619ug/kg，沟通客户重新取样复测，复测结果赤霉烯酮338.98μg/kg，呕吐毒素1275ug/kg。后我司现场人员范闻超、姜程介赴工厂与工厂品管人员共同抽样检测，检测结果依旧超标，检测结果赤霉烯酮381.6μg/kg，呕吐毒素430ug/kg。经沟通，上述2柜货物计划按如下方案处理：集装箱内未卸货物不再接收，转由海南恩希实业有限公司JZXYMHN260077合同执行，按实际收货数量结算，期间不产生退货费用。CSNU3514169已卸货进入流程11.62吨、CSNU3336468已卸货进入流程12.1吨，共计23.72玉米厂方协商扣款30元/吨让步接收，共计扣款711.6元。我方与正大JZXYMHN260071合同仍在执行中，目前已暂停使用该批次粮源继续交付，计划更换在途柜子继续执行。_x000a_此柜玉米共合计扣款711.6元，上述2柜总重53.99吨，折合单吨扣款133.18元，销售时溢价30元/吨，可覆盖此单商务扣款。"/>
        <s v="与钦州播恩生物技术有限公司签订的《粮食销售合同》，合同号：YMGXQZ260082，数量800吨，单价2545元/吨，5月17日提“利达海/V2606”轮散装玉米，其中有2车共68.22吨呕吐毒素指标超出合同约定标准1500，客户原则上拒收。经双方协商同意，做商务扣款让步接收，合计扣款金额1364.40元，合同折单吨扣款1.71元，客户有预留5元/吨商务，溢余3.29元/吨。"/>
        <s v="2026年5月19日签订的的散粮合同，广西陆川新天地饲料有限公司，合同号 YMYXZJ260083（2000吨，单价2470元/吨），自提合同，合同质量标准为：容重≥685g/L，水分≤15.0%，杂质≤1.0%，霉变粒≤2.0%，不完善粒≤10%，未约定的其它质量标准按实际交货品质标准执行。_x000a_客户在提货航安发展/2608船货物时，其中970.72吨到厂卸货前发现存在质量问题，局部发霉有异味有石头，不符合双方签订的合同要求，客户反馈需要退货处理，后经双方友好沟通协商，客户让步接收，该批货款扣款20元/吨，扣款金额:970.72*20=19414.40元整。"/>
        <s v="客户于2026年4月26日在新沙长鑫86 提取玉米，工厂抽样检测发现该船玉米 95.22吨呕吐毒素、霉变和杂质检测超标，不符合合同约定标准经过双方友好协商，32.58吨呕吐毒素超标按照10元/吨扣款接收，32.26吨霉变率为 3%按照 30元/吨扣款接收，30.38吨杂质为3.1%按照 20 元/吨扣款接收，即总共扣款10元/吨*32.58吨+30元/吨*32.26 吨+20元/吨*30.38吨=325.8元+967.8元+607.6元=1901.20元。(附扣款函)该合同保呕吐毒素已加价 15元/吨进行销售，溢价可涵盖扣款损失。"/>
        <s v="我司于2026年5月9日和金钱(珠海)有限公司签订粮食销售合同(JZXYMZSJDG26048合同量:1000吨、单价:2520元/吨)。由于运单号:ABTSLXD260326047、柜号:FCIU6341473,ATHU1066367,ATHU1065397,ATHU1572658,ATHU1133001出现粘底，发霉结块，已报保险处理，经双方沟通协商，按照扣款130元/吨处理，即总共扣款129.84吨*130元/吨=16879.2元，现申请报保险5柜按照工厂磅单结算(北方重量134.4吨，工重量129.84吨),明细如下:"/>
        <s v="    兹有我司与双胞胎（集团）股份有限公司于2026年05月13日签署生效的《粮食销售合同》（合同编号：YMFJZZ260079)，合同数量2000吨，合同单价2475元/吨，截止至2026年06月04日，该合同累计提货1971.74吨，客户于2026年5月22日至2026年5月26日提货469.48吨玉米经检验水分、呕吐毒素超标等问题，对应船名：弘泰818/2605 ； "/>
        <s v="    兹有我司与漳州新正邦饲料有限公司于2026年05月13日签署生效的《粮食销售合同》（合同编号：YMFJZZ260078)，合同数量1000吨，合同单价2460元/吨，截止至2026年06月07日，该合同累计提货977.42吨，客户于2026年5月27日至2026年5月28日提货245.74吨玉米经检验呕吐毒素超标，对应船名：弘泰818/2605 ；"/>
        <s v="   兹有我司与漳州温氏农牧有限公司（以下简称“漳州温氏”）于2026年04月24日签署生效的《粮食销售合同》（合同编号：YMFJZZ260074)，合同数量2000吨，合同单价2475元/吨，截止至2026年06月03日，该合同累计提货1866.26吨，客户于2026年5月20日至5月24日提货批次玉米经检测杂质超标（超出合同约定标准），对应船名：弘泰818/2605；"/>
        <s v="我司于2026年5月27日和惠州市立华家禽有限公司签订粮食销售合同(赊销)，(合同量:1000吨、单价:2440元/吨)_x000a_客户于2026年6月2日在新沙宝洋26/2606提取玉米，工厂抽样检测发现，420.94 吨玉米杂质超标，不符合合同约定标准，平均杂质到4.3%经过双方友好协商，420.94吨杂质超标按照 20元/吨扣款接收，即总共扣款 20元/吨*420.94吨=8418.8元。"/>
        <s v="双胞胎（集团）股份有限公司YMYXMM260240（合同量1000吨，单价2490元），签订日期为2026年5月21日，该合同共执行996.76吨。由于外采大船“锦富航69/2608”（供应商：北京京粮谷润贸易有限公司）在港时间长且存在水分杂质超标等质量问题，为加快提离降低坏粮风险，我部掺混出货，2026年5月28日双胞胎在提货中反馈两车64.9吨水分实测15.46%；杂质1.63%，不符合合同签订标准。经我司业务人员核实，检测结果确实存在。秉承长期友好合同原则，经我部与客户多次友好协商后，申请扣款20元/吨，64.9吨*20元=1298元，申请扣款金额合计1298元。该扣款情况已跟饲料原料部报备，由饲料原料部向供应方扣款弥补我司损失。"/>
        <s v="2026年3月12日签订的的散粮合同，湛江海大饲料有限公司，合同号YMYXZJ260047(6500吨，单价2405元/吨)，自提合同，合同质量标准为:容重≥690g/L，不完善≤10%、水分≤15%,霉变≤2%,杂质≤1%，未约定的其它质量标准按实际交货品质标准执行。_x000a_4月25日，客户在提货合盛顺达/2605船货物时，其中870.92吨到厂卸货前发现存在质量问题，水分超标有石头，不符合双方签订的合同要求，经双方友好沟通协商，该批扣款47元/吨，扣款金额:870.92*47=40933.24元。(合盛顺达/2607在到港时我方就发现水分超标，有石头子，并已报送过饲料部，同时对上游京粮扣款63957.24元，故客户反馈问题是属实存在的)_x000a_5月7日-6月5日，客户提货航安发展/2608船货物时，其中3784.12吨到厂卸货前发现存在质量问题，有石头，不符合双方签订的合同要求，客户反馈需要退货处理，后经双方友好沟通协商，客户让步接收，该批货款扣款5元/吨，扣款金额:3784.12*5=18920.60元。"/>
      </sharedItems>
    </cacheField>
    <cacheField name="销售溢价是否覆盖扣款费用" numFmtId="0">
      <sharedItems containsBlank="1" count="4">
        <m/>
        <s v="能覆盖"/>
        <s v="是"/>
        <s v="否"/>
      </sharedItems>
    </cacheField>
    <cacheField name="费用原因分类" numFmtId="0">
      <sharedItems containsBlank="1" count="72">
        <s v="质量问题（霉变、霉味、生虫等）"/>
        <s v="品质不达标（容重、水分、毒素、蛋白等）"/>
        <m/>
        <s v="包装破损、水湿、短重等"/>
        <s v="发霉发热"/>
        <s v="杂质超标"/>
        <s v="质量问题（水湿粘底）"/>
        <s v="其他原因"/>
        <s v="杂质1.2%杂质和破碎粒超出合同约定指标"/>
        <s v="水分≤15%，赤霉烯酮≤200ppb"/>
        <s v="水分≤15%，赤霉烯酮≤200ppb，黄曲霉毒素B1（ppb）≤30"/>
        <s v="杂质.2%杂质和破碎粒超出合同约定指标(杂质&lt;1%)"/>
        <s v="质量问题（霉变、霉味）"/>
        <s v="质量问题（呕吐/霉变）"/>
        <s v="质量问题（不完善粒）"/>
        <s v="质量问题（杂质）"/>
        <s v="质量问题（杂质、水分）"/>
        <s v="质量问题（毒素）"/>
        <s v="质量问题（呕吐毒素）"/>
        <s v="其他原因（运费）"/>
        <s v="质量问题（水分、杂质超标）"/>
        <s v="质量问题（杂质超标）"/>
        <s v="质量问题（杂质超标\、毒素）"/>
        <s v="其他原因，已报保险处理"/>
        <s v="质量问题（水分超标）"/>
        <s v="质量问题（水分、杂质）"/>
        <s v="品质不达标（杂质）"/>
        <s v="质量问题（发霉结块）"/>
        <s v="质量问题（水分）"/>
        <s v="质量问题（杂质、不完善）"/>
        <s v="质量问题（杂质/赤霉）"/>
        <s v="质量问题（赤霉、水分）"/>
        <s v="质量问题（赤霉）"/>
        <s v="质量问题（赤霉、杂质）"/>
        <s v="质量问题（霉变结块）"/>
        <s v="质量问题（水分/赤霉）"/>
        <s v="质量问题（水分/霉变）"/>
        <s v="质量问题（水分/杂质）"/>
        <s v="质量问题（杂质、霉变）"/>
        <s v="质量问题（霉变）"/>
        <s v="质量问题（杂质水分）"/>
        <s v="质量问题（杂质，水分）"/>
        <s v="质量问题（杂质,水分）"/>
        <s v="质量问题（毒素、水分）"/>
        <s v="其他问题"/>
        <s v="其他原因（损耗）"/>
        <s v="质量问题（杂质、水分超标）"/>
        <s v="质量问题（毒素超标）"/>
        <s v="质量问题（霉变、热损超标）"/>
        <s v="质量问题（霉变粒高、水分超标）"/>
        <s v="质量问题（水份、杂质超标）"/>
        <s v="质量问题（热损伤超标）"/>
        <s v="质量问题（霉变率）"/>
        <s v="质量问题"/>
        <s v="质量问题（杂质、不完善超标）"/>
        <s v="质量问题（水份超标）"/>
        <s v="质量问题（毒素、杂质）"/>
        <s v="质量问题（有石头、发霉异味）"/>
        <s v="质量问题（有石头）"/>
        <s v="流程手续问题" u="1"/>
        <s v="堆存费申请减免" u="1"/>
        <s v="滞期费用" u="1"/>
        <s v="发运集中到货" u="1"/>
        <s v="、" u="1"/>
        <s v="堆存费" u="1"/>
        <s v="超期滞期费" u="1"/>
        <s v="质量问题（霉变粒和赤霉素超标）" u="1"/>
        <s v="港杂费" u="1"/>
        <s v="保险费" u="1"/>
        <s v="质量问题（不完善超标）" u="1"/>
        <s v="质量问题（不完善粒、水分超标）" u="1"/>
        <s v="滞期费、堆存费" u="1"/>
      </sharedItems>
    </cacheField>
    <cacheField name="费用金额" numFmtId="0">
      <sharedItems containsBlank="1" containsNumber="1" containsMixedTypes="1" count="302">
        <n v="2099.7"/>
        <n v="11099.4"/>
        <n v="2704.76"/>
        <n v="2204.8"/>
        <n v="1071.4"/>
        <n v="11255"/>
        <n v="1782"/>
        <n v="10655.1"/>
        <n v="4698.52"/>
        <n v="936"/>
        <n v="311.4"/>
        <n v="1003.1"/>
        <n v="1535.9"/>
        <n v="23574.6"/>
        <n v="7965.9"/>
        <n v="5451.6"/>
        <n v="6649"/>
        <n v="1344.8"/>
        <n v="1967.6"/>
        <n v="14134.8"/>
        <n v="21035.21"/>
        <n v="18983.6"/>
        <n v="4801.5"/>
        <m/>
        <n v="7791"/>
        <n v="14164.5"/>
        <n v="91846.45"/>
        <n v="29949.34"/>
        <n v="519.6"/>
        <n v="9482.4"/>
        <n v="7481.1"/>
        <n v="14221.2"/>
        <n v="8663.4"/>
        <n v="14747.1"/>
        <n v="11266.2"/>
        <n v="4800"/>
        <n v="12204"/>
        <n v="14578.5"/>
        <n v="24489"/>
        <n v="30382"/>
        <n v="97622"/>
        <n v="32.32"/>
        <n v="9872.5"/>
        <n v="38576.65"/>
        <n v="5240.75"/>
        <n v="2224.53"/>
        <n v="6151.2"/>
        <n v="2030"/>
        <n v="39975.2"/>
        <n v="2439.9"/>
        <n v="14963.16"/>
        <n v="1617.6"/>
        <n v="1896.8"/>
        <n v="292"/>
        <n v="11542"/>
        <n v="8239.8"/>
        <n v="7560.3"/>
        <n v="35080.4"/>
        <n v="19919.16"/>
        <n v="5133.43"/>
        <n v="4898.7"/>
        <n v="324"/>
        <n v="21584.2"/>
        <n v="20202.8"/>
        <n v="1457.5"/>
        <n v="29754"/>
        <n v="1971.9"/>
        <n v="2010"/>
        <n v="2000.4"/>
        <n v="942.55"/>
        <n v="816.3"/>
        <n v="10096.2"/>
        <n v="23556.96"/>
        <n v="7786.5"/>
        <n v="2011.22"/>
        <n v="1979"/>
        <n v="2521.5"/>
        <n v="2345.24"/>
        <n v="4887"/>
        <n v="3600.4"/>
        <n v="11254.2"/>
        <n v="3992.6"/>
        <n v="25365.36"/>
        <n v="6195.04"/>
        <n v="7516.1"/>
        <n v="2679"/>
        <n v="547"/>
        <n v="1324.2"/>
        <n v="1260"/>
        <n v="11238.6"/>
        <n v="1926.4"/>
        <n v="9993.8"/>
        <n v="4950.3"/>
        <n v="6352"/>
        <n v="1977.9"/>
        <n v="1071.6"/>
        <n v="3108.2"/>
        <n v="1530.6"/>
        <n v="1223"/>
        <n v="3227.6"/>
        <n v="58749.55"/>
        <n v="387.2"/>
        <n v="998.98"/>
        <n v="4993.45"/>
        <n v="5244"/>
        <n v="1506.6"/>
        <n v="14339.63"/>
        <n v="5985.6"/>
        <n v="7535.4"/>
        <n v="247396.05"/>
        <n v="71383.75"/>
        <n v="2911.04"/>
        <n v="34281.64"/>
        <n v="6371.22"/>
        <n v="2201.6"/>
        <n v="1102.8"/>
        <n v="2562"/>
        <n v="317.6"/>
        <n v="7789.77"/>
        <n v="3219.75"/>
        <n v="877.09"/>
        <n v="3707.84"/>
        <n v="74940.81"/>
        <n v="1886.3"/>
        <n v="24665.42"/>
        <n v="50457.42"/>
        <n v="24282.25"/>
        <n v="4432.47"/>
        <n v="139419.11"/>
        <n v="955.85"/>
        <n v="1342.15"/>
        <n v="1991.6"/>
        <n v="7045.4"/>
        <n v="22498.2"/>
        <n v="37424.25"/>
        <n v="42834.1"/>
        <n v="28148.55"/>
        <n v="7028.2"/>
        <n v="13218.75"/>
        <n v="12924.2"/>
        <n v="2222.4"/>
        <n v="799.35"/>
        <n v="8793"/>
        <n v="322.7"/>
        <n v="26.09"/>
        <n v="27.3"/>
        <n v="12296.1"/>
        <n v="19040.4"/>
        <n v="9998.6"/>
        <n v="9805.6"/>
        <n v="2916"/>
        <n v="3094.87"/>
        <n v="29988"/>
        <n v="7947.28"/>
        <n v="8059.68"/>
        <n v="22926.3"/>
        <n v="10971.9"/>
        <n v="1740.59"/>
        <n v="327.2"/>
        <n v="15213.7"/>
        <n v="941.4"/>
        <n v="25018.07"/>
        <n v="1668.84"/>
        <n v="1050.4"/>
        <n v="2161.58"/>
        <n v="447.8"/>
        <n v="32984.4"/>
        <n v="79988.24"/>
        <n v="23183"/>
        <n v="954.42"/>
        <n v="29663.15"/>
        <n v="14233.725"/>
        <n v="495.14"/>
        <n v="10533"/>
        <n v="7946.4"/>
        <n v="1710.3"/>
        <n v="3564.89"/>
        <n v="1081.5"/>
        <n v="5958.3"/>
        <n v="592.06"/>
        <n v="3825.3"/>
        <n v="62.94"/>
        <n v="3193.5"/>
        <n v="6881.5"/>
        <n v="2394.7"/>
        <n v="1538.22"/>
        <n v="2144.2"/>
        <s v="695.35元"/>
        <n v="505.6"/>
        <n v="5360"/>
        <n v="1882.2"/>
        <n v="24984.2"/>
        <n v="8626.5"/>
        <n v="528.77"/>
        <n v="1321.2"/>
        <n v="8926.81"/>
        <n v="5000"/>
        <n v="5804.06"/>
        <n v="7729.8"/>
        <n v="6971.7"/>
        <n v="2414.4"/>
        <n v="5117.1"/>
        <n v="14231.6"/>
        <n v="15682.4"/>
        <n v="9194"/>
        <n v="3620.6"/>
        <n v="1685.9"/>
        <n v="15041.16"/>
        <n v="1320"/>
        <n v="320.6"/>
        <n v="11174.12"/>
        <n v="422"/>
        <n v="2277.4"/>
        <n v="3744.1"/>
        <n v="14401.5"/>
        <n v="566.35"/>
        <n v="28167.3"/>
        <n v="348.9"/>
        <n v="6400.5"/>
        <n v="21407.47"/>
        <n v="7269.63"/>
        <n v="3450.3"/>
        <n v="21838.5"/>
        <n v="1950.42"/>
        <n v="27840.4"/>
        <n v="9787.76"/>
        <n v="364.08"/>
        <n v="1227.4"/>
        <n v="11793.57"/>
        <n v="5158.66"/>
        <n v="1402.8"/>
        <n v="11885.25"/>
        <n v="5704.78"/>
        <n v="1618.6"/>
        <n v="180"/>
        <n v="4187.4"/>
        <n v="8997.6"/>
        <n v="12893.4"/>
        <n v="15835"/>
        <n v="9965.88"/>
        <n v="12073.69"/>
        <n v="13135.5"/>
        <n v="1593.45"/>
        <n v="2679.28"/>
        <n v="41388.13"/>
        <n v="2859.9"/>
        <n v="67418.87"/>
        <n v="7164.75"/>
        <n v="21148.04"/>
        <n v="14491.04"/>
        <n v="3120.8"/>
        <n v="2176.8"/>
        <n v="4589.52"/>
        <n v="36097.5"/>
        <n v="14508.88"/>
        <n v="45000"/>
        <n v="346.1"/>
        <n v="9652.4"/>
        <n v="1829.4"/>
        <n v="13649.7"/>
        <n v="37401.3"/>
        <n v="639"/>
        <n v="19955.12"/>
        <n v="7453.95"/>
        <n v="133.6"/>
        <n v="8416.76"/>
        <n v="18982.7"/>
        <n v="22825.7"/>
        <n v="3891.9"/>
        <n v="29975.2"/>
        <n v="884.8"/>
        <n v="5535.4"/>
        <n v="2932.5"/>
        <n v="628.6"/>
        <n v="32730.12"/>
        <n v="492.23"/>
        <n v="339"/>
        <n v="3311.79"/>
        <n v="16021.32"/>
        <n v="24893.4"/>
        <n v="13350.91"/>
        <n v="6851.1"/>
        <n v="1634.8"/>
        <n v="29336.4"/>
        <n v="26582.54"/>
        <n v="13301.64"/>
        <n v="2078.6"/>
        <n v="626.1"/>
        <n v="3996.81"/>
        <n v="26026.8"/>
        <n v="2574.2"/>
        <n v="711.6"/>
        <n v="1364.4"/>
        <n v="19414.4"/>
        <n v="1901.2"/>
        <n v="16879.2"/>
        <n v="12026.8"/>
        <n v="7372.2"/>
        <n v="15485.4"/>
        <n v="8418.8"/>
        <n v="1298"/>
        <n v="59853.84"/>
      </sharedItems>
    </cacheField>
    <cacheField name="费用对应吨数" numFmtId="0">
      <sharedItems containsString="0" containsBlank="1" containsNumber="1" minValue="0.16" maxValue="19541.03" count="288">
        <n v="209.97"/>
        <n v="554.97"/>
        <n v="471.075"/>
        <n v="414.4"/>
        <n v="221.905"/>
        <n v="11255"/>
        <n v="1782"/>
        <n v="10655.1"/>
        <n v="4698.52"/>
        <n v="936"/>
        <n v="311.4"/>
        <n v="100.31"/>
        <n v="153.59"/>
        <n v="46.19"/>
        <n v="142.33"/>
        <m/>
        <n v="98.38"/>
        <n v="706.74"/>
        <n v="62.723"/>
        <n v="949.18"/>
        <n v="160.05"/>
        <n v="389.55"/>
        <n v="472.15"/>
        <n v="2994.934"/>
        <n v="0.3"/>
        <n v="316.08"/>
        <n v="249.37"/>
        <n v="474.04"/>
        <n v="288.78"/>
        <n v="491.57"/>
        <n v="375.54"/>
        <n v="160"/>
        <n v="406.8"/>
        <n v="485.95"/>
        <n v="816.3"/>
        <n v="1500"/>
        <n v="1952.44"/>
        <n v="161.6"/>
        <n v="233.08"/>
        <n v="477.09"/>
        <n v="505.74"/>
        <n v="196.3"/>
        <n v="102.52"/>
        <n v="209.155"/>
        <n v="699.62"/>
        <n v="162.66"/>
        <n v="997.544"/>
        <n v="161.76"/>
        <n v="189.68"/>
        <n v="29.2"/>
        <n v="1154.2"/>
        <n v="549.32"/>
        <n v="252.01"/>
        <n v="1754.02"/>
        <n v="995.958"/>
        <n v="167.16"/>
        <n v="164.39"/>
        <n v="32.4"/>
        <n v="3119.12"/>
        <n v="1914.88"/>
        <n v="145.75"/>
        <n v="1487.7"/>
        <n v="100.74"/>
        <n v="64.92"/>
        <n v="200.04"/>
        <n v="26.93"/>
        <n v="27.21"/>
        <n v="4.26"/>
        <n v="996.818"/>
        <n v="311.46"/>
        <n v="53.85"/>
        <n v="98.85"/>
        <n v="1.025"/>
        <n v="83.29"/>
        <n v="488.7"/>
        <n v="360.04"/>
        <n v="375.14"/>
        <n v="779.27"/>
        <n v="1492.08"/>
        <n v="120.61"/>
        <n v="248.53"/>
        <n v="200.6"/>
        <n v="27.35"/>
        <n v="99.68"/>
        <n v="126"/>
        <n v="374.62"/>
        <n v="192.64"/>
        <n v="999.38"/>
        <n v="330.02"/>
        <n v="317.6"/>
        <n v="197.79"/>
        <n v="267.9"/>
        <n v="283.06"/>
        <n v="76.53"/>
        <n v="61.15"/>
        <n v="290.1"/>
        <n v="4958.95"/>
        <n v="8873.9"/>
        <n v="14984.7"/>
        <n v="998.69"/>
        <n v="137.97"/>
        <n v="75.33"/>
        <n v="991.72"/>
        <n v="1197.12"/>
        <n v="753.54"/>
        <n v="10012.32"/>
        <n v="1996.19"/>
        <n v="5009.52"/>
        <n v="2985.66"/>
        <n v="209.04"/>
        <n v="110.08"/>
        <n v="27.57"/>
        <n v="224.78"/>
        <n v="31.76"/>
        <n v="1498.032"/>
        <n v="1.325"/>
        <n v="0.35338"/>
        <n v="27.88166"/>
        <n v="4996.054"/>
        <n v="377.26"/>
        <n v="10.487"/>
        <n v="21.563"/>
        <n v="1453.96"/>
        <n v="1491.92"/>
        <n v="19541.03"/>
        <n v="54.84"/>
        <n v="64.78"/>
        <n v="199.16"/>
        <n v="704.54"/>
        <n v="1499.88"/>
        <n v="1496.97"/>
        <n v="1951.44"/>
        <n v="2999.56"/>
        <n v="2000.08"/>
        <n v="586.2"/>
        <n v="1292.42"/>
        <n v="2222.4"/>
        <n v="159.87"/>
        <n v="64.54"/>
        <n v="5218"/>
        <n v="1550"/>
        <n v="358.93"/>
        <n v="490.96"/>
        <n v="999.86"/>
        <n v="980.56"/>
        <n v="194.4"/>
        <n v="53.35"/>
        <n v="1499.4"/>
        <n v="1986.82"/>
        <n v="980.4"/>
        <n v="1528.42"/>
        <n v="731.46"/>
        <n v="199.38"/>
        <n v="32.72"/>
        <n v="1185.85"/>
        <n v="31.38"/>
        <n v="3997.86"/>
        <n v="278.14"/>
        <n v="52.52"/>
        <n v="100.17"/>
        <n v="44.78"/>
        <n v="1099.48"/>
        <n v="1999.706"/>
        <n v="1949.64"/>
        <n v="12839.3"/>
        <n v="12.2575"/>
        <n v="5.8575"/>
        <n v="15134.5"/>
        <n v="702.2"/>
        <n v="529.76"/>
        <n v="114.02"/>
        <n v="1.79"/>
        <n v="216.3"/>
        <n v="397.22"/>
        <n v="84.58"/>
        <n v="127.51"/>
        <n v="1258.8"/>
        <n v="638.7"/>
        <n v="1031.03"/>
        <n v="1497.048"/>
        <n v="1490.8"/>
        <n v="428.84"/>
        <n v="139.07"/>
        <n v="58.46"/>
        <n v="5.36"/>
        <n v="62.74"/>
        <n v="2498.42"/>
        <n v="862.65"/>
        <n v="9902.1"/>
        <n v="132.12"/>
        <n v="563.98"/>
        <n v="305.84"/>
        <n v="174.67"/>
        <n v="515.32"/>
        <n v="397.59"/>
        <n v="301.8"/>
        <n v="1023.42"/>
        <n v="711.58"/>
        <n v="784.12"/>
        <n v="459.7"/>
        <n v="362.06"/>
        <n v="168.59"/>
        <n v="791.64"/>
        <n v="32.06"/>
        <n v="1096.92"/>
        <n v="84.4"/>
        <n v="455.47"/>
        <n v="748.82"/>
        <n v="288.03"/>
        <n v="282.4"/>
        <n v="938.91"/>
        <n v="69.78"/>
        <n v="509.96"/>
        <n v="836.36"/>
        <n v="362.22"/>
        <n v="230.02"/>
        <n v="873.54"/>
        <n v="238.56"/>
        <n v="1392.02"/>
        <n v="270"/>
        <n v="30.74"/>
        <n v="122.74"/>
        <n v="498.09"/>
        <n v="414.66"/>
        <n v="0.6"/>
        <n v="9.27"/>
        <n v="8.31"/>
        <n v="161.86"/>
        <n v="336.962"/>
        <n v="139.58"/>
        <n v="449.88"/>
        <n v="961.35"/>
        <n v="622.69"/>
        <n v="996.588"/>
        <n v="413.34"/>
        <n v="524.42"/>
        <n v="52.8"/>
        <n v="466.96"/>
        <n v="1971.46"/>
        <n v="285.99"/>
        <n v="549.685"/>
        <n v="540.52"/>
        <n v="9.3711"/>
        <n v="12.13"/>
        <n v="15.02"/>
        <n v="446.5"/>
        <n v="61.32"/>
        <n v="482.62"/>
        <n v="60.98"/>
        <n v="1022.59"/>
        <n v="2873.33"/>
        <n v="21.3"/>
        <n v="997.756"/>
        <n v="993.86"/>
        <n v="26.72"/>
        <n v="290.85"/>
        <n v="210"/>
        <n v="275.07"/>
        <n v="0.35"/>
        <n v="138.385"/>
        <n v="391"/>
        <n v="62.86"/>
        <n v="16.4"/>
        <n v="0.16"/>
        <n v="11.3"/>
        <n v="87.74"/>
        <n v="1459"/>
        <n v="9002.52"/>
        <n v="394.88"/>
        <n v="685.11"/>
        <n v="163.48"/>
        <n v="977.88"/>
        <n v="1946.04"/>
        <n v="978.85"/>
        <n v="207.86"/>
        <n v="62.61"/>
        <n v="799.362"/>
        <n v="1968.65"/>
        <n v="514.84"/>
        <n v="23.72"/>
        <n v="68.22"/>
        <n v="970.72"/>
        <n v="95.22"/>
        <n v="130"/>
        <n v="1971.74"/>
        <n v="977.42"/>
        <n v="1866.26"/>
        <n v="420.94"/>
      </sharedItems>
    </cacheField>
    <cacheField name="费用对应大船名" numFmtId="0">
      <sharedItems containsBlank="1" count="157">
        <m/>
        <s v="玉米出险对应扣款"/>
        <s v="呕吐毒素超标"/>
        <s v="杂质超标"/>
        <s v="杂质和破碎超标"/>
        <s v="容重不达标"/>
        <s v="恒通达/2529、锦航力鹏/2528"/>
        <s v="鑫顺弘盛/2537"/>
        <s v="箱子进水"/>
        <s v="吉林经营部发运"/>
        <s v="国家能源 610/2511"/>
        <s v="国远86、中瑞祥79"/>
        <s v="锦富航 69/2530"/>
        <s v="鑫晟奋发/2523、锦航万盛/2522"/>
        <s v="天台 19/2518"/>
        <s v="国远705"/>
        <s v="天隆河/299S、延展228/043S、昌盛集 9/047S"/>
        <s v="东星海泰/077"/>
        <s v="TIAN XIU HE 340S"/>
        <s v="佳升56/2521"/>
        <s v="佳升56/2521、锦江河/2519、海腾炜业6/2508、锦江河/2521、利泰朝阳/2524"/>
        <s v="佳升56/2521、锦江河/2519"/>
        <s v="锦江河/2519"/>
        <s v="利泰朝阳/2524"/>
        <s v="集装箱"/>
        <s v="益嘉98/2528"/>
        <s v="三水809/2525"/>
        <s v="海百15/2523"/>
        <s v="宁兴18/2525"/>
        <s v="CSNU2898120_x000a_CSNU2889900_x000a_CSNU2906530_x000a_CSNU2821983_x000a_CSNU2806994"/>
        <s v="CSNU2904028、CSNU2895414"/>
        <s v="弘泰819"/>
        <s v="JZ21JZLX1454F7"/>
        <s v="东星海泰/078"/>
        <s v=" 国家能源610/2511"/>
        <s v="国家能源610/2511"/>
        <s v="鑫海城 1/2516"/>
        <s v="鑫海城 1/2516、远泰 99/2521"/>
        <s v="东星海泰/076、东星海泰/078"/>
        <s v="YHSZ-25-092324，宏泰源库；YHSZ-25-092311，禹泰库"/>
        <s v="YHSZ-25-092310，禹泰库"/>
        <s v="东耀海泰066"/>
        <s v="昌晟隆/2523、明金2号/2523"/>
        <s v="华源盛/2529"/>
        <s v="益嘉9/2528、炜业福星/2525"/>
        <s v="YHSZ-25-092324，宏泰源库、新誉库"/>
        <s v="东星海泰/079"/>
        <s v="JZXYMSZCG250092"/>
        <s v="发运计划编号YHSZ-25-102202，对应装箱库点：营口雨荷库_x000a_箱号为CSNU3002368发运重量27.11吨"/>
        <s v="ASMWGSU250802497A"/>
        <s v="国家能源/2512"/>
        <s v="国家能源610/2512"/>
        <s v="Q088864200,Q088894811"/>
        <s v="炜业68V2507"/>
        <s v="\"/>
        <s v="YHSZ-25-092324，新誉库"/>
        <s v="东亿603"/>
        <s v="国家能源 610/2512"/>
        <s v="弘泰612/2524"/>
        <s v="正海3/2506"/>
        <s v="“长峰98/2526”"/>
        <s v="“长峰98/V2526”"/>
        <s v="国翔 3/2540"/>
        <s v="东星海泰/080 "/>
        <s v="益嘉88/2528"/>
        <s v="锦航佰福/2532"/>
        <s v="中恒顺丰/2533"/>
        <s v="锦富航69/2601、炜业福星/2527"/>
        <s v="国远707/2526、东星海泰/80"/>
        <s v="南方地采-谷润/25200"/>
        <s v="东星海泰/80"/>
        <s v="YHSZ-25-092324、YHSZ-25-102222"/>
        <s v="华源盛/2531"/>
        <s v="国家能源610/2513"/>
        <s v="国家能源610"/>
        <s v="浙洋97/2537"/>
        <s v="轩祥3/2535"/>
        <s v=" 东 星 海 泰 /80"/>
        <s v="国家能源 610/2512 "/>
        <s v="东 星 海 泰 /80"/>
        <s v="长峰98/2526"/>
        <s v="轩祥3/2535提货986.86吨，福兴9/2538提货467.1吨"/>
        <s v="同庆18/2539"/>
        <s v="炜业19/2511"/>
        <s v="“三水809/2601”"/>
        <s v="中安89/2601"/>
        <s v="弘泰625/2601"/>
        <s v="福兴9/2538（水分超标）、华源盛/2531（提货到仓底，粉尘与破碎超标）"/>
        <s v="国远86"/>
        <s v="鑫跨翔/2601"/>
        <s v="长峰98/V2526"/>
        <s v="长鑫86"/>
        <s v="航安顺/2603"/>
        <s v="弘泰612/2524、正海3/2506、华源盛/2531、福兴9/2538"/>
        <s v="国家能源610/2513_x000a_东星海泰/81"/>
        <s v="东星海泰/82"/>
        <s v="铭宏发展/2603"/>
        <s v="东星海泰/81与东方祥通/2518"/>
        <s v="弘泰612/2524、华源盛/2529、正海3/2506、华源盛/2531"/>
        <s v="轩祥3/2535、正海3/2601"/>
        <s v="锦鑫6/2601"/>
        <s v="三水809/2601"/>
        <s v="中伟顺/2603"/>
        <s v="南方地采-谷润/25197"/>
        <s v="东星海泰082"/>
        <s v="东方详通/18"/>
        <s v="鑫泰 128/2604"/>
        <s v="正海3/2601"/>
        <s v="兆丰6/2601"/>
        <s v="益嘉 98/2534"/>
        <s v="锦江河/2523"/>
        <s v="鑫泰128/2604"/>
        <s v="国翔3/2540"/>
        <s v="南方地采-谷润/25199"/>
        <s v="福顺 338"/>
        <s v="长鑫 86"/>
        <s v="信耀/2604"/>
        <s v="兆丰6/2601、炜业99"/>
        <s v="JZXYMSZCG260012"/>
        <s v="安丰09/2604"/>
        <s v="南方地采-首裕/26010"/>
        <s v="东星海泰81"/>
        <s v="国家能源611/2603"/>
        <s v="华锦隆/2607"/>
        <s v="国家能源608/2607"/>
        <s v="“大禹长航/V2607”"/>
        <s v="鑫泰128/2604、锦航奋进/2605"/>
        <s v="鑫泰 128/2610"/>
        <s v="炜业 58/2608"/>
        <s v="利泰朝阳/2606、炜业 58/2608"/>
        <s v="集装箱计划编号YHSZ-26-041703"/>
        <s v="弘泰818/2605"/>
        <s v="德勤68/2611"/>
        <s v=" 集装箱计划号YHSZ-26-020926"/>
        <s v="合盛顺达/2607"/>
        <s v="恒顺达8/2607"/>
        <s v="锦富航 69/2608"/>
        <s v="鑫远航6/2608"/>
        <s v="集改散"/>
        <s v="南方地采-谷润/26003"/>
        <s v="柯兴发展/2606"/>
        <s v="YHSZ-26-041720"/>
        <s v="YHSZ-26-020916-4, YHSZ-26-041719-2"/>
        <s v="YHSZ-26-020916-4, YHSZ-26-041719"/>
        <s v="YHSZ-26-011509,YHSZ-26-020916-2"/>
        <s v="YHSZ-26-041719-2"/>
        <s v="计划号：YHSZ-26-041705-2"/>
        <s v="福昌耀/2609"/>
        <s v="炜业99/2604\福昌耀/2609\福昌耀/2609"/>
        <s v="炜业99/2604"/>
        <s v="国丰-中埠鑫航-Q35"/>
        <s v="中安 9/2603、华辰 9/2609"/>
        <s v="“利达海/V2606”轮"/>
        <s v="航安发展/2608"/>
        <s v="宝洋26/2606"/>
        <s v="锦富航69/2608"/>
        <s v="合盛顺达/2607_x000a_航安发展/2608"/>
      </sharedItems>
    </cacheField>
    <cacheField name="费用对应销售合同号" numFmtId="0">
      <sharedItems containsBlank="1" count="292">
        <m/>
        <s v="JZXYMGXXJ250003"/>
        <s v="JZXYMFJZZ250004"/>
        <s v="YMFJZZ250152"/>
        <s v="YMFJZZ250142"/>
        <s v="YMFJZZ250173"/>
        <s v="YMFJZZ250130"/>
        <s v="YHSZFJ250613XMX0001"/>
        <s v="YMZSJJY250170"/>
        <s v="YMZSIIY250177"/>
        <s v="JZXYMZSJJM25047"/>
        <s v="YMZSJQY250219"/>
        <s v="YMZSJQY250205"/>
        <s v="YMZSJQY250179"/>
        <s v="JCYMZSJQY250029-1"/>
        <s v="YMYXMM250768"/>
        <s v="JZXYMZSJJM25048"/>
        <s v="YMYXYJ250166"/>
        <s v="YMYXMM250260"/>
        <s v="JZXYMGXXJ250067"/>
        <s v="YHYMGXXS250904003"/>
        <s v="YMZSJDG250122"/>
        <s v="/YMGXQZ250275/YMGXQZ250276"/>
        <s v="YHYMZSJXS251113002"/>
        <s v="YMYXMM250558"/>
        <s v="YMYXMM250554"/>
        <s v="YMYXMM250602"/>
        <s v="YMYXMM250553"/>
        <s v="YMYXMM250596"/>
        <s v="YMYXMM250582"/>
        <s v="YMYXMM250569"/>
        <s v="YMYXMM250564"/>
        <s v="YMYXMM250576"/>
        <s v="YMYXMM250507"/>
        <s v="YMLDW251027018"/>
        <s v="YMYXMM250594"/>
        <s v=" YMHN250282"/>
        <s v="YMFJZZ250298"/>
        <s v="YMFJFZ250114"/>
        <s v="YMFJZZ250287"/>
        <s v="JZXYMFJFZ250080"/>
        <s v="JZXYMFJFZ250074"/>
        <s v="YMZSJQY250105"/>
        <s v="YMZSJDGJZX250422"/>
        <s v="YMZSJDKHLY250180"/>
        <s v="YMZSJDKHWS250037"/>
        <s v="YMZSJDKHWS250025-3"/>
        <s v="YMZSJDKHWS250025-2"/>
        <s v="YMZSJDKHWS250030"/>
        <s v="YMZSJDKHWS250033"/>
        <s v="YMYXMM250391"/>
        <s v="YMYXMM250392"/>
        <s v="YMZSJJM25081"/>
        <s v="JZXYMFJFZ250075"/>
        <s v="JZXYMFJFZ250072"/>
        <s v="JCYMZSJDG25053-1"/>
        <s v="YMFJFZ250086"/>
        <s v="YMFJFZ250187"/>
        <s v="YMZSJJY250186"/>
        <s v="JCYMHN250088-1"/>
        <s v="JCYMZSJQY250029-2"/>
        <s v="YMZSJDKHLY250195"/>
        <s v="JZXYMZSJQY250113"/>
        <s v="JZXYMHN250170"/>
        <s v="JZXYMYXMM250805"/>
        <s v="JCYMZSJQY250011-1"/>
        <s v="YMYMGXXJ250141"/>
        <s v="JZXYMLCYDG251207"/>
        <s v="YMYXMM250863"/>
        <s v="JZXYMZSJJM25040"/>
        <s v="JZXYMFJFZ250084"/>
        <s v="YMZSJDKHWS250040-2"/>
        <s v="YMZSIDKHWS250038-5"/>
        <s v="YMZSJDKHWS250041-2"/>
        <s v="YMGXXJ250144"/>
        <s v="YMGXXJ250134"/>
        <s v="YMFJFZ250159"/>
        <s v="YMFJFZ250134"/>
        <s v="YMGXQZ250316"/>
        <s v="JZXYMLCYDG251212"/>
        <s v="YMGXQZ250315"/>
        <s v="YMZSJJY250195 扣"/>
        <s v="YMZSJDKHWS250045"/>
        <s v="YMZSJDKHWS250046"/>
        <s v="YMZSJXXW260001"/>
        <s v="YMYXYJ250250-1"/>
        <s v="YMYXYJ250250-3"/>
        <s v="YMZSJJY250201)"/>
        <s v="YMZSJDGJZX250427"/>
        <s v="YMGXQZ250317"/>
        <s v="JZXYMZSJJM26001"/>
        <s v="YMYXMM250904"/>
        <s v="YMHN250338"/>
        <s v="YMZSJQY250182、YMZSJQY250189"/>
        <s v="YMZSJQY250280"/>
        <s v="YMZSJQY250293"/>
        <s v="YMZSJQY250284"/>
        <s v="YMFJFZ250183"/>
        <s v="YMFJFZ250188"/>
        <s v="YHYMZSJXS251118002"/>
        <s v="YMZSJDKHWS250048-1"/>
        <s v="YMZSJDKHWS250049-3"/>
        <s v="YMZSJJMYX25050、YMZSJJMYX25052、YMZSJJMYX25057"/>
        <s v="YMZSJJM25103"/>
        <s v="YMFJZZ250304"/>
        <s v="YMFJZZ250315"/>
        <s v="YMFJFZ260006"/>
        <s v="YMFJFZ260002"/>
        <s v="JZXYMDG26003"/>
        <s v="YMZSJDG250415"/>
        <s v="YMZSJDG250414"/>
        <s v="YMZSJDG250446"/>
        <s v="JZXYMDG26007"/>
        <s v="JZXYMLCYDG251208"/>
        <s v="JZXYMLCYDG251209"/>
        <s v="YMGXNN250144"/>
        <s v="YMGXQZ250329"/>
        <s v="JCYMZSJM25006-4"/>
        <s v="YMZSJJM25084"/>
        <s v="YMFJFZ250210"/>
        <s v="YMFJZZ250316"/>
        <s v="YMFJZZ250313等30笔合同"/>
        <s v="JZXYMZSJM26002"/>
        <s v="JZXYMZSJJM26009"/>
        <s v="YMGXQZ250335"/>
        <s v="YMGXQZ250314"/>
        <s v="YMZSJDKHLY250202"/>
        <s v="YMZSJDKHLY250206"/>
        <s v="YMZSJJY250204"/>
        <s v="YMFJZZ260004"/>
        <s v="YMFJZZ260019"/>
        <s v="JZXYMFJFZ250086"/>
        <s v="YMZSJDG26010"/>
        <s v="JZXYMDG26016"/>
        <s v="YMFJFZ260003"/>
        <s v="YMZSJQY250294"/>
        <s v="JZXYMZSJQY260002"/>
        <s v="JZXYMLCYDG251210"/>
        <s v="YMZSJDKHSBT250017"/>
        <s v="YMZSJDKHSBT260001"/>
        <s v="YMYXYJ250218"/>
        <s v="YMYXYJ250225"/>
        <s v="YMZSJDKHWS250049-2"/>
        <s v="JZXYMDG26014"/>
        <s v="JCYMHN260002-1"/>
        <s v="YMGXNN250131"/>
        <s v="YMZSJQY260016"/>
        <s v="YMZSJDKHWS250048-2"/>
        <s v="YMZSJDKHWS250048-3"/>
        <s v="YMZSJJY250224"/>
        <s v="JCYMZSJDG25051-1"/>
        <s v="YMFJFZ250158"/>
        <s v="YMZSJDG250412"/>
        <s v="YMGXXJ250149_x000a_YMGXXJ260002_x000a_YMGXXJ260003"/>
        <s v="YMZSJDG250500"/>
        <s v="JZXYMDG26018"/>
        <s v="YMFJFZ260012"/>
        <s v="JZXYMZSJJM26005"/>
        <s v="YMZSJDKHLY260001"/>
        <s v="YMZSJDKHLY250204"/>
        <s v="YMFJFZ250164"/>
        <s v="YMFJFZ250165"/>
        <s v="JZXYMDG26017"/>
        <s v="JZXYMDG26015"/>
        <s v="YMFJFZ250189-1"/>
        <s v="YMYXYJ260001-2"/>
        <s v="YMYXYJ260004-2"/>
        <s v="YMYXYJ260013-2"/>
        <s v="JCYMGXQZ260002-1"/>
        <s v="YMYXYJ260013-3"/>
        <s v="YMYXYJ260013-1"/>
        <s v="JCYMYXMM260005-1"/>
        <s v="YMZSJQY250282"/>
        <s v="益嘉98/2534"/>
        <s v="YMGXQZ260018"/>
        <s v="YMFJZZ250325"/>
        <s v="JCYMZSJJM25007-4"/>
        <s v="YMGXQZ260004"/>
        <s v="JCYMGXXJ260003-1"/>
        <s v="YMGXXJ250157"/>
        <s v="JZXYMZSJQY260019"/>
        <s v="JZXYMZSJQY260022"/>
        <s v="YMZSJDG26001"/>
        <s v="YMZSJDG26002"/>
        <s v="YMYXMM250880"/>
        <s v=" YMZSJJY250221"/>
        <s v="YMZSJJY250228"/>
        <s v="JZXYMHN260011"/>
        <s v="YMFJFZ260029"/>
        <s v="JCYMFJFZ250017-1"/>
        <s v="YMFJFZ250196"/>
        <s v="JZXYMGXQZ260007"/>
        <s v="YMLDW2603033001"/>
        <s v="YMYXMM260008-1"/>
        <s v="YMZSJJY250230"/>
        <s v="YMZSJJY250216"/>
        <s v="YMZSJJY250227"/>
        <s v=":JCYMZSJQY250043-2"/>
        <s v="JZXYMZSJJM26026"/>
        <s v="YMZSJDKHISBT2600017"/>
        <s v="YMZSJHD260076"/>
        <s v="YMGXXJ260017"/>
        <s v="JCYMGXXJ260002-1"/>
        <s v="JCYMGXXJ260004-2"/>
        <s v="YMFJFZ260005"/>
        <s v="YMFJZZ260043"/>
        <s v="YMZSJJY250229"/>
        <s v="JCYMZSJJY250155-1"/>
        <s v="YMFJFZ260021"/>
        <s v="YMZSJM26013"/>
        <s v="YMFJFZ260034"/>
        <s v="YMFJFZ260011"/>
        <s v="YMFJFZ260030"/>
        <s v="JZXYMZSJQY260008"/>
        <s v="YMFJFZ250194"/>
        <s v="JZXYMSZCG260012"/>
        <s v="YMZSJDKHLY250166"/>
        <s v="YMZSJDKHLY250168"/>
        <s v="YMFJFZ260017"/>
        <s v="YMZSJDG26016"/>
        <s v="YMZSJDG26011"/>
        <s v="YMZSJDG26050"/>
        <s v="YMFJZZ260035"/>
        <s v="YMFJZZ260036"/>
        <s v="YMZSJQY260021"/>
        <s v="JZXYMZSJJM25078"/>
        <s v="YMFJFZ260008"/>
        <s v="YMFJFZ260013"/>
        <s v="YMFJFZ260063"/>
        <s v="YMFJFZ260035"/>
        <s v="YMZSJJM26024"/>
        <s v="YMFJFZ260020"/>
        <s v="YMFJFZ260018"/>
        <s v="JZXYMFJFZ250092"/>
        <s v="YMGXQZ260030"/>
        <s v="YMZSJJY250232"/>
        <s v="YMZSJJY250234"/>
        <s v="JZXYMZSJJM26039"/>
        <s v="JZXYMZSJJM26046"/>
        <s v="YMYXMM260086"/>
        <s v="YMYXMM260095"/>
        <s v="JCYMZSJJY250156-1"/>
        <s v="YMLDW260417008"/>
        <s v="YMFJZZ260057"/>
        <s v="YMFJZZ260059、YMFJZZ260060"/>
        <s v="YMFJZZ260069"/>
        <s v=" JZXYMZSJJM26038"/>
        <s v="YMYXZJ260058"/>
        <s v="YMFJFZ260113"/>
        <s v="YMYXMM260109"/>
        <s v="YMFJFZ260097"/>
        <s v="YMFJFZ260062"/>
        <s v="YMGXXJ260030"/>
        <s v=" YMZSJDG26034"/>
        <s v="YMYXYJ260054"/>
        <s v="JZXYMZSJQY260049"/>
        <s v="JCYMFJFZ250065-1"/>
        <s v="JZXYMZSJQY260044"/>
        <s v="JZXYMZSJQY260043"/>
        <s v="JZXYMZSJQY260027、JZXYMZSJQY260026"/>
        <s v="JZXYMZSJQY260029"/>
        <s v="JZXYMGXXJ26002"/>
        <s v="YMLDW260325004"/>
        <s v="YMYXYJ260075"/>
        <s v=" JCYMZSJDG25054-1 "/>
        <s v="YMFJZZ260063"/>
        <s v="JZXYMFJZZ260020"/>
        <s v="JZXYMHN260071"/>
        <s v="YMFJFZ260028"/>
        <s v="YMFJFZ260042\YMFJFZ260060\YMFJFZ260067"/>
        <s v="YMFJZZ260048、YMFJZZ260061、YMFJZZ260064、YMFJZZ260073"/>
        <s v="YMFJFZ260041"/>
        <s v="YMFJFZ260081"/>
        <s v="YMFJFZ260107"/>
        <s v="YMFJFZ250198"/>
        <s v="YMFJFZ260096"/>
        <s v="JZXYMFJFZ260001"/>
        <s v="YMFJFZ260103"/>
        <s v="JZXYMZSJQY260050"/>
        <s v="YMSZCG260003"/>
        <s v="JZXYMFJFZ260002"/>
        <s v="YMZSJJY250236"/>
        <s v="YMGXQZ260082"/>
        <s v="YMYXZJ260083"/>
        <s v="YMZSJDG26041"/>
        <s v="JZXYMZSJDG26048"/>
        <s v="YMFJZZ260079"/>
        <s v="YMFJZZ260078"/>
        <s v="YMFJZZ260074"/>
        <s v=" YMZSJDG26058 "/>
        <s v="YMYXMM260240"/>
        <s v="YMYXZJ260047"/>
      </sharedItems>
    </cacheField>
    <cacheField name="发出部门" numFmtId="0">
      <sharedItems containsBlank="1" count="8">
        <s v="福建经营部"/>
        <s v="广西经营部"/>
        <s v="珠三角经营部"/>
        <s v="粤西经营部"/>
        <m/>
        <s v="海南经营部"/>
        <s v="YMZSJDGJZX250422"/>
        <s v="福建" u="1"/>
      </sharedItems>
    </cacheField>
    <cacheField name="接收部门" numFmtId="0">
      <sharedItems containsBlank="1" count="5">
        <s v="饲料原料部、风险管理部、财务部"/>
        <m/>
        <s v="饲料原料部"/>
        <s v="饲料原料部、物流仓储部"/>
        <s v="珠三角经营部"/>
      </sharedItems>
    </cacheField>
    <cacheField name="发起人" numFmtId="0">
      <sharedItems containsBlank="1" count="28">
        <s v="林玉婷"/>
        <s v="侯霄"/>
        <s v="陈静文"/>
        <s v="蚁毓霖"/>
        <s v="汤妮"/>
        <s v="董典昊"/>
        <s v="余诗莹"/>
        <s v="刘佳莹"/>
        <m/>
        <s v="朱雪语"/>
        <s v="林佳琦"/>
        <s v="宁昕"/>
        <s v="严代亮"/>
        <s v="沈业润"/>
        <s v="范闻超"/>
        <s v="杜宜衡"/>
        <s v="李长聪"/>
        <s v="凌梓峰"/>
        <s v="许开兴"/>
        <s v="许满"/>
        <s v="郭良伟"/>
        <s v="李戈"/>
        <s v="杨伟文"/>
        <s v="谭鑫"/>
        <s v="刘源"/>
        <s v="张子杰"/>
        <s v="周聪声"/>
        <s v="李洁静"/>
      </sharedItems>
    </cacheField>
    <cacheField name="复核人1" numFmtId="0">
      <sharedItems containsBlank="1" count="5">
        <s v="福建经营部"/>
        <s v="广西经营部"/>
        <s v="珠三角经营部"/>
        <m/>
        <s v="饲料原料部"/>
      </sharedItems>
    </cacheField>
    <cacheField name="复核人2" numFmtId="0">
      <sharedItems containsBlank="1" count="2">
        <s v="大区品种线"/>
        <m/>
      </sharedItems>
    </cacheField>
    <cacheField name="复核人3" numFmtId="0">
      <sharedItems containsString="0" containsBlank="1" containsNonDate="0" count="1">
        <m/>
      </sharedItems>
    </cacheField>
    <cacheField name="复核人4" numFmtId="0">
      <sharedItems containsString="0" containsBlank="1" containsNonDate="0" count="1">
        <m/>
      </sharedItems>
    </cacheField>
    <cacheField name="复核人5" numFmtId="0">
      <sharedItems containsString="0" containsBlank="1" containsNonDate="0" count="1">
        <m/>
      </sharedItems>
    </cacheField>
    <cacheField name="费用最终承担方" numFmtId="0">
      <sharedItems containsBlank="1" count="2">
        <s v="供应商"/>
        <m/>
      </sharedItems>
    </cacheField>
    <cacheField name="承担方名称/对应合同号" numFmtId="0">
      <sharedItems containsString="0" containsBlank="1" containsNonDate="0" count="1">
        <m/>
      </sharedItems>
    </cacheField>
    <cacheField name="复核结果备注" numFmtId="0">
      <sharedItems containsString="0" containsBlank="1" containsNonDate="0" count="1">
        <m/>
      </sharedItems>
    </cacheField>
    <cacheField name="扣款原因-清洗" numFmtId="0">
      <sharedItems containsBlank="1" count="10">
        <m/>
        <s v="水分"/>
        <s v="霉变"/>
        <s v="毒素"/>
        <s v="杂质"/>
        <s v="不完善粒"/>
        <s v="销售额外费用"/>
        <s v="短重"/>
        <s v="热损伤"/>
        <s v="容重"/>
      </sharedItems>
    </cacheField>
    <cacheField name="年" numFmtId="0">
      <sharedItems containsSemiMixedTypes="0" containsString="0" containsNumber="1" containsInteger="1" minValue="1900" maxValue="2026" count="3">
        <n v="2025"/>
        <n v="2026"/>
        <n v="1900" u="1"/>
      </sharedItems>
    </cacheField>
    <cacheField name="月" numFmtId="0">
      <sharedItems containsSemiMixedTypes="0" containsString="0" containsNumber="1" containsInteger="1" minValue="1" maxValue="12" count="12">
        <n v="5"/>
        <n v="6"/>
        <n v="7"/>
        <n v="8"/>
        <n v="12"/>
        <n v="11"/>
        <n v="10"/>
        <n v="9"/>
        <n v="1"/>
        <n v="2"/>
        <n v="3"/>
        <n v="4"/>
      </sharedItems>
    </cacheField>
    <cacheField name="日" numFmtId="0">
      <sharedItems containsSemiMixedTypes="0" containsString="0" containsNumber="1" containsInteger="1" minValue="2" maxValue="30" count="29">
        <n v="5"/>
        <n v="9"/>
        <n v="18"/>
        <n v="28"/>
        <n v="11"/>
        <n v="20"/>
        <n v="19"/>
        <n v="29"/>
        <n v="27"/>
        <n v="14"/>
        <n v="15"/>
        <n v="10"/>
        <n v="16"/>
        <n v="3"/>
        <n v="22"/>
        <n v="23"/>
        <n v="24"/>
        <n v="25"/>
        <n v="26"/>
        <n v="12"/>
        <n v="30"/>
        <n v="7"/>
        <n v="8"/>
        <n v="13"/>
        <n v="21"/>
        <n v="2"/>
        <n v="6"/>
        <n v="4"/>
        <n v="17"/>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186.8739467593" refreshedBy="23850" recordCount="307">
  <cacheSource type="worksheet">
    <worksheetSource ref="A1:AA1048576" sheet="流程"/>
  </cacheSource>
  <cacheFields count="26">
    <cacheField name="联系单编号" numFmtId="0">
      <sharedItems containsBlank="1" count="288">
        <s v="FJSWKK250529"/>
        <m/>
        <s v="JZXYMFJZZ250004-lxd01"/>
        <s v="YMFJZZ250152-lxd01"/>
        <s v="YMFJZZ250142-lxd01"/>
        <s v="YMFJZZ250173-lxd01"/>
        <s v="YMFJZZ250130-lxd01"/>
        <s v="YHSZFJ250613XMX0001-lxd01"/>
        <s v="YMZSJJY250170"/>
        <s v="YMZSIIY250177"/>
        <s v=" JZXYMZSJJM25047 玉米扣款—保险"/>
        <s v=" JZXYMZSJJM25047 玉米扣款"/>
        <s v="YMZSJQY250219"/>
        <s v="YMZSJQY250205"/>
        <s v="YMZSJQY250179"/>
        <s v="JCYMZSJQY250029-1"/>
        <s v="YMYXMM250768"/>
        <s v="关于JZXYMZSJJM25048玉米扣款"/>
        <s v="YMYXYJ250166"/>
        <s v="茂名海航 YMYXMM250260 质量扣款的情况说明"/>
        <s v="YMFJFZ250147"/>
        <s v="YMFJZZ250287"/>
        <s v="JZXYMGXXJ250067"/>
        <s v="YHYMGXXS250904003"/>
        <s v="YMZSJDG250122"/>
        <s v="YHYMZSJXS251113002"/>
        <s v="YMYXMM250558"/>
        <s v="YMYXMM250554"/>
        <s v="YMYXMM250602"/>
        <s v="YMYXMM250553"/>
        <s v="YMYXMM250596"/>
        <s v="YMYXMM250582"/>
        <s v="YMYXMM250569"/>
        <s v="YMYXMM250564"/>
        <s v="YMYXMM250576"/>
        <s v="YMYXMM250507"/>
        <s v="YMLDW251027018"/>
        <s v="JZXYMFJZZ250045"/>
        <s v="YMYXMM250594"/>
        <s v="YMFJFZ250174"/>
        <s v="YMHN250282"/>
        <s v="YMFJZZ250298"/>
        <s v="YMFJFZ250114"/>
        <s v="YMFJZZ250273"/>
        <s v="JZXYMFJFZ250080"/>
        <s v="JZXYMFJFZ250074"/>
        <s v="YMZSJQY250105"/>
        <s v="YMZSJDGJZX250422"/>
        <s v="YMZSJDKHLY250180"/>
        <s v="YMZSJDKHWS250037"/>
        <s v="YMZSJDKHWS250025-3"/>
        <s v="YMZSJDKHWS250025-2"/>
        <s v="YMZSJDKHWS250030"/>
        <s v="YMZSJDKHWS250033"/>
        <s v="YMYXMM250391"/>
        <s v="YMYXMM250392"/>
        <s v="YMZSJJM25081"/>
        <s v="JZXYMFJFZ250075"/>
        <s v="JZXYMFJFZ250072"/>
        <s v="JCYMZSJDG25053-1"/>
        <s v="YMFJFZ250086"/>
        <s v="YMFJFZ250187"/>
        <s v="JCYMHN250088-1"/>
        <s v="JZXYMFJFZ250081"/>
        <s v="JCYMZSJQY250029-2"/>
        <s v="YMZSJDKHLY250195"/>
        <s v="JZXYMZSJQY250113"/>
        <s v="JZXYMHN250170"/>
        <s v="JZXYMYXMM250805"/>
        <s v="JCYMZSJQY250011-1"/>
        <s v="JZXYMLCYDG251207"/>
        <s v="JZXYMZSJJM25040"/>
        <s v="JZXYMFJFZ250084"/>
        <s v="YMZSJDKHWS250040-2"/>
        <s v="YMZSIDKHWS250038-5"/>
        <s v="YMZSJDKHWS250041-2"/>
        <s v="YMGXXJ250144"/>
        <s v="YMGXXJ250134"/>
        <s v="YMFJFZ250159"/>
        <s v="YMFJFZ250134"/>
        <s v="YMGXQZ250316"/>
        <s v="JZXYMLCYDG251212"/>
        <s v="YMGXQZ250315"/>
        <s v="YMZSJJY250195"/>
        <s v="YMZSJDKHWS250045"/>
        <s v="YMZSJDKHWS250046"/>
        <s v="YMZSJXXW260001"/>
        <s v="YMYXYJ250250-1"/>
        <s v="YMYXYJ250250-3"/>
        <s v="YMZSJJY250201"/>
        <s v="YMZSJDGJZX250427"/>
        <s v="YMGXQZ250317"/>
        <s v="JZXYMZSJJM26001"/>
        <s v="YMHN250338"/>
        <s v="YMZSJQY250182、YMZSJQY250189"/>
        <s v="YMZSJQY250280"/>
        <s v="YMZSJQY250293"/>
        <s v="YMZSJQY250294"/>
        <s v="YMFJFZ250183"/>
        <s v="YMFJFZ250188"/>
        <s v="YHYMZSJXS251118002"/>
        <s v="YMZSJDKHWS250048-1"/>
        <s v="YMZSJDKHWS250049-3"/>
        <s v="YMZSJJM26007"/>
        <s v="YMZSJJM25103-2"/>
        <s v="YMFJZZ250304"/>
        <s v="YMFJZZ250315"/>
        <s v="YMFJFZ260011"/>
        <s v="YMFJFZ260002"/>
        <s v="JZXYMDG26003"/>
        <s v="YMZSJDG250415"/>
        <s v="YMZSJDG250414"/>
        <s v="YMZSJDG250446"/>
        <s v="JZXYMDG26007"/>
        <s v="JZXYMLCYDG251208"/>
        <s v="JZXYMLCYDG251209"/>
        <s v="YMGXNN250144-01"/>
        <s v="JCYMZSJM25006-4"/>
        <s v="YMZSJJM25084"/>
        <s v="YMFJFZ250210"/>
        <s v="YMFJZZ250316"/>
        <s v="YMFJZZ250313"/>
        <s v="JZXYMZSJM26002"/>
        <s v="JZXYMZSJJM26009"/>
        <s v="YMGXQZ250335"/>
        <s v="YMGXQZ250314"/>
        <s v="YMZSJDKHLY250202"/>
        <s v="YMZSJDKHLY250206"/>
        <s v="YMZSJJY250204"/>
        <s v="YMFJZZ260004"/>
        <s v="YMFJZZ260019"/>
        <s v="JZXYMFJFZ250086"/>
        <s v="YMZSJDG26010"/>
        <s v="JZXYMDG26016"/>
        <s v="YMFJFZ260003"/>
        <s v="YMFJZZ260010"/>
        <s v="JZXYMZSJQY260002"/>
        <s v="JZXYMLCYDG251210"/>
        <s v="YMZSJDKHSBT250017"/>
        <s v="YMZSJDKHSBT260001"/>
        <s v="YMYXYJ250218"/>
        <s v="YMYXYJ250225"/>
        <s v="YMZSJDKHWS250049-2"/>
        <s v="JZXYMDG26014"/>
        <s v="JCYMHN260002-1"/>
        <s v="YMGXNN250131-01"/>
        <s v="YMZSJQY260016"/>
        <s v="YMZSJDKHWS250048-2"/>
        <s v="YMZSJDKHWS250048-3"/>
        <s v="YMZSJJY250224"/>
        <s v="JCYMZSJDG25051-1"/>
        <s v="YMFJFZ250158"/>
        <s v="YMZSJDG250412"/>
        <s v="YMGXXJ250149_x000a_YMGXXJ260002_x000a_YMGXXJ260003"/>
        <s v="YMZSJDG250500"/>
        <s v="JZXYMDG26018"/>
        <s v="YMFJFZ260012"/>
        <s v="JZXYMZSJJM26005"/>
        <s v="YMZSJDKHLY260001"/>
        <s v="YMZSJDKHLY250204"/>
        <s v="YMFJFZ250164"/>
        <s v="YMFJFZ250165"/>
        <s v="JZXYMDG26017"/>
        <s v="JZXYMDG26015"/>
        <s v="YMFJFZ250189"/>
        <s v="YMYXYJ260001-2"/>
        <s v="YMYXYJ260004-2"/>
        <s v="YMYXYJ260013-2"/>
        <s v="JCYMGXQZ260002-1"/>
        <s v="YMYXYJ260013-3"/>
        <s v="YMYXYJ260013-1"/>
        <s v="JCYMYXMM260005-1"/>
        <s v="YMZSJQY250282"/>
        <s v="YMYXMM260016"/>
        <s v="YMGXQZ260018"/>
        <s v="YMFJZZ250325"/>
        <s v="JCYMZSJJM25007-4"/>
        <s v="YMGXQZ260004"/>
        <s v="JCYMGXXJ260003-1"/>
        <s v="YMGXXJ250157"/>
        <s v="JZXYMZSJQY260019"/>
        <s v="YMZSJDG26001"/>
        <s v="YMZSJDG26002"/>
        <s v="YMYXMM250880"/>
        <s v="YMZSJJY250221"/>
        <s v="YMZSJJY250228"/>
        <s v="JZXYMHN260011"/>
        <s v="YMFJFZ260029"/>
        <s v="JCYMFJFZ250017-1"/>
        <s v="YMFJFZ250196"/>
        <s v="JZXYMGXQZ260007"/>
        <s v="YMLDW2603033001-1"/>
        <s v="YMYXMM260008-1"/>
        <s v="YMZSJJY250230"/>
        <s v="YMZSJJY250216"/>
        <s v="YMZSJJY250227"/>
        <s v=":JCYMZSJQY250043-2"/>
        <s v="JZXYMZSJJM26026"/>
        <s v="YMZSJDKHISBT2600017"/>
        <s v="YMZSJHD260076"/>
        <s v="YMGXXJ260017"/>
        <s v="JCYMGXXJ260002-1"/>
        <s v="JCYMGXXJ260004-2"/>
        <s v="YMFJFZ260005"/>
        <s v="YMFJZZ260043"/>
        <s v="YMZSJJY250229"/>
        <s v="JCYMZSJJY250155-1"/>
        <s v="YMFJFZ260021"/>
        <s v="YMZSJM26013"/>
        <s v="YMFJFZ260034"/>
        <s v="YMFJFZ260030"/>
        <s v="JZXYMZSJQY260008"/>
        <s v="YMFJFZ250194"/>
        <s v="YMZSJDKHLY250166"/>
        <s v="YMZSJDKHLY250168"/>
        <s v="YMFJFZ260017"/>
        <s v="YMZSJDG26016"/>
        <s v="YMZSJDG26011"/>
        <s v="YMZSJDG26050"/>
        <s v="YMFJZZ260035"/>
        <s v="YMFJZZ260036"/>
        <s v="YMZSJQY260021"/>
        <s v="JZXYMZSJJM26037"/>
        <s v="YMFJFZ260008"/>
        <s v="YMFJFZ260013"/>
        <s v="YMFJFZ260063"/>
        <s v="YMFJFZ260035"/>
        <s v="YMZSJJM26024"/>
        <s v="YMFJFZ260020"/>
        <s v="YMFJFZ260018"/>
        <s v="JZXYMFJFZ250092"/>
        <s v="YMGXQZ260030"/>
        <s v="YMZSJJY250232"/>
        <s v="YMZSJJY250234"/>
        <s v="JZXYMZSJJM26039"/>
        <s v="JZXYMZSJJM26046"/>
        <s v="YMYXMM260086"/>
        <s v="YMYXMM260095"/>
        <s v="JCYMZSJJY250156-1"/>
        <s v="YMLDW260417008-SK"/>
        <s v="YMFJZZ260057"/>
        <s v="YMFJZZ260059、YMFJZZ260060"/>
        <s v="YMFJZZ260069"/>
        <s v=" JZXYMZSJJM26038"/>
        <s v="YMYXZJ260058-SK"/>
        <s v="YMFJFZ260113"/>
        <s v="YMYXMM260109"/>
        <s v="YMFJFZ260097"/>
        <s v="YMFJFZ260062"/>
        <s v="YMGXXJ260030"/>
        <s v="YMZSJDG26034"/>
        <s v="YMYXYJ260054"/>
        <s v="JZXYMZSJQY260049"/>
        <s v="JCYMFJFZ250065-1"/>
        <s v="JZXYMZSJQY260044"/>
        <s v="JZXYMZSJQY260043"/>
        <s v="JZXYMZSJQY260027、JZXYMZSJQY260026"/>
        <s v="JZXYMZSJQY260029"/>
        <s v="JZXYMGXXJ26002"/>
        <s v="YMLDW260325004"/>
        <s v="YMYXYJ260075"/>
        <s v=" JCYMZSJDG25054-1 "/>
        <s v="YMFJZZ260063"/>
        <s v="JZXYMFJZZ260020"/>
        <s v="JZXYMHN260071"/>
        <s v="YMFJFZ260028"/>
        <s v="YMFJFZ260042\YMFJFZ260060\YMFJFZ260067"/>
        <s v="YMFJZZ260048、YMFJZZ260061、YMFJZZ260064、YMFJZZ260073"/>
        <s v="YMFJFZ260041"/>
        <s v="YMFJFZ260081"/>
        <s v="YMFJFZ260107"/>
        <s v="YMFJFZ250198"/>
        <s v="YMFJFZ260096"/>
        <s v="JZXYMFJFZ260001"/>
        <s v="YMFJFZ260103"/>
        <s v="JZXYMZSJQY260050"/>
        <s v="JZXYMFJFZ260002"/>
        <s v="YMZSJJY250236"/>
        <s v="YMGXQZ260082"/>
        <s v="YMYXZJ260083-SK"/>
        <s v="YMZSJDG26041"/>
        <s v="JZXYMZSJDG26048"/>
        <s v="YMFJZZ260079"/>
        <s v="YMFJZZ260078"/>
        <s v="YMFJZZ260074"/>
        <s v=" YMZSJDG26058 "/>
        <s v="YMYXMM260240"/>
        <s v="YMYXZJ260047"/>
      </sharedItems>
    </cacheField>
    <cacheField name="费用发生时间" numFmtId="176">
      <sharedItems containsBlank="1" containsDate="1" containsMixedTypes="1" count="171">
        <d v="2025-04-05T00:00:00"/>
        <s v="5/13-5/15"/>
        <s v="2025/5/17、6/2"/>
        <s v="2025/5/16、6/4"/>
        <d v="2025-06-03T00:00:00"/>
        <d v="2025-07-28T00:00:00"/>
        <d v="2025-08-11T00:00:00"/>
        <d v="2025-08-20T00:00:00"/>
        <d v="2025-08-19T00:00:00"/>
        <d v="2025-12-10T00:00:00"/>
        <d v="2025-09-25T00:00:00"/>
        <d v="2025-11-19T00:00:00"/>
        <d v="2025-11-21T00:00:00"/>
        <d v="2025-11-24T00:00:00"/>
        <d v="2025-11-27T00:00:00"/>
        <d v="2025-11-18T00:00:00"/>
        <d v="2025-10-03T00:00:00"/>
        <d v="2025-12-11T00:00:00"/>
        <d v="2025-08-26T00:00:00"/>
        <d v="2011-06-09T00:00:00"/>
        <d v="2025-11-22T00:00:00"/>
        <d v="2025-11-14T00:00:00"/>
        <s v="9月13"/>
        <d v="2025-07-29T00:00:00"/>
        <d v="2025-11-26T00:00:00"/>
        <d v="2025-10-13T00:00:00"/>
        <d v="2025-10-17T00:00:00"/>
        <d v="2025-10-20T00:00:00"/>
        <d v="2025-10-16T00:00:00"/>
        <d v="2025-10-27T00:00:00"/>
        <d v="2025-10-31T00:00:00"/>
        <s v="11-14-22"/>
        <d v="2025-11-28T00:00:00"/>
        <d v="2025-11-23T00:00:00"/>
        <d v="2025-10-30T00:00:00"/>
        <d v="2025-10-22T00:00:00"/>
        <d v="2025-09-16T00:00:00"/>
        <d v="2025-12-09T00:00:00"/>
        <d v="2025-11-30T00:00:00"/>
        <d v="2025-09-20T00:00:00"/>
        <d v="2025-10-11T00:00:00"/>
        <d v="2025-12-06T00:00:00"/>
        <d v="2025-11-20T00:00:00"/>
        <s v="2025-8-14-9-14"/>
        <s v="11-24-29"/>
        <d v="2025-12-18T00:00:00"/>
        <s v="11-30-12-8"/>
        <s v="11月27日-11月30日"/>
        <d v="2025-11-29T00:00:00"/>
        <d v="2025-12-14T00:00:00"/>
        <d v="2025-12-03T00:00:00"/>
        <d v="2025-12-19T00:00:00"/>
        <d v="2025-12-17T00:00:00"/>
        <d v="2025-12-29T00:00:00"/>
        <d v="2026-01-02T00:00:00"/>
        <d v="2025-12-25T00:00:00"/>
        <s v="2025年12月4日-2025年12月12日"/>
        <d v="2025-12-31T00:00:00"/>
        <d v="2026-01-04T00:00:00"/>
        <d v="2026-12-27T00:00:00"/>
        <d v="2026-11-20T00:00:00"/>
        <d v="2026-12-20T00:00:00"/>
        <d v="2026-01-08T00:00:00"/>
        <d v="2026-01-11T00:00:00"/>
        <d v="2026-01-15T00:00:00"/>
        <d v="2025-12-22T00:00:00"/>
        <d v="2025-12-24T00:00:00"/>
        <d v="2026-01-14T00:00:00"/>
        <d v="2026-01-21T00:00:00"/>
        <d v="2026-01-26T00:00:00"/>
        <s v="2026/1/6-1/13"/>
        <d v="2026-01-03T00:00:00"/>
        <d v="2026-01-20T00:00:00"/>
        <d v="2025-11-09T00:00:00"/>
        <d v="2026-01-28T00:00:00"/>
        <d v="2025-09-08T00:00:00"/>
        <d v="2026-01-30T00:00:00"/>
        <d v="2026-01-19T00:00:00"/>
        <d v="2026-01-13T00:00:00"/>
        <d v="2026-01-22T00:00:00"/>
        <d v="2026-01-16T00:00:00"/>
        <d v="2026-01-01T00:00:00"/>
        <s v="2026/1/143"/>
        <d v="2026-01-29T00:00:00"/>
        <d v="2025-12-15T00:00:00"/>
        <d v="2026-01-17T00:00:00"/>
        <d v="2026-01-25T00:00:00"/>
        <d v="2026-02-04T00:00:00"/>
        <d v="2026-02-03T00:00:00"/>
        <d v="2026-01-27T00:00:00"/>
        <d v="2026-02-09T00:00:00"/>
        <d v="2026-01-10T00:00:00"/>
        <d v="2026-02-01T00:00:00"/>
        <d v="2026-01-09T00:00:00"/>
        <d v="2026-01-23T00:00:00"/>
        <d v="2026-02-06T00:00:00"/>
        <d v="2026-02-07T00:00:00"/>
        <d v="2026-02-11T00:00:00"/>
        <d v="2026-02-05T00:00:00"/>
        <s v="2025年11月14日-2026年1月20日"/>
        <s v="2026/1/15-2026/1/23_x000a_2026/1/23_x000a_2026/1/24"/>
        <d v="2026-02-13T00:00:00"/>
        <s v="2025-12-1-2026-2-10"/>
        <s v="2026-1-14-2-28"/>
        <d v="2026-02-28T00:00:00"/>
        <d v="2026-02-12T00:00:00"/>
        <s v="2025-12-1-2026-1-10"/>
        <d v="2026-02-08T00:00:00"/>
        <d v="2026-02-10T00:00:00"/>
        <d v="2026-02-14T00:00:00"/>
        <d v="2026-03-04T00:00:00"/>
        <d v="2026-03-02T00:00:00"/>
        <d v="2026-02-27T00:00:00"/>
        <d v="2026-02-02T00:00:00"/>
        <s v="2026/2/4-5"/>
        <d v="2026-03-05T00:00:00"/>
        <d v="2026-03-14T00:00:00"/>
        <d v="2026-02-16T00:00:00"/>
        <d v="2026-02-26T00:00:00"/>
        <d v="2026-03-09T00:00:00"/>
        <d v="2026-03-11T00:00:00"/>
        <d v="2026-03-13T00:00:00"/>
        <d v="2026-03-10T00:00:00"/>
        <d v="2026-03-01T00:00:00"/>
        <d v="2026-03-12T00:00:00"/>
        <d v="2026-03-03T00:00:00"/>
        <d v="2026-03-15T00:00:00"/>
        <d v="2026-03-18T00:00:00"/>
        <d v="2026-03-17T00:00:00"/>
        <d v="2026-03-08T00:00:00"/>
        <d v="2025-11-25T00:00:00"/>
        <d v="2026-03-23T00:00:00"/>
        <d v="2026-03-25T00:00:00"/>
        <d v="2026-04-15T00:00:00"/>
        <d v="2026-03-20T00:00:00"/>
        <d v="2026-03-31T00:00:00"/>
        <d v="2026-03-26T00:00:00"/>
        <d v="2026-04-27T00:00:00"/>
        <d v="2026-04-24T00:00:00"/>
        <d v="2026-04-19T00:00:00"/>
        <d v="2026-04-16T00:00:00"/>
        <d v="2026-04-21T00:00:00"/>
        <d v="2026-04-23T00:00:00"/>
        <d v="2026-05-07T00:00:00"/>
        <d v="2026-05-12T00:00:00"/>
        <d v="2026-05-10T00:00:00"/>
        <d v="2026-04-08T00:00:00"/>
        <d v="2026-04-11T00:00:00"/>
        <d v="2026-05-06T00:00:00"/>
        <d v="2026-04-28T00:00:00"/>
        <d v="2026-05-20T00:00:00"/>
        <d v="2026-04-05T00:00:00"/>
        <d v="2026-04-01T00:00:00"/>
        <d v="2026-05-09T00:00:00"/>
        <d v="2026-05-18T00:00:00"/>
        <d v="2026-05-25T00:00:00"/>
        <d v="2026-03-22T00:00:00"/>
        <s v="2026年4-5月"/>
        <d v="2026-03-21T00:00:00"/>
        <d v="2026-04-30T00:00:00"/>
        <d v="2026-05-21T00:00:00"/>
        <d v="2026-05-24T00:00:00"/>
        <m/>
        <s v="2026/5/27-28"/>
        <d v="2026-05-23T00:00:00"/>
        <d v="2026-04-26T00:00:00"/>
        <d v="2026-05-27T00:00:00"/>
        <d v="2026-05-26T00:00:00"/>
        <d v="2026-05-28T00:00:00"/>
        <d v="2026-06-02T00:00:00"/>
        <s v="2026/4/15、2026/5/7-2026/6/5"/>
      </sharedItems>
    </cacheField>
    <cacheField name="费用申请时间" numFmtId="176">
      <sharedItems containsString="0" containsBlank="1" containsNonDate="0" containsDate="1" minDate="2025-05-05T00:00:00" maxDate="2026-06-12T00:00:00" count="105">
        <d v="2025-05-05T00:00:00"/>
        <d v="2025-06-09T00:00:00"/>
        <d v="2025-06-18T00:00:00"/>
        <d v="2025-07-28T00:00:00"/>
        <d v="2025-08-11T00:00:00"/>
        <d v="2025-08-20T00:00:00"/>
        <d v="2025-08-19T00:00:00"/>
        <d v="2025-12-11T00:00:00"/>
        <d v="2025-12-09T00:00:00"/>
        <d v="2025-12-29T00:00:00"/>
        <d v="2025-11-27T00:00:00"/>
        <d v="2025-12-14T00:00:00"/>
        <d v="2025-12-15T00:00:00"/>
        <d v="2025-12-10T00:00:00"/>
        <d v="2025-12-16T00:00:00"/>
        <d v="2025-12-03T00:00:00"/>
        <d v="2025-10-22T00:00:00"/>
        <d v="2025-09-16T00:00:00"/>
        <d v="2025-12-18T00:00:00"/>
        <d v="2025-12-19T00:00:00"/>
        <d v="2025-12-22T00:00:00"/>
        <d v="2025-12-23T00:00:00"/>
        <d v="2025-12-24T00:00:00"/>
        <d v="2025-12-25T00:00:00"/>
        <d v="2025-12-26T00:00:00"/>
        <d v="2026-01-12T00:00:00"/>
        <d v="2025-12-30T00:00:00"/>
        <d v="2026-01-05T00:00:00"/>
        <d v="2026-01-07T00:00:00"/>
        <d v="2026-01-08T00:00:00"/>
        <d v="2026-01-09T00:00:00"/>
        <d v="2026-02-12T00:00:00"/>
        <d v="2026-01-13T00:00:00"/>
        <d v="2026-01-15T00:00:00"/>
        <d v="2026-01-19T00:00:00"/>
        <d v="2026-01-16T00:00:00"/>
        <d v="2026-01-20T00:00:00"/>
        <d v="2026-01-21T00:00:00"/>
        <d v="2026-01-23T00:00:00"/>
        <d v="2026-01-26T00:00:00"/>
        <d v="2026-01-27T00:00:00"/>
        <d v="2026-02-10T00:00:00"/>
        <d v="2026-01-28T00:00:00"/>
        <d v="2026-01-30T00:00:00"/>
        <d v="2026-02-03T00:00:00"/>
        <d v="2026-02-02T00:00:00"/>
        <d v="2026-02-05T00:00:00"/>
        <d v="2026-02-06T00:00:00"/>
        <d v="2026-02-09T00:00:00"/>
        <d v="2026-02-11T00:00:00"/>
        <d v="2026-02-26T00:00:00"/>
        <d v="2026-02-24T00:00:00"/>
        <d v="2026-02-25T00:00:00"/>
        <d v="2026-02-28T00:00:00"/>
        <d v="2026-03-02T00:00:00"/>
        <d v="2026-03-03T00:00:00"/>
        <d v="2026-03-04T00:00:00"/>
        <d v="2026-03-05T00:00:00"/>
        <d v="2026-03-09T00:00:00"/>
        <d v="2026-03-06T00:00:00"/>
        <d v="2026-03-11T00:00:00"/>
        <d v="2026-03-12T00:00:00"/>
        <d v="2026-03-13T00:00:00"/>
        <d v="2026-03-16T00:00:00"/>
        <d v="2026-03-17T00:00:00"/>
        <d v="2026-03-19T00:00:00"/>
        <d v="2026-03-20T00:00:00"/>
        <d v="2026-03-15T00:00:00"/>
        <d v="2026-03-23T00:00:00"/>
        <d v="2026-03-24T00:00:00"/>
        <d v="2026-03-25T00:00:00"/>
        <d v="2026-03-26T00:00:00"/>
        <d v="2026-03-27T00:00:00"/>
        <d v="2026-04-03T00:00:00"/>
        <d v="2026-04-07T00:00:00"/>
        <d v="2026-04-08T00:00:00"/>
        <d v="2026-04-14T00:00:00"/>
        <d v="2026-04-15T00:00:00"/>
        <d v="2026-04-16T00:00:00"/>
        <d v="2026-04-20T00:00:00"/>
        <d v="2026-04-21T00:00:00"/>
        <d v="2026-04-23T00:00:00"/>
        <d v="2026-04-28T00:00:00"/>
        <d v="2026-05-06T00:00:00"/>
        <d v="2026-05-08T00:00:00"/>
        <d v="2026-05-09T00:00:00"/>
        <d v="2026-05-11T00:00:00"/>
        <d v="2026-05-14T00:00:00"/>
        <d v="2026-05-15T00:00:00"/>
        <d v="2026-05-18T00:00:00"/>
        <d v="2026-05-20T00:00:00"/>
        <d v="2026-05-21T00:00:00"/>
        <d v="2026-05-22T00:00:00"/>
        <d v="2026-05-25T00:00:00"/>
        <d v="2026-05-26T00:00:00"/>
        <d v="2026-05-12T00:00:00"/>
        <d v="2026-05-27T00:00:00"/>
        <d v="2026-05-28T00:00:00"/>
        <d v="2026-06-02T00:00:00"/>
        <d v="2026-06-03T00:00:00"/>
        <d v="2026-06-05T00:00:00"/>
        <d v="2026-06-08T00:00:00"/>
        <d v="2026-06-10T00:00:00"/>
        <d v="2026-06-12T00:00:00"/>
        <m/>
      </sharedItems>
    </cacheField>
    <cacheField name="费用类型" numFmtId="0">
      <sharedItems containsBlank="1" count="2">
        <s v="商务扣款"/>
        <m/>
      </sharedItems>
    </cacheField>
    <cacheField name="主题" numFmtId="0">
      <sharedItems containsBlank="1" count="236">
        <s v="关于福建省邵武市华龙饲料有限公司商务扣款说明"/>
        <s v="JZXYMGXXJ250003广西福祺保毒素箱子毒素超标扣款说明"/>
        <s v="关于龙岩华龙扣款说明"/>
        <s v="关于龙岩鑫华港饲料有限公司扣款说明"/>
        <s v="关于武平鑫龙港饲料有限公司扣款说明"/>
        <s v="福建省龙岩市华龙饲料有限公司"/>
        <s v="双胞胎（集团）股份有限公司"/>
        <s v="漳州温氏农牧有限公司"/>
        <s v="正大原料供应有限公司"/>
        <s v="漳州海大饲料有限公司"/>
        <s v="四川新希望贸易有限公司"/>
        <s v="丰顺县海新饲料有限公司"/>
        <s v="广东粮品农产品经验有限公司"/>
        <s v="广东泰德饲料有限公司扣款"/>
        <s v="郴州大北农饲料有限公司扣款"/>
        <s v="英德天农饲料有限公司扣款"/>
        <s v="关于安佑集团结算扣价"/>
        <s v="双胞胎（集团）股份有限公司扣款"/>
        <s v="鹤山市广顺饲料有限公司"/>
        <s v="阳江双胞胎饲料有限公司"/>
        <s v="茂名海航饲料有限公司"/>
        <s v="福建湘大骆驼饲料有限公司"/>
        <s v="广西南宁央卓粮食贸易有限公司"/>
        <s v="广西柳州桂柳牧业有限公司"/>
        <s v="广州顺泽粮食贸易有限公司"/>
        <s v="关于南宁海大杂质超标扣款"/>
        <s v="关于潘钟明、余剑玲、黄东宇、林雪清、许忠炯、广东双谷、双胞胎陈粮合同折价的情况说明"/>
        <s v="关于福建省南平市悠农饲料有限公司商务扣款的申请"/>
        <s v="关于永安鑫华港饲料有限公司商务扣款的申请"/>
        <s v="关于广东域强YMYXMM250594陈粮合同折价的情况说明"/>
        <s v="河南牧原粮食贸易有限公司扣款说明"/>
        <s v="有关漳州大北农农牧科技有限公司玉米商务扣款事项"/>
        <s v="有关正大原料供应有限公司玉米商务扣款事项"/>
        <s v="有关福建湘大骆驼饲料有限公司玉米商务扣款事项"/>
        <s v="有关三明市丰源饲料有限公司玉米商务扣款事项"/>
        <s v="有关福建省金同星汇贸易有限公司玉米商务扣款事项"/>
        <s v="关于安徽正康饲料有限责任公司扣款的说明"/>
        <s v="关于YMZSJDGJZX250422合同扣款说明"/>
        <s v="关于贵州漓源饲料有限公司YMZSJDKHLY250180扣款的请示"/>
        <s v="温氏集团扣款情况说明"/>
        <s v="关于茂名响亮 YMYXMM250391 质量扣款的情况说明"/>
        <s v="关于茂名金源 YMYXMM250392 质量扣款的情况说明"/>
        <s v="关于YMZSJJM25081玉米杂质超标扣款费"/>
        <s v="有关三明海大饲料有限公司玉米商务扣款事项"/>
        <s v="有关营口长源物流供应链管理有限公司玉米商务扣款事项"/>
        <s v="关于播恩集团股份有限公司 JCYMZSJDG25053-1 扣款的请示"/>
        <s v="有关福建省邵武市华龙饲料有限公司玉米商务扣款事项"/>
        <s v="福清双胞胎饲料有限公司"/>
        <s v="海南省粮油产业有限公司"/>
        <s v="三明海大饲料有限公司"/>
        <s v="关于韶关市漓源饲料有限公司 YMZSJDKHLY250195 扣款的请示"/>
        <s v="关于双胞胎JZXYMZSJQY250113结算扣款"/>
        <s v="海南胜飞贸易有限公司商务扣款说明"/>
        <s v="关于客户潘钟明结算数量的说明"/>
        <s v="JCYMZSJQY250011-1联系单"/>
        <s v="关于正大原料供应有限公司内贸玉米业务商务的说明"/>
        <s v="关于合同号JZXYMLCYDG251207扣款说明"/>
        <s v="茂名正辉--关于“炜业68V2507“轮玉米质量扣款情况说明"/>
        <s v="有关成都东方希望农业有限公司玉米商务扣款事项"/>
        <s v="关于宾阳通威饲料有限公司内贸玉米商务的说明"/>
        <s v="关于南宁通威生物科技有限公司内贸玉米商务的说明"/>
        <s v="有关深圳市凌念网络科技有限公司玉米商务扣款事项"/>
        <s v="关于广西园丰牧业集团股份有限公司玉米水分商务扣款"/>
        <s v="关于合同号 JZXYMLCYDG251212扣款说明"/>
        <s v="关于钦州播恩生物YMGXQZ250315合同商务扣款"/>
        <s v="关于 揭阳国雄饲料有限公司YMZSJJY250195合同商务 扣款"/>
        <s v="关于广东嘉好农产品有限公司 YMZSJXXW260001 扣款的请示"/>
        <s v="关于阳春温氏、阳东温氏扣款的说明"/>
        <s v="关于丰顺海新商务扣款"/>
        <s v="关于合同号YMZSJDGJZX250427扣款的请示"/>
        <s v="关于钦州播恩生物YMGXQZ250317合同商务扣款"/>
        <s v="关于开平市绿皇JZXYMZSJJM26001合同商务扣款"/>
        <s v="关于“中恒顺丰/2533“轮玉米质量扣款情况说明"/>
        <s v="关于成都德康动物健康技术服务有限公司扣款的说明"/>
        <s v="关于郴州大北农饲料科技有限公司扣款的说明"/>
        <s v="关于南宁大北农饲料科技有限责任公司扣款的说明"/>
        <s v="关于贵港湘大骆驼饲料有限公司扣款说明"/>
        <s v="关于成都东方希望农业有限公司商务处理说明"/>
        <s v="关于双胞胎（集团）股份有限公司玉米商务扣款说明"/>
        <s v="关于广东九联禽业养殖有限公司玉米商务扣款说明"/>
        <s v="关于贵港瑞康YMZSJJMYX25052、YMZSJJMYX25057和YMZSJJMYX25050的物流费用扣款"/>
        <s v="关于贵港瑞康YMZSJM25103合同玉米杂质超标扣款"/>
        <s v="关于正大贸易（中国）有限公司玉米商务扣款说明"/>
        <s v="有关南平华农恒青农牧有限公司玉米商务事项"/>
        <s v="有关福州海龙生物科技有限公司玉米商务事项"/>
        <s v="关于合同号JZXYMDG26003扣款的请示"/>
        <s v="关于 YMZSJDG250415 扣款的请示"/>
        <s v="关于 YMZSJDG250414 扣款的请示"/>
        <s v="关于 YMZSJDG250446 扣款的请示"/>
        <s v="关于JZXYMDG26007合同结算说明"/>
        <s v="关于合同号JZXYMLCYDG251208扣款的请示"/>
        <s v="关于合同号JZXYMLCYDG251209扣款的请示"/>
        <s v="关于河南牧原粮食贸易有限公司 YMGXNN250144 玉米散粮合同扣款事宜"/>
        <s v=" 关于南宁海大生物科技有限公司商务处理的说明"/>
        <s v="关于JCYMZSJJM25006-4玉米杂质超标扣款费用"/>
        <s v="关于YMZSJJM25084玉米杂质超标扣款费用"/>
        <s v="关于“炜业19”轮玉米品质问题及商务扣款的申请"/>
        <s v="关于粮品JZXYMZSJM26002合同玉米杂质超标扣款"/>
        <s v="关于粮品JZXYMZSJJM26009合同玉米杂质超标扣款"/>
        <s v="关于金钱农牧（广西）有限公司玉米水分商务扣款"/>
        <s v="关于广西柯特农业发展YMGXQZ250314合同商务扣款"/>
        <s v="关于贵港市漓源饲料有限公司YMZSJDKHLY250202扣款的请示"/>
        <s v="关于北流市响亮饲料有限公司YMZSJDKHLY250206 扣款的请示"/>
        <s v="关于正大原料供应有限公司YMZSJJY250204 扣款的请示"/>
        <s v="有关正大贸易（中国）有限公司玉米商务扣款事项"/>
        <s v="有关将乐温氏家禽有限公司玉米商务事项"/>
        <s v="关于 YMZSJDG26010 扣款的请示"/>
        <s v="关于合同号JZXYMDG26016扣款的请示"/>
        <s v="关于清远大北农生物科技有限公司扣款说明"/>
        <s v="关于关于广州顺泽粮食贸易有限公司扣款说明"/>
        <s v="关于合同号JZXYMLCYDG251210扣款的请示"/>
        <s v="正大康地阳江饲料有限公司"/>
        <s v="关于合同号JZXYMDG26014扣款的请示"/>
        <s v="关于海南省粮油产业有限公司商务扣款说明"/>
        <s v="关于广西辽大农业科技股份有限公司YMGXNN250131玉米散粮合同扣款请示"/>
        <s v="关于赣州湘大骆驼饲料有限公司扣款说明"/>
        <s v="关于梅州大北农 YMZSJJY250224 扣款"/>
        <s v="关于 JCYMZSJDG25051-1 扣款的请示"/>
        <s v="关于福州海龙生物科技有限公司商务处理说明"/>
        <s v="关于 YMZSJDG250412 扣款的请示"/>
        <s v="关于正大集团执行内贸玉米商务情况的说明"/>
        <s v="关于YMZSJDG250500扣款的请示"/>
        <s v="关于合同号JZXYMDG26018扣款的请示"/>
        <s v="关于英海JZXYMZSJJM26005的水分超标扣款"/>
        <s v="关于永州市漓源饲料有限公司YMZSJDKHLY260001扣款的请示"/>
        <s v="关于梧州柳新农牧科技有限公司YMZSJDKHLY250204扣款的请示"/>
        <s v="关于福建圣农发展（浦城）有限公司商务扣款说明"/>
        <s v="关于圣农发展（政和）有限公司商务扣款说明"/>
        <s v="关于JZXYMDG26017合同结算说明"/>
        <s v="关于JZXYMDG26015合同结算说明"/>
        <s v="关于南平海大生物科技有限公司商务处理说明"/>
        <s v="关于温氏扣款情况说明"/>
        <s v="关于温氏在锦鑫 6 轮 2601 航次下的扣款情况说明"/>
        <s v="关于广东嘉好执行内贸玉米商务情况的说明"/>
        <s v="关于茂名通威JCYMYXMM260005-1质量扣款的情况说明"/>
        <s v="关于清远加乐饲料有限公司扣款说明"/>
        <s v="关于苏州穗满德YMYXMM260016质量扣款的情况说明"/>
        <s v="关于钦州海大桂柳生物内贸玉米商务情况的说明"/>
        <s v="有关漳浦县海新饲料科技有限公司玉米商务扣款事项"/>
        <s v="关于广西兴安扬翔JCYMZSJJM25007-4的货物质量扣款"/>
        <s v="关于钦州播恩生物技术YMGXQZ260004合同商务扣款"/>
        <s v="关于南宁通威执行内贸玉米商务情况的说明"/>
        <s v="关于韶关海大生物科技有限公司合同扣款说明"/>
        <s v="关于广州顺泽JZXYMZSJQY260022合同扣款说明"/>
        <s v="关于YMZSJDG26001扣款的请示"/>
        <s v="关于 YMZSJDG26002 扣款的请示"/>
        <s v="关于双胞胎 YMYXMM250880 在“中恒顺丰/2602”质量扣款的情况说明"/>
        <s v="关于双胞胎 YMYXMM250880 在“锦江河/2523”质量扣款的情况说明"/>
        <s v="关于 YMZSJJY250221 扣款"/>
        <s v="关于 YMZSJJY250228 扣款"/>
        <s v="海口金长城饲料有限公司扣款说明"/>
        <s v="关于福建省金华龙饲料有限公司商务处理说明"/>
        <s v="关于福建省福清华龙饲料有限公司商务处理说明"/>
        <s v="关于广西诚轩粮汇贸易有限公司玉米水分商务扣款"/>
        <s v="关于广西忠昇饲料有限公司 YMLDW2603033001 玉米集装箱合同扣款请示"/>
        <s v="关于北流响亮 YMYXMM260008-1 在“益嘉 98/2534”质量扣款的情况说明"/>
        <s v="关于北流响亮 YMYXMM260008-1 在“锦江河/2523”质量扣款的情况说明"/>
        <s v="关于揭阳市温氏畜牧有限公司YMZSJJY250230扣款"/>
        <s v="关于丰顺县海新饲料有限公司YMZSJJY250216商务扣款"/>
        <s v="关于丰顺县海新饲料有限公司YMZSJJY250227商务扣款"/>
        <s v="关于苏州穗满德国际贸易有限公司商务扣款"/>
        <s v="关于广州市天伟生物科技有限公司垫付柜子的费用联系单"/>
        <s v="海大商务扣款"/>
        <s v="贵港万千执行内贸玉米商务"/>
        <s v="广西绿永内贸玉米商务"/>
        <s v="宾阳通威执行内贸玉米商务"/>
        <s v="有关南平海大生物科技有限公司玉米商务事项"/>
        <s v="有关龙岩大北农生物科技有限公司玉米商务扣款事项"/>
        <s v="有关丰顺温氏家禽有限公司玉米商务扣款事项"/>
        <s v="有关揭阳海大饲料有限公司玉米商务扣款事项"/>
        <s v="关于贵港瑞康YMZSJM26013合同的质量扣款"/>
        <s v="关于福州市农益森农业发展有限公司商务扣款说明"/>
        <s v="广东比利美英伟结算扣款"/>
        <s v="关于南平鑫华港饲料有限公司商务处理说明"/>
        <s v="清远加乐JZXYMZSJQY260018合同结算扣款"/>
        <s v="关于广东正钱饲料有限公司YMZSJDKHLY250166扣款的请示"/>
        <s v="关于清远正清源畜牧实业有限公司YMZSJDKHLY250168扣款的请示"/>
        <s v="关于 YMZSJDG26016 合同扣款的请示"/>
        <s v="关于 YMZSJDG26011合同结算说明的请示"/>
        <s v="关于 YMZSJDG26050合同结算说明的请示"/>
        <s v="有关漳州市海扬饲料有限公司玉米商务扣款事项"/>
        <s v="有关漳州市海力饲料有限公司玉米商务扣款事项"/>
        <s v="关于清远大北农YMZSJQY260021合同结算扣款"/>
        <s v="关于黄敏杰代付过磅费的费用联系单"/>
        <s v="关于南平市丰源饲料有限公司商务处理说明"/>
        <s v="关于宁德鑫华港饲料有限公司商务处理说明"/>
        <s v="关于圣农发展（政和）有限公司商务处理说明"/>
        <s v="广东新粮实业有限公司新粮饲料厂扣款情况说明"/>
        <s v="关于福建省邵武市华龙饲料有限公司商务处理说明"/>
        <s v="有关福建省莆田市新兴达饲料有限公司玉米商务事项"/>
        <s v="关于钦州播恩生物YMGXQZ260030合同毒素扣款商务"/>
        <s v="关于正大原料供应有限公司 YMZSJJY250232 扣款"/>
        <s v="关于 丰顺县海新饲料有限公司 扣款"/>
        <s v="关于广东粮品 JZXYMZSJJM26039 的质量扣款联系单"/>
        <s v="关于广东粮品 JZXYMZSJJM26046 的质量扣款联系单"/>
        <s v="关于双胞胎 YMYXMM260086 合同质量扣款的情况说明"/>
        <s v="关于双胞胎 YMYXMM260095 合同质量扣款的情况说明"/>
        <s v="关于梅州海大生物科技有限公司 JCYMZSJJY250156-1 扣款"/>
        <s v="湛江粮友贸易有限公司"/>
        <s v="有关海新集团玉米商务扣款事项"/>
        <s v="有关中牧（上海）粮油有限公司玉米商务扣款事项"/>
        <s v="关于禾润兴 JZXYMZSJJM26038 合同质量扣款联系单"/>
        <s v="关于嘉好YMYXZJ260058扣款函申请"/>
        <s v="关于莆田温氏家禽有限公司商务处理说明"/>
        <s v="关于高州安佑 YMYXMM260109 合同质量扣款的情况说明"/>
        <s v="关于贵港市万千饲料有限公司商务情况的说明"/>
        <s v="关于 YMZSJDG26034 合同扣款说明的请示"/>
        <s v="关于阳江海大饲料有限公司扣款的说明"/>
        <s v="关于清远大北农结算扣款"/>
        <s v="关于广州顺泽集装箱结算扣款"/>
        <s v="桂林市漓源粮油饲料有限责任公司"/>
        <s v="集装箱合同YMLDW260325004扣款"/>
        <s v="关于阳江市富民饲料有限公司扣款的说明"/>
        <s v="关于 JCYMZSJDG25054-1 合同扣款说明的请示"/>
        <s v="有关正大贸易玉米商务扣款事项"/>
        <s v="有关正大原料供应有限公司集装箱玉米退货事项"/>
        <s v="关于漳州海大饲料有限公司玉米商务扣款申请"/>
        <s v="关于厦门粮缘饲料科技有限公司商务处理说明"/>
        <s v="关于福建省佳牧农牧集团有限公司商务处理说明"/>
        <s v="关于福建圣农发展（浦城）有限公司商务处理说明"/>
        <s v="关于福建圣农发展股份有限公司商务处理说明"/>
        <s v="关于福州东坤饲料有限公司商务处理说明"/>
        <s v="关于河源市瑞昌饲料有限公司合同扣款说明"/>
        <s v="关于海大执行内贸玉米商务的说明"/>
        <s v="关于梅州海大生物科技有限公司商务扣款说明"/>
        <s v="关于钦州播恩生物技术有限公司玉米毒素商务扣款"/>
        <s v="关于新天地YMYXZJ260083扣款函申请"/>
        <s v="关于 YMZSJDG26041合同扣款说明的请示"/>
        <s v="关于JZXYMZSJDG26048扣款和结算说明"/>
        <s v="关于双胞胎YMFJZZ260079合同质量扣款的情况说明"/>
        <s v="关于YMFJZZ260078新正邦合同质量扣款的情况说明"/>
        <s v="关于YMFJZZ260074漳州温氏合同质量扣款的情况说明"/>
        <s v="关于 YMZSJDG26058 合同扣款说明的请示"/>
        <s v="关于双胞胎YMYXMM260240合同质量扣款的情况说明"/>
        <s v="关于湛江海大饲料有限公司结算的说明"/>
        <m/>
      </sharedItems>
    </cacheField>
    <cacheField name="内容" numFmtId="0">
      <sharedItems containsBlank="1" count="290" longText="1">
        <s v="    兹有我司与福建省邵武华龙饲料有限公司签订《粮食销售合同》，合同号：YMFJFZ250015，合同数量3000吨，单价2240元/吨，截止2025年4月5日接货完毕。该合同提货2987.12吨，其中3月26日提货6车共计209.97吨，到货检测指标较差（杂质1.6%，霉变3.6%），经双方协商一致，退货转扣款接收，扣款10元/吨共计2099.7元，折合合同扣款0.7元/吨。_x000a_    以上扣款，对应内部发运散船航安顺/2507，是否可行，请领导批示。"/>
        <s v="该批保毒素箱子21个，总计554.97吨，计划交付广西福祺饲料有限公司保毒素合同（合同号：JZXYMGXXJ250003），4月21日和4月25日从北方发出，5月3日至5月8日抵达贵港港（运单号：AUVTNTW250238777、ASNCLTL250258834），计划号YHSZ-25-032021。5月13日至5月15日全部提完。到厂检测毒素超标，7个箱子毒素指标在1100-1300ppb之间，14个箱子毒素指标在1400-1900ppb之间。我部及时与玉米品种线联系并向大区反映情况，后经大区协调，现场取样邮至北良港检测公司董乾仕复检，四个集装箱（ATHU1009372、ATHU1078877、FBIU0022667、FBIU0003991）分两个样品毒素检测结果值为1491ppb和1729ppb。下游客户要求商扣50元/吨，经我司协商最终扣20元/吨，总计11099.4元。"/>
        <s v="我司与福建省龙岩市华龙饲料有限公司于2025年05月09日签署生效的《粮食销售合同》（合同编号：JZXYMFJZZ250004)，合同数量480吨，合同单价2420元/吨，截止至2025年06月04日，该合同累计提货471.075吨，客户于2025年5月17日接收玉米，检测呕吐毒素超标；检测容重未达标，合计产生扣款2704.76元，整批次提货471.075吨，折单吨扣款5.74元/吨"/>
        <s v="我司与龙岩鑫华港饲料有限公司于2025年05月09日签署生效的《粮食销售合同》（合同编号：JZXYMFJZZ250005)，合同数量420吨，合同单价2420元/吨，截止至2025年05月20日，该合同累计提货414.4吨，检测有呕吐毒素超标；检测容重未达标，以上情况合计产生扣款2204.80元，整批次提货414.4吨，折单吨扣款5.32元/吨"/>
        <s v="我司与武平鑫龙港饲料有限公司于2025年05月09日签署生效的《粮食销售合同》（合同编号：JZXYMFJZZ250006)，合同数量220吨，合同单价2420元/吨，截止至2025年05月18日，该合同累计提货221.905吨，检测容重未达标，合计扣款1071.40元，整批次提货221.905吨，折单吨扣款4.83元/吨"/>
        <m/>
        <s v="丰顺县海新饲料有限公司，2025年11月12日签订《粮食销售合同(赊销)》(合同编号:YMZSJJY250170)，数量 500 吨，单价 2320 元/吨，该合同已累计交货 496吨，(其中 11月 20日3 车车号:赣 C5615D，重量 31.7吨，车号:粤 V05263,重量 33.77 吨，车号:粤 VN1708，重量 34.84吨，合计:100.31 吨)到货玉米经检验杂质 1.2%杂质和破碎粒超出合同约定指标(杂质≤1%),不符合客户接受指标。针对该批次到厂不合格玉米，经双方友好协商处理后，退货转扣款接收。经双方友好协商处理后，退货转扣款接收，合计扣款 1003.1元 折合10元/吨。"/>
        <s v="丰顺县海新饲料有限公司,于2025年11月20日签订《粮食销售合同》(合同编号:YMZSIIY250177)，数量 500 吨，单价 2340 元/吨,该合同已累计交货 495.46吨，(其中12月2日4车车号:粤 BGT302,重量 34.97 吨，车号:赣C4M573，重量 36.5吨，车号:粤D28948，重量 38.6吨，车号:赣C7N367,重量 43.52 吨合计:153.59 吨)到货玉米经检验杂质 1.2%杂质和破碎粒超出合同约定指标(杂质≤19)，不符合客户接受指标。针对该批次到厂不合格玉米，经双方友好协商处理后，退货转扣款接收。"/>
        <s v="经双方友好协商处理后，退货转扣款接收，合计扣款 1535.9元 折合10 元/吨。"/>
        <s v="广东粮品农产品经验有限公司，于2025 年9月25 日签订的《粮食销售合同》合同编号:JZXYMZSJJM25047)合同数量 351 吨,合同单价 2460 元/吨，计划号 YHSZ-25-072128，运单号 AYWWCRX250607901A，共13 柜，截止到9月 29 日该合同下货物已提货完毕。其中 6柜玉米分别存在霉变和生虫的现象:_x000a_(1)TAHU1162503和ATHU1046083，26.73和7.78，霉变超标，扣款 50 元/吨                                        (2)ATHU1046083、ATHU1265939、ATHU1303556、ATHU1246651和ATHU1103202卸重分别为 26.86、26.85、26.9和 27.21，存在生虫现象，扣款 50 元/吨合计扣款金额为:7965.9元。"/>
        <s v="广东泰德饲料有限公司于11月12日签订国产内贸合同(合同号YMZSJQY250219，合同量1000 吨，单价 2320 元/吨)，该合同为吉林经营部与我司珠三角经营部协同发往英德站的保1000 毒素玉米，客户于 11月19 日开始提货其中，有6车玉米呕吐毒素超出合同第二条:质量标准中:呕吐毒素&lt;1000ug/kg的约定，具体明细如下:经过双方友好协商，决定对该批次不合格的玉米进行扣款处理，经沟通，毒素超示的部分扣款一共 5451.6 元由上游吉林经营部承担。"/>
        <s v="郴州大北农饲料科技有限公司于 11月11日签订国产内贸合同(合同号YMZSJQY250205，合同量 800 吨，单价 2250 元/吨)，客户于 11月21 日开始提货我司麻涌港:国家能源 610/2511 轮玉米，现有部分玉米到厂后，出现杂质超标情况，明细如下:除湘 LB8781 提货杂质为 1.19%扣款 10 元/吨外，其余车辆杂质综合达到2.21%，该合同第二条质量标准约定:杂质≤1.0%，经过双方友好协商，决定对该批次不合格的玉米进行扣款处理，请领导审批。经沟通，该批次货物扣款共计:6649元。"/>
        <s v="英德天农饲料有限公司，2025 年11月15日签订的《粮食销售合同》(合同编号:YMZSJQY250179)合同数量 1000 吨，合同单价 2310 元/吨，根据签订的《粮食销售合同》第二条款约定的质量标准，交付的玉米标准应当符合如下约定:“容重2685g儿L，水分≤15.0%，杂质≤1.0%，霉变粒≤2.0%，呕吐毒素≤1000ug/kg，”。客户提货我司从北方发运散改基玉米，2025年11月16日至24日到厂柜号:5588171、0809541、330766、6457540、0733826，共受委托承运供方玉米 120.01 吨，合同单价 2310 元/吨，到需方英德天农工厂，经品管技术部门抽样不达合同约定标准，经供需双方友好协商，需方同意2车玉米折价收货。其中 5588171、0809541柜毒素超标:1493.99、1147.01，双方友好协商折价 30元/吨，结算即 2280 元/吨为准;330766柜毒素超标:1081.93，双方友好协商折价5元/吨，结算即 2305 元/吨为准;6457540、0733826柜毒素超标:1066.21、1024.4，双方友好协商折价5元/吨，结算即 2305 元/吨为准。合计扣款1344.8元"/>
        <s v="苏州穗满德国际贸易有限公司，2025年11月13日签订的《粮食销售合同》(合同编号:JCYMZSJQY250029-1)合同数量1500吨，合同单价2302元/吨，提货新沙港国远86、中瑞祥79，三车到厂检测霉变为2.5%超出合同约定的标准，合计98.38吨，申请每吨扣款20元，扣款20元*98.38吨=1967.6元。"/>
        <s v="客户在对应外采船“锦富航 69/2530”轮提货过程中，反馈 706.74 吨玉米感官有黑粒，霉变超标，存在质量不合格问题，经饲料厂人员取样检测并复查，霉变达 2.3%，合同约定质量标准：霉变粒≤2%，不符合合同规定。经我部与客_x000a_户多次协商，秉承长期友好合同原则，共申请扣款 14134.8 元，单吨扣款 20 元/吨"/>
        <s v="鹤山市广顺饲料有限公司，于 2025 年 09 月 28 日签订的《粮食销售合同》合同编号:JZXYMZSJJM25048)合同数量 150 吨,合同单价 2400 元/吨，计划号JZXYMSZCG250076 和YHSZ-25-072128，运单号Q085591683和AYWWCRX250607901A，共6柜，截止到 10月 3日该合同下货物已提货完毕。_x000a_1、柜号 XYLU1060398，卸厂数 26.42 吨，水湿发霉，发热结块严重，价格按 1700 元/吨结算，已报保险，保险承担8800元。_x000a_2、柜号 00CU0908616和 ATHU1168857,卸厂数分别为 26.403和 9.9(半柜)，发热发霉价格按 2330 元/吨结算，其中00CU0908616已报保险，保险承担9920元。合计扣款金额为:18494+2541.21=21035.21元，已报保险，保险承担18720元."/>
        <s v="我司于2025年9月18日与阳江双胞胎饲料有限公司签订了玉米内贸合同YMYXYJ250166，签订主体为中粮贸易（深圳）有限公司。合同总量为1000吨，单价为2440元/吨，实际执行量为949.18吨。具体提货情况如下：在锦航万盛/2522船上提货473.68吨，在鑫晟奋发/2523船上提货475.50吨。合同约定标准：呕吐毒素含量不得超过1000PPB。_x000a_在2025年9月21日至2025年10月9日期间，客户提取了一批玉米（猪料），经检测，呕吐毒素含量在1131至1452之间，不符合合同约定的标准。考虑到双方后期的长期友好合作，对该批货物进行20元/吨的折价处理，总计折价金额为18938.6元。此次扣款已从预留的20000元中扣除。"/>
        <s v="在外采大船“天台 19/2518”轮提货过程中，160.05 吨存在有异常发热、有霉味、杂质超标的质量问题，杂_x000a_质达 3.7%，不符合同规定。经我司业务人员核实，检测结果确实存在。秉承长期友好合同原则，经我部与客_x000a_户多次友好协商后，做扣价 30 元/吨处理，申请扣款金额合计 4801.5 元，该船质量问题已报备饲料原料部。_x000a_由于该合同已经结算，申请在 YMYXMM250747 做抵扣"/>
        <s v="兹有我司与双胞胎（集团）股份有限公司签订《粮食销售合同》（合同号：YMFJFZ250147）合同数量1000吨，单价2310元/吨，合同约定呕吐毒素≤1000ppb。该合同实际接货1019.74吨，在提货过程中,出现部分车次呕吐毒素超标问题,扣款金额为 5264.4元,折合5.16元/吨。该批次提货对应军航码头散船瑞生16/2528轮（挑选出货），该批次销售为双胞胎集团下属工厂屏南双胞胎饲料有限公司，为首次开发工厂，客户扣款已在后续合同中以保毒素玉米价格加价给我司（YMFJFZ250188合同，1000吨，2425元/吨，加价16元/吨）。"/>
        <s v="客户名：广西南宁央卓粮食贸易有限公司,合同号：JZXYMGXXJ250067,单价：2275元/吨，签订指标：容重_x000a_≥710g/l，水分≤14.5%，霉变≤2%，热损≤1%，杂质≤1%，不完善≤8%，呕吐毒素≤1000ppb，计划号：_x000a_YHSZ-25-092334，运单号：AWKTRTT250772047、APSFCQC250784002，11月14日开始提货，在交货时，_x000a_下反馈毒素超标，经我放人员核实并重新取样邮寄至北良华正检测（检测结果如附件），客户反馈共计16柜（444.08吨）毒素超标，每吨扣款60元/吨，经我部与客户多次友好协商后，对其中14_x000a_柜（389.55吨）做扣价 20 元/吨处理，即本合同扣款389.55吨*20元/吨=7791元，"/>
        <s v="合同号：YHYMGXXS250904003，客户名：广西柳州桂柳牧业有限公司，合同数量：700吨，单价：2390元/_x000a_吨 , 提货数量：692.22吨，该批粮源为扬翔退货货源，在发运时，船运已反馈杂质大、破碎高，到达白沙港_x000a_时，我部人员朱雪语，现场检查，情况属实，并伴有发霉发热现场。退回白沙库（提珠三角“国远705”船，驳_x000a_船名：贵港兴泰82）另行销售，在销售时按照市场行情正价销售，于9月5日-9月13日陆续提货，到厂收货时，客_x000a_户反馈其中472.15吨出现发霉，发热等现象，客户提出该部分每吨扣款60元接收，经过跟客户友好协商，每吨按_x000a_照30元进行扣款让步接收，即472.15元*30元/吨=14,164.5元"/>
        <s v="一体化计划号:YHSZ-25-062402，YHSZ-25-062403，YHSZ-25-062404共销售广州顺泽粮食贸易有限公司115 柜，2025年7月11日签订的《粮食销售合同》(合同编号:YMZSJDG250122)合同数量 3000吨，合同单价 2440 元/吨，结算数量 3054.678 吨。该合同交货过程中 102 柜质量问题产生扣款合计扣款91846.45 元:_x000a_其中 82 柜发热有霉味扣款 30 元/吨让步降价处理;1柜发热发霉结块扣款 80 元/吨让步接收，1 柜箱内有垃圾，水湿结块，扣款 40 元/吨降价处理,1柜发热发霉,有虫扣款 60 元/吨让步接收,1柜容重 702ppb复测 696ppb,不达标扣款 10 元/吨，1柜容重 695ppb 不达标扣款 20 元/吨。"/>
        <s v="在珠三角提货，因交货为筒仓货物，交货时均为筒仓底部货物，杂质偏大"/>
        <s v="该合同交货过程中1柜箱号:OOLU2987138 箱底未干0.3 吨粘底卸不下来客户折价 1732 元/吨，扣款 519.6 元让步接收"/>
        <s v="因无陈粮库存交货，经多次反复沟通协商，以下打包厂、饲料厂陈粮合同剩余未提量在”佳升56/2521“、“锦江河/2519”、“海腾炜业6/2508”、“锦江河/2521”、“利泰朝阳/2524”新船执行，申请在新船执行量折价30元/吨，以下为具体明细"/>
        <s v="2025年10月27日我司与福建省南平市悠农饲料有限公司签订《粮食销售合同》(合同编号:YMLDW251027018)，数量1500吨，单价2260元/吨，该票集装箱计划号:YHSZ-25-092308-1、YHSZ-25-092308-2沈阳鑫封缘发至漳州港，合计11个柜，10月31日到港，11月13日提货反馈水分超标，箱内玉米发热，大面积结块，底下一层全部发黑发霉结块，福建经营部销售人员严代亮、沈业润第一时间到厂核实后将情况上报集装箱小组并已在质量反馈表上填报。经过友好协商，客户同意接货做扣款处理，该三组10柜数量为303.82吨，按照单吨扣款100元/吨，合计扣款30382元(附上客户商函及工厂收货现场照片)。"/>
        <s v="2025年10月20日我司与永安鑫华港饲料有限公司签订《粮食销售合同》(合同编号:JZXYMFJZZ250045)，数量685吨，单价2285元/吨，该票集装箱计划号:YHSZ-25-092307沈阳福满仓库发至漳州港，提单号:2G25098728090F，号:ZGXU2534719，该柜10月16日到港，10月27日提货反馈水分超标，发热有异味，经过友好协商，客户同意接货做扣款处理，该柜数量为28.37吨，按照单吨扣款50元/吨，合计扣款1418.5元(附上客户检验报告及扣款函)"/>
        <s v="广东域强粮油贸易有限公司YMYXMM250594，签订日期2025年10月15日，合同量2410元，单价2410元。该合同为陈粮合同，共提货1952.44吨。因无陈粮库存交货，经多次反复沟通协商，分别在”佳升56/2521“新船执行1863.78吨，在”锦江河/2521“新船执行88.66吨，现申请在新船执行量折价50元/吨，折价金额为97622元。"/>
        <s v="兹有我司与双胞胎（集团）股份有限公司签订《粮食销售合同》（合同号：YMFJFZ250174）合同数量2000吨，单价2335元/吨，合同约定呕吐毒素≤1000ppb。该合同实际执行2007.92吨，在提货过程中,出现部分车次呕吐毒素超标问题,该合同扣款金额为9919.4元,折合扣款4.94元/吨。该批次提货对应军航码头散船弘泰612/2524、华源盛/2529（挑选出货），该批次销售为双胞胎集团下属工厂屏南双胞胎饲料有限公司，为首次开发工厂，客户扣款已在后续合同中以保毒素玉米价格加价给我司（YMFJFZ250188合同，1000吨，2425元/吨，加价16元/吨）"/>
        <s v="我司与河南牧原粮食贸易有限公司于2025年11月3日签订的《粮食销售合同》（合同号： YMHN250282），合同数量285吨，合同单价2390元/吨（送到厂价）。截止目前到厂数量500吨，合同单价2330元/吨（送到厂价），合同约定水分≤15%。截止目前到货数量486.28吨，执行完毕。该合同货物在接卸过程中发现一车货物水分15.3%，不符合合同约定标准。此车玉米到厂数量32.32吨，经双方友好协商，此车玉米按5元/吨进行扣价接收，合计扣款¥161.6元。"/>
        <s v=" 我司与漳州大北农农牧科技有限公司于2025年11月19日签订《粮食销售合同（赊销）》（合同编号：YMFJZZ250298），数量1500吨，单价2350元/吨。该合同已累计提1300.32吨，客户于2025年11月月25日至11月26提货的提货玉米合计223.08吨，到货后检测出呕吐毒素超标、杂质的的情况，因我司与客户合同约定指标呕吐毒素指标≤1000ug/kg，杂质≤1.0%，经与工厂、物流等人员确认事实属实，经双方友好协商，该批次货物由退货转扣款接收。以上情况产生扣款5872.50元。"/>
        <s v="我司与正大原料供应有限公司于 2025 年8月27日签订《粮食销售合同》（合同编号：YMFJFZ250114 ），数量 500 吨，单价2400元/吨，合同约定杂质≤1%，不完善粒≤8%，呕吐毒素≤1000ug/kg。 客户于9月底前多次检测陈粮玉米利福开拓/2525轮上货物，但玉米毒素超过1500ug/kg，工厂无法使用，原计划交付正大的玉米我司改过筛对圣农集团玉米合同进行交付（交付JZXYMFJFZ250036合同，单价2600元/吨到厂，折算军航码头价格2500元/吨）。_x000a_ 对于正大集团因我司无法按时交付满足质量标准的货物，9月末与10月初市场持续跌价约150元/吨，客户计划取消该合同。后经双方友好协商，我司换新产季玉米于10月底开始交付，客户延期执行上述销售合同，客户预计对该合同换新产季玉米接收预计折价60元/吨，该合同折单价2340元/吨。_x000a_ 客户于2025年11月3日-11月19日提货的477.09吨玉米存在部分毒素超过1000ug/kg，杂质超标、破损较大的问题，存在品质扣款9,951.25元，折单吨20.8元/吨。所提货物匹配船：海百15/2523。_x000a_经双方多次沟通，客户对该批次货物进行折价接收，以上情况合计产生扣款38576.65元（大写：人民币叁万捌仟伍佰柒拾陆元陆角伍分）.该合同累计提货477.09吨，折单吨扣80.8元/吨。该合同我司为转新玉米对客户的合同进行交付,对于毒素扣款我司在前期销售时已加30元/吨，可覆盖品质扣款。_x000a__x000a_     以上扣款是否可行，烦请领导批示，谢谢。"/>
        <s v="我司与正大原料供应有限公司于 2025 年11月3日签订《粮食销售合同》（合同编号：YMFJZZ250273），数量 500 吨，单价2250元/吨。该合同已累计提505.74吨，客户2025年11月20日-11月26日接收的505.74吨玉米存在杂质超标、破损较大的问题。所提货物匹配船：宁兴18/2525。_x000a__x000a_     经双方友好协商，正大对该批次货物进行折价接收，以上情况合计产生扣款5240.75元（大写：人民币伍仟贰佰肆拾元柒角伍分），该批次累计提货505.74吨，合计折单吨扣款10.36元/吨。该合同销售时已加价10元/吨。_x000a__x000a_     以上扣款是否可行，烦请领导批示，谢谢。"/>
        <s v="我司与福建湘大骆驼饲料有限公司于 2025 年9月22日签订《粮食销售合同》（合同编号：YMFJZZ250287），数量 300 吨，单价2310元/吨。_x000a_客户2025年11月22日-11月23日接收的196.3吨玉米客户检测杂质偏大（杂质检测在1.1%-1.8%），部分车辆杂质超标,与客户多次进行协商后，客户扣款2224.53元接收，所提货物匹配船：宁兴18/2525。该合同累计提货295.02吨，折合单吨扣款7.5元/吨。_x000a__x000a_     福建湘大骆驼饲料有限公司对该批次货物进行折价接收，以上情况合计产生扣款2224.53元（大写：人民币贰仟贰佰贰拾肆元伍角叁分）。该合同签订_x000a__x000a_     以上扣款是否可行，烦请领导批示，谢谢。"/>
        <s v="我司与三明市丰源饲料有限公司于 2025 年10月22日签订《粮食销售合同》（合同编号：JZXYMFJFZ250080），数量 500 吨，单价2260元/吨。该合同已累计提货490.35吨，客户2025年10月25日-10月30日接收的102.52吨集装箱货物，因新玉米水分不稳定，到货存在发热情况，扣款60元/吨。_x000a_经双方友好协商，三明市丰源饲料有限公司对该批次货物进行折价接收，以上情况合计产生扣款6151.2元（大写：人民币陆仟壹佰伍拾壹元贰角），该批次累计提货490.35吨，合计折单吨扣款12.55元/吨。_x000a__x000a_     以上扣款是否可行，烦请领导批示，谢谢。"/>
        <s v="我司与福建省金同星汇贸易有限公司于 2025 年10月12日签订《粮食销售合同》（合同编号：JZXYMFJFZ250074），数量210吨，单价2345元/吨。该合同已累计提货209.155吨，客户2025年10月22日接收的集装箱CSNU2904028、CSNU2895414，因新玉米水分不稳定，到货存在发热情况，客户扣款接收。所提集装箱计划号：YHSZ-25-092310，禹泰库。该批集装箱10月18日到货。_x000a_经双方友好协商，福建省金同星汇贸易有限公司对该批次货物进行折价接收，以上情况合计产生扣款2,030.00 元（大写：人民币贰仟零叁拾），该批次累计提货209.155吨，合计折单吨扣款10元/吨。我司与客户签订该合同时间，已对比同期指导价格加价40元/吨进行销售，同时对后续批次交货进行挑选后出货，可覆盖扣款。"/>
        <s v="我司与安徽正康饲料有限责任公司于 2025 年6月26 日签订的《粮食销售合同》合同号 YMZSJQY250105，单价 2555 元/吨，数量 2000 吨，客户提货我司库存前移驳船:粤海 36 轮货物(该船清仓我司弘泰 819 货物1069.982吨+京粮/250115合同货物 209.72吨，装货时已出现粉尘较大、霉变现象，后续出现发热情况)，共计库存前移 1279.702吨，客户于8月 26 日开始提货到厂 299.94 吨,反馈提货时出现大量粉尘。于 2025年8月31 日开始到货共计 299.86 吨，到厂后发现该船玉米有出现大量的粉尘杂质，玉米都被淹没在粉尘杂质里，碎粒、粉尘占比达5.75%，同时经过测验:呕吐毒素测试分别为1231.04，1837.26，不符合客户合同签订指标中质量验收标准，我司销售人员9月去现场查看后，确认情况属实，后经过销售与客户沟通,又于9月 16 日协助我司提货 99.82 吨共计三车货物。粤海 36 轮剩余货物 350.92吨由于质量较差无法使用，为避免货物质量进一步受损，销售给韶关市源饲料有限公司(价格:2270 元/吨)，经过销售与客户沟通，客户原计划扣款100元/吨，现经过双方友好协商，客户共计提货699.62吨，申请对8月26日开始提货到厂的299.94吨扣款 40元/吨，对8月31 日和9月 16 日提货的玉米共计 399.68 吨，进行扣款 70 元/吨，共计扣款 299.94*40+399.68*70=39975.2元。请领导批示"/>
        <s v="我司与 中山市福大生物科技有限公司 于2025年 11月28日签署的粮食销售合同：YMZSJDGJZX250422（合同量：382吨，单价：2420元/吨）；客户提货到厂检测出现6个柜子出现容重低、毒素超标、水分超标情况（运单号：JZ21JZLX1454F7），对于该6个柜子扣款15元/吨处理，合计162.66吨*15元/吨=2439.9元；"/>
        <s v="我司于2025年11月6日与贵州漓源饲料有限公司签订内贸玉米合同，编号YMZSJDKHLY250180，数量1000吨，单价2240元/吨。_x000a_客户于南沙港东星海泰/077灌箱提货，提单号NSDXHT7725009，因工厂检测杂质偏高，综合平均杂质约2.99%。因对客户成品以及口碑造成影响，扣价15元/吨，需扣价:997.544*15=14963.16元。"/>
        <s v="2025年11月24日 我司与  信丰温氏畜牧有限公司  签订内贸玉米合同，协议号：YMZSJDKHWS250037，数量1500吨，单价2360元/吨。客户提麻涌港 东星海泰/078货物，报161.76吨货物赤霉烯酮（250ppb）超标，单吨扣价10元，合计扣款1617.6元。"/>
        <s v="2025年11月13日我司与   富川广东温氏畜牧有限公司  签订内贸玉米转让协议，合同号：YMZSJDKHWS250025-3 ，数量1000 吨，单价2290元/吨。客户提麻涌港 东星海泰/078，报189.68吨货物赤霉烯酮( 290 ppb)超标，属于折价接收范围，单吨扣价10元，合计扣款1896.8元。"/>
        <s v="2025年11月12日我司与  河源市温氏禽畜有限公司  签订内贸玉米转让协议，协议号：YMZSJDKHWS250025-2，数量1000吨，单价2290元/吨。客户提麻涌港 东星海泰/078货物，报29.2吨货物杂质（ 3.34 ）超标，属于折价接收范围，单吨扣价10元，合计扣款292元。"/>
        <s v="2025年11月13日 我司与  道县温氏畜牧有限公司  签订内贸玉米合同，合同号：YMZSJDKHWS250030 ，数量2500吨，单价2305元/吨。客户提麻涌港 国家能源610/2511货物，报1154.2吨货物 杂质（2.07-13.07）超标，属于折价接收范围，单吨扣价10元，合计扣款11542元。"/>
        <s v="2025年11月17日我司与  大余温氏畜牧有限公司  签订内贸玉米合同，协议号：YMZSJDKHWS250033，数量1000吨，单价2350元/吨。客户提麻涌港 国家能源610/2511货物，报549.32吨货物杂质（1.32%-1.67%）、呕吐毒素（2250-2440）和赤霉烯酮( 1734 ppb)超标，属于折价接收范围，单吨扣价15元，合计扣款8239.8元。"/>
        <s v="茂名响亮饲料有限公司 YMYXMM250391（合同量 3000 吨，单价 2406 元），合同约定呕吐毒素≤_x000a_1000ug/kg。该合同执行 3005.77 吨，在中心不保毒大船“鑫海城 1/2516”轮提货过程中，252.01 吨存在_x000a_毒素超标的质量问题，在 1025-1574ppb 之间，不符合同规定。经我司业务人员核实，检测结果确实存在。_x000a_秉承长期友好合同原则，经我部与客户多次友好协商后，做扣价 30 元/吨处理，申请扣款金额合计 7560.3_x000a_元。该扣款情况已报备饲料原料部。已在 YMYXMM250391 合同成交时预留 30 元/吨溢价处理质量扣款，_x000a_预留价差可覆盖扣款。由于该合同已经结算完毕，申请在 JZXYMYXMM250507 合同抵扣扣款"/>
        <s v="茂名金源生物科技有限公司 YMYXMM250392（合同量 2000 吨，单价 2409 元），合同约定呕吐毒素_x000a_≤1000ug/kg。该合同执行 1972.24 吨，安排在中心大船“鑫海城 1/2516、远泰 99/2521”轮提货不保毒_x000a_素玉米，1754.02 吨存在毒素超标的质量问题，在 1012-1350ppb 之间，不符合同规定。经我司业务人员核_x000a_实，检测结果确实存在。秉承长期友好合同原则，经我部与客户多次友好协商后，做扣价 20 元/吨处理，申_x000a_请扣款金额合计 35080.4 元。该扣款情况已报备饲料原料部。已在 YMYXMM250392 合同成交时预留 20_x000a_元/吨溢价处理质量扣款，预留价差可覆盖扣款。由于该合同已经结算完毕，申请在 YMYXMM250778 合同_x000a_抵扣。"/>
        <s v="江门市旺海饲料实业有限公司，于2025 年 11 月24 日签订的《粮食销售合同（赊销）》合同编号:YMZSJJM25081)合同数量2000吨,合同单价2373元/吨，配送船只粤新会货 8093存在玉米杂质超标扣款费用：_x000a_船号粤新会货8093，卸船重量995.958吨，该批玉米验收过程时检测出杂质为3.34%,超出合同标准1.34%,江门市旺海饲料实业有限公司提出该船折价20元/吨让步接收处理，总计费用：995.958*20=19919.16元。"/>
        <s v="我司与三明海大饲料有限公司于 2025 年10月20日签订《粮食销售合同》（合同编号：JZXYMFJFZ250075），数量500吨，单价2360元/吨。该合同已累计提498.07吨，客户2025年11月1日-2025年11月28日接收的167.16吨玉米存在水分超标发热、毒素超标等情况。所提货物匹配计划号：YHSZ-25-092324，宏泰源库；YHSZ-25-092311，禹泰库。_x000a_ 经双方友好协商，三明海大饲料有限公司对该批次货物进行折价接收，以上情况合计产生扣款5133.43元（大写：人民币伍仟壹佰叁拾叁元肆角叁分），该批次累计提货498.07吨，折单吨扣款10.3元/吨，因合同签订保呕吐毒素，前期已加价15元/吨进行销售，可涵盖扣款损失."/>
        <s v="我司与营口长源物流供应链管理有限公司于 2025 年10月13日签订《粮食销售合同》（合同编号：JZXYMFJFZ250072），数量 540吨，单价2300元/吨。合同约定杂质≤1%，不完善粒≤8%，呕吐毒素≤1000ug/kg。_x000a_客户于10月27日提货的集装箱经过水分检测均存在超15%的情况，部分集装箱有轻微发热的情况，根据检测结果，客户的对水分检测超15.5%的6柜集装箱，每吨扣款30元/吨接收，合计产生扣款4898.7元，折单吨扣款9元/吨。该批集装箱匹配计划号：YHSZ-25-092310，禹泰库。我司前期已对该批集装箱水分超标情况登记反馈。_x000a_因考虑到该客户为终端销售，该批次销售猪料客户，因此在销售时，已加价20元/吨进行销售，溢价可涵盖上述扣款损失。_x000a_以上扣款是否可行，烦请领导批示，谢谢。"/>
        <s v="客户于麻涌港东耀海泰提货，有一车（车号皖LD5749）32.40 吨玉米检测毒素不符合合同标准"/>
        <s v="我司与福建省邵武市华龙饲料有限公司于 2025 年7月14日签订《粮食销售合同》（合同编号：YMFJFZ250086），数量3000吨，单价2410元/吨。该合同累计提货3119.12吨，客户2025年8月14日-2025年9月13日接收的1084.11吨玉米，出现杂质及霉变超标情况，客户原诉求扣款51398.46元，经双方多次沟通后，客户同意扣款21584.2元（附客户扣款商函及照片），折合6.92元/吨。_x000a_     以上扣款，对应船舶昌晟隆/2523、明金2号/2523，是否可行，烦请领导批示，谢谢。"/>
        <s v="我司与福清双胞胎饲料有限公司于 2025 年11月18日签订《粮食销售合同》（合同编号：YMFJFZ250187），数量2000吨，单价2360元/吨。该合同已累计送货1918.48吨，累计接货1914.95吨，客户2025年11月24日-2025年11月29日接收的773.74吨玉米呕吐毒素超标，总计扣款20202.80元，折合10.55元/吨。对应船舶华源盛/2529。该客户原玉米，基本为北方自发到长乐，我部为推动福清双胞胎往军航码头提货，同时推动军航码头电车配送福清双胞胎业务。该单合作是近3年来内贸_x000a_玉米的首单合作，主要为双方再此合作磨合（品质、配送等），在销售时未加价销售。接货过程中，我司玉米出现了较大批次的呕吐毒素超标情况，工厂主要生产猪料，对品质要求较为严格，经双方多次友好协商，工厂进行扣款接货，该工厂后续合作，我部将充分考虑实际品质及工厂可能扣款情况，进行溢价销售，涵盖质量损失。_x000a_以上扣款是否可行，烦请领导批示，谢谢。"/>
        <s v="于2025年11月28日签订《粮食销售合同》(合同编号:YMZSJJY250186)，数量500吨，单价2410元/吨，该合同己累计交货499.49吨，(其中12月11日4车车号:C1715D，重量34.86吨车号:粤BGT302，重量35.49吨，车号:粤BFS784，重量35.87吨，车号:粤MA1287，重量39.53吨合计:145.75吨)到货玉米经检验杂质1.2%杂质和破碎粒超出合同约定指标(杂质≤1%),不符合客户接受指标针对该批次到厂不合格玉米，经双方友好协商处理后，退货转扣款接收"/>
        <s v="我司与海南省粮油产业有限公司于2025年11月3日签订的《粮食销售合同》（合同号：JCYMHN250088-1），合同数量1500吨，合同单价2257元/吨，截止目前共计执行1487.7吨，执行完毕。该批货物在接卸过程中客户反水分及不完善粒超标等质量问题，我司现场人员范闻超和工厂品管人员共同抽样检测，检测结果事实存在，现场检测水分15.1-15.3%，不完善粒11.7-11.8%不等，合计数量1487.7吨。经双方友好协商，此批玉米按20元/吨进行扣价接收，合计扣款¥29754元。以上扣款具体执行航次为：2025年11月30日抵达马村港“益嘉9/2528”玉米轮执行430.12吨，8602.4元；2025年12月8日抵达马村港“炜业福星/2525”玉米轮执行1057.58吨，扣款21151.6元。"/>
        <s v="我司与三明海大饲料有限公司于 2025 年11月5日签订《粮食销售合同》（合同编号：JZXYMFJFZ250081），数量800吨，单价2330元/吨。该合同已累计提货788.73吨，客户2025年11月27日-2025年11月30日接收的100.74吨玉米存在毒素超标等情况。所提货物匹配计划号：YHSZ-25-092324，宏泰源库、新誉库。_x000a_明细如下：到厂日期 车号 重量/吨 备注_x000a_2025/11/27 TLLU3079330 10.14 1500ppb_x000a_2025/11/27 ZGXU3005031 27.28 1170ppb_x000a_2025/11/28 ZGLU3210656 27.34 1110ppb_x000a_2025/11/28 ZGXU3032042 8.45 1710ppb_x000a_2025/11/30 ZGLU3138757 27.53 1120ppb_x000a_ 经双方友好协商，三明海大饲料有限公司对该批次货物进行折价接收，以上情况合计产生扣款1971.90元（大写：人民币壹仟玖佰柒拾壹元玖角），该批次累计提货788.73吨，折单吨扣款2.5元/吨，合同签订保呕吐毒素，前期已加价15元/吨进行销售，可涵盖扣款损失._x000a__x000a_     以上扣款是否可行，烦请领导批示，谢谢。"/>
        <s v="苏州穗满德国际贸易有限公司，2025年11月19日签订的《粮食销售合同》(合同编号:JCYMZSJQY250029-2)合同数量2000吨，合同单价2297.5元/吨，提货麻涌港东星海泰/078，二车到厂检测杂质分别为1.71%、2.98%出合同约定的标准，合计64.92吨，申请分别扣款538与1472元，合计扣款2010元"/>
        <s v="我司于 2025 年 11 月 26 日与韶关市漓源饲料有限公司签订内贸玉米合_x000a_同，编号 YMZSJDKHLY250195，数量 1000 吨，单价 2400 元/吨。_x000a_客户于麻涌港东星海泰/079 提货，提单号 MCDXHT07925039，因工厂到_x000a_厂抽样检测发现 200.04 吨玉米杂质检测均值在 1.82%，达不到合同指标_x000a_≤1% 。 因 对 客 户 成 品 以 及 口 碑 造 成 影 响 ， 扣 价 10 元 / 吨 ， 需 扣_x000a_价:200.04*10=2000.4 元。"/>
        <s v="双胞胎（集团）股份有限公司，2025年12月2日签订的《粮食销售合同》(合同编号:JZXYMZSJQY250113)合同数量400吨,合同单价 2470 元/吨,客户提货外采合同号JZXYMSZCG250092，运单号JZ21JZLX1454A，柜号FTAU1999604，到厂检测结果水分15.38，呕吐毒素1161，超出合同约定的标准，申请扣款35元/吨，26.93吨*35=942.55元。"/>
        <s v="我司与海南胜飞贸易有限公司于2025年11月21日签订的《粮食销售合同》（合同号：JZXYMHN250170），合同数量550吨，合同单价2400元/吨，质量标准：容重≥700g/L，水分≤15%，杂质≤1.0%，霉变粒≤2.0%，不完善粒≤8%，呕吐毒素≤1000ug/kg。截止目前共计执行547.55吨，执行完毕。该批货物在接卸过程中发现箱号为CSNU3002368发运重量27.11吨，呕吐毒素1480.15ug/kg，不符合合同约定质量标准。经双方友好协商，此批玉米收货重量共计27.21吨，按30元/吨进行扣价接收，合计扣款¥816.3元。_x000a_以上扣款货物为对应发运计划编号YHSZ-25-102202，对应装箱库点：营口雨荷库"/>
        <s v="2025年11月17日签订的的集装箱合同，潘钟明，合同号JZXYMYXMM250805（322吨，2370元每吨）；_x000a_客户在提货中发现提单号ASMWGSU250802497A，箱号：HJLU1340302；北方磅装货一组总数56.32吨。_x000a_该箱在码头转运过程中爆箱撒漏，12月3日到货后确认柜体侧面漏洞，撒漏，保险第三方已经处理，经双方协商，本合同扣款金额为4.26吨*2370元/吨=10096.2元。"/>
        <s v="司与成都德康动物健康技术服务有限公司于2025年12月10日签订的&lt;&lt;粮食销售合同&gt;&gt;(赊销),合同号JCYMZSJQY250011-1,单价2361元/吨,数量2000吨。客户于2025年12月16日开单我司麻涌港大船:国家能源/2512轮货物共计1000吨，实际装货:996.818吨，提货驳船粤鼎湖货0388于12月19日到厂后发现有杂质超标情况，经检测杂质达3.43%，合同第二条:质量标准中约定:杂质2%，考虑到杂质检测方法尚存争议，且考虑到双方长期以来的友好合作关系，经双方友好协商，申请对12月19日开始提货到厂的996.818货物扣款23556.96元(折合单吨扣款四舍五入后为23.63元)。"/>
        <s v="提货杂质大，7车做 25 元/吨扣款，数量 311.46 吨，金额为 7786.5 元。"/>
        <s v="联系单号:YHSZ-25-111427、YHSZ-25-111429销售广州顺泽粮食贸易有限公司，2025年12月5日签订的《粮食销售合同》(合同编号:JZXYMLCYDG251207)合同数量2500 吨，合同单价 2482元/吨。该合同交货过程中2柜因水湿粘底,杂质破碎杂质大,扣款 20-30 元/吨让步接收,车上粘住卸不下来的 0.36吨客户拒收退回码头仓库 600元/吨让步接收，合计扣款2011.22元"/>
        <s v="关于茂名正辉有限公司与我司签订了原料采购合同(合同编号:YMYXMM250863)，合同数量500吨，合同约定质量标准：容重≥690g/L，水分≤15%，杂质≤1%，霉变粒≤2%，不完善粒≤10%。客户共有两个合同共1000吨在该条船上提货。客户于1月2日在茂名市长晟码头世恒2仓“炜业68V2507“轮提货3车(98.85吨)发现玉米杂质达到4%，呕吐毒素达到2150ug/kg,客户为生产猪料工厂，杂质及呕吐毒素超标只能降级使用，经友好商务沟通，客户同意折价接收，现申请如下：_x000a_3车申请扣款20元/吨，共98.85吨，共计扣款1979元"/>
        <s v="广 州 顺 泽 粮 食 贸 易 有 限 公 司 ， 2025 年 9 月 8 日 签 订 的 《 粮 食 销 售 合 同 》 ( 合 同 编_x000a_号:JZXYMZSJJM25040)合同数量 540 吨，合同单价 2460 元/吨，该合同签订为按照乙方工厂磅单_x000a_结算，工厂磅重 537.78 吨，但结算时，按照集装箱北方发运数 538.805 吨进行了结算，差额为_x000a_1.025 吨，折合 2460*1.025 吨=2521.5 元，因 JZXYMZSJJM25040 已结算完毕关闭合同，申请_x000a_在后续合同 YHYMZSJXS251113002 中扣除该笔货款。"/>
        <s v="我司与成都东方希望农业有限公司于 2025 年11月18日签订《粮食销售合同》（合同编号：JZXYMFJFZ250084），数量400吨，单价2440元/吨。该合同已累计提385.33吨，客户2025年12月4日-2025年12月12日接收有3柜出现呕吐毒素超标情况。所提货物匹配计划号：YHSZ-25-092324，新誉库。_x000a_经双方友好协商，成都东方希望农业有限公司对该批次货物进行折价接收，以上情况合计产生扣款2345.24元（大写：人民币贰仟叁佰肆拾伍元贰角肆分），该批次累计提货385.33吨，折单吨扣款6.08元/吨，因合同签订保呕吐毒素，前期已加价15元/吨进行销售，可涵盖扣款损失。"/>
        <s v="2025年12月5日我司与大余温氏畜牧有限公司订内贸玉米转让协议，合同号:YMZSJDKHWS250040-2，数量2000吨，单价2380元/吨，客户提涌港东星海泰078，报 488.7 吨货物杂质( 1.32-1.43)超标，属于折价接收范围，单吨扣价 10元，合计扣款4887 元."/>
        <s v="2025年12月2日我司与大余温氏畜牧有限公司签订内贸玉米转让协议，协议号:YMZSIDKHWS250038-5，数量1000吨，单价2330元/吨。客户提新港东亿603货物报360.04吨货物杂质(1.36-2.2)超标，属于折价接收范围，单吨扣价10元，合计扣款3600.4元。"/>
        <s v="2025年12月8日我司与广西温氏畜牧有限公司签订内贸玉米合同，协议号YMZSJDKHWS250041-2,数量1650吨，单价2400 元/吨。客户提麻涌港 国家能源 610/2512货物，报375.14吨货物赤霉烯酮(317-1137ppb)超标和水分(15.38-15.41)，属于折价接收范围，单吨扣价 30元，合计扣款 11254.2元"/>
        <s v="前期在 2025 年 12 月 8 日与宾阳通威饲料有限公司签署的内贸玉米合同，对应合同号YMGXXJ250144，单价 2465 元/吨，数量 800 吨。于 2025 年 12 月 27 日至 2026 年 1 月 4 日在白沙港“鸿丰 9678”上完成交付（珠三角大船名：国家能源 610/2512），交货数量 779.27 吨。  在实际交货中存在杂质超标情况，其中较为严重的有 5 车，抽检结果为：3-3.3%，通威集团原规定杂质超 2%需供方退货处理，经过友好协商后对这五车做 20 元/吨扣款，数量 199.63 吨，金额为3992.6 元。折算整合同为 5.12 元/吨。 "/>
        <s v="前期在2025年11月17日与南宁通威生物科技有限公司签署的内贸玉米合同，对应合同号_x000a_YMGXXJ250134，单价2360元/吨，数量1500吨。于2025年12月23日至2025年12月27日发散船&quot;谢圩6878&quot;配送到厂完成交付(珠三角大船名：国家能源610/2512)，交货数量1492.08吨。_x000a_在实际交货中存在水分超标的情况，我司与客户场抽样并邮寄第三方检测机构，实际检测水分为15.69%。经过友好协商后对实际交货数量做17元/吨扣款，数量1492.08吨，金额为25365.36元。"/>
        <s v="我司与三明海大饲料有限公司于 2025 年11月6日签订《粮食销售合同》（合同编号：YMFJFZ250159），数量500吨，单价2245元/吨。该合同已累计提货494.5吨，客户2025年11月20日-2025年11月22日接收的120.61吨玉米存在毒素超标等情况。所提货物匹配船号：弘泰612/2524。_x000a_明细如下：_x000a_到厂日期 车号 重量/吨 备注_x000a_2025/11/20 闽HB3996 39.16 1906ppb_x000a_2025/11/22 闽GA2988 41.30 1350ppb_x000a_2025/11/20 闽GA2988 40.15 2406.2ppb_x000a__x000a_     经双方友好协商，三明海大饲料有限公司对该批次货物进行折价接收，以上情况合计产生扣款6195.04元（大写：人民币陆仟壹佰玖拾伍元零角肆分），该批次累计提货120.61吨，折单吨扣款51元/吨。折整批单吨扣款为12.5元/吨，合同签订保呕吐毒素，加价15元/吨。可覆盖扣款。（该订单11月16日申请，当期先款价格2230元/吨，申请2245元/吨签订保毒素交付）_x000a_以上扣款是否可行，烦请领导批示，谢谢。"/>
        <s v="我司与深圳市凌念网络科技有限公司于 2025 年10月23日签订《粮食销售合同》（合同编号：YMFJFZ250134），数量1000吨，单价2260元/吨，约定指标杂质≤1%，呕吐毒素≤1mg/Kg，福州军航码头自提；客户已累计提货985.31 吨。_x000a_客户于12月17日-12月19日提货的散粮，存在呕吐超标、杂质超标的情况，合计产生扣款7516.1元（大写：人民币柒仟伍佰壹拾陆元陆角），产生商务扣款货物共计248.53吨，折单吨扣款30.42元/吨。所提货物匹配船名：正海3/2506。（10月23日申请该订单时指导价格为先款2245元/吨，11月马尾港自提）。我司已加价15元/吨进行保毒素销售，溢价可覆盖扣款。_x000a__x000a_以上扣款是否可行，烦请领导批示，谢谢。"/>
        <s v="与广西园丰牧业集团股份有限公司签订的《粮食销售合同》，合同号：YMGXQZ250316，数量1000吨，单价2415元/吨，提“长峰98/2526”轮散装玉米，其中有6车共200.6吨水分指标远超出合同约定标准15%（合同提前预留有5元/吨商务），客户原则上拒收。经双方协商同意，工厂做商务扣款让步接收，合计扣款金额2679.00元，折合单吨扣款2.68元，溢余2.32元/吨对我司有利。（附商函）"/>
        <s v="联系单号 YHSZ-25-111428 销售蚌埠丰盛饲料贸易有限公司，2025年12月29 日签订的《粮食销售合同》(合同编号:JZXYMLCYDG251212)合同数量440 吨，合同单价 2450 元/吨。该合同送货过程中-柜运单号ZG25129672602箱号ZGLU3255732杂质偏多，客户需要增加过筛一遍才能处理，经友好协商该柜扣款 20 元/吨让步接收处理"/>
        <s v="合同号：YMGXQZ250315，数量600吨，单价2420元/吨，提“长峰98/V2526”轮散装玉米，其中有3车共99.68吨呕吐毒素超出双方约定标准1500（合同多预留有5元/吨商务），客户原则上拒收。经双方协商同意，工厂做商务扣款让步接收，合计扣款金额1324.20元，折合单吨扣款2.20元，溢余2.80元/吨对我司有利。（客户出有商函及检测报告）"/>
        <s v="，2025 年 12 月 11 日签订的《粮食销售合同（赊销）》(合同编号:YMZSJJY250195)_x000a_合同数量 1000 吨，合同单价 2415 元/吨，客户提货国翔 3/2540，提货重量 270.82 吨，经检测三车共计 126_x000a_吨杂质超出合同约定不符合合同约定标准（杂质≤1.0%），我司承担该批次下超标杂质 126 吨折合货款 1260 元。_x000a_经双方友好协商处理后，退货转扣款接收，合计扣款 1260 元 折合 10 元/吨。"/>
        <s v="2025年12月5日我司与   富川广东温氏畜牧有限公司  签订内贸玉米转让协议，合同号YMZSJDKHWS250045 ，数量1000 吨，单价2460元/吨。客户提麻涌港 国家能源610/2512货物，报374.62吨货物赤霉烯酮( 280-483ppb)超标，属于折价接收范围，单吨扣价30元，合计扣款11238.6元。"/>
        <s v="2025年12月5日 我司与  连州温氏畜牧有限公司 签订内贸玉米合同，协议号：YMZSJDKHWS250046，数量1000吨，单价2460元/吨。客户提麻涌港 国家能源610/2512货物，报192.64吨货物杂质( 1.62)超标，属于折价接收范围，单吨扣价10元，合计扣款1926.4元。"/>
        <s v="我司于 2026 年 1 月 5 日与广东嘉好农产品有限公司签订内贸玉米合同，编号 YMZSJXXW260001，数量 1000 吨，单价 2400 元/吨。_x000a_客户于南沙港东星海泰/80 提货，提单号 NSDXHT8026021，因工厂检测水分偏高，综合平均水分 15.71%。因对客户成品以及口碑造成影响，扣价_x000a_10 元/吨，需扣价:999.38*10=9993.8 元。"/>
        <s v="我司于2025年12月31日与阳江市阳东温氏畜牧有限公司签订了玉米内贸合同YMYXYJ250250-1，签订主体为中粮贸易（深圳）有限公司。合同总量为1000吨，单价为2430元/吨，实际执行量为1013.12吨。大船名：益嘉88/2528。合同约定标准：水分≤15%，赤霉烯酮≤200ppb。1.6-1.9日客户提取了一批玉米（猪料），经检测，其中有330.02吨水分在15.65-15.66之间，赤霉烯酮达到240ppb,不符合合同约定的标准。考虑到双方后期的长期友好合作，对该批货物进行15元/吨的折价处理，折价金额为4950.3元,在货款中扣除。"/>
        <s v="我司于2025年12月31日与阳江市阳东温氏畜牧有限公司签订了玉米内贸合同YMYXYJ250250-3，签订主体为中粮贸易（深圳）有限公司。合同总量为1000吨，单价为2430元/吨，实际执行量为1002.32吨。大船名：益嘉88/2528。合同约定标准：水分≤15%，赤霉烯酮≤200ppb，黄曲霉毒素B1（ppb）≤30。1.7-1.8日客户提取了一批玉米（猪料），经检测，其中有317.6吨水分在15.39-15.66之间，赤霉烯酮在318-597之间，黄曲霉毒素达到51，不符合合同约定的标准。考虑到双方后期的长期友好合作，对该批货物进行20元/吨的折价处理，折价金额为6352元，在货款中扣除。"/>
        <s v="丰顺县海新饲料有限公司，2025年 12月 18 日签订《粮食销售合同》(合同编号:YMZSJY250201)，数量500 吨,单价 2390 元/吨,该合同已累计交货497.09 吨,提货锦航佰福/2532(其中1月2日6车车号:粤 BGT302重量 32.02 吨,车号: CC8777,重量 32.23 吨,车号:豫 PU7705,重量 32.26 吨,车号: C4M573,重量 33.14吨，车号:粤 MR7785，重量 33.230 吨，车号:赣 COP948，重量 34.91 吨合计:197.79 吨)到货玉米经检验杂质.2%杂质和破碎粒超出合同约定指标(杂质&lt;1%)，不符合客户接受指标针对该批次到厂不合格玉米。经双方友好协商处理后，退货转扣款接收。合计产生扣款 1977.9元。折合10元/吨"/>
        <s v="YHSZ-25-111425，台山市向星饲料有限公司，2025年12月11日签订的《粮_x000a_食销售合同》(合同编号：YMZSJDGJZX250427)合同数量1080吨，合同单价2472元/吨，_x000a_结算数量 1082.09 吨 ，其中10柜，总共267.9吨，因工厂检测抽检发现水份15.19%至_x000a_15.62%偏高。不符合合同约定的标准。经过双方友好协商，该10柜按减价4元/吨结算处_x000a_理使用，即总共扣款267.9吨*4元/吨=1071.6元"/>
        <s v="与钦州播恩生物技术有限公司签订的《粮食销售合同》，合同号：YMGXQZ250317，数量800吨，单价2425元/吨，提“长峰98/V2526”轮散装玉米，其中有9车共283.06吨呕吐毒素超出双方约定1500（客户多预留5元/吨商务），工厂原则上拒收。经双方协商同意，决定做商务扣款让步接收，合计扣款金额3108.20元，折合单吨扣款3.88元，溢余1.12元/吨对我司有利。（客户出有商函及检测报告）"/>
        <s v="YHSZ-25-121919、开平市绿皇农牧发展有限公司，2026年1月6日签订的《粮食销售合同》（合同编号：JZXYMZSJJM26001）合同数量1030吨，合同单价2450元/吨，结算数量1018.14，其中3柜，总共76.53吨，因工厂仓库收货开柜后发现玉米有霉味的现象，经过协商沟通，进行扣款处理。（1）车号:湘U6955,柜号:XYLU1191171，来货实收重量:21.55吨。（2）车号:湘MJ9132,柜号:XYLU1178631，来货实收重量:27.98吨。（3）车号:湘LD6811,柜号:XYLU1313449，来货实收重量:27吨。合计:76.53*20=1530.6元"/>
        <s v="关于广东凤凰饲料有限公司与我司签订了原料采购合同(合同编号:YMYXMM250904)，合同数量900吨，合同签订指标:容重&gt;690g,呕吐毒素&lt;1000ugkg,水分&lt;15%,杂质&lt;1%,霉变粒&lt;2%,不完善粒&lt;10%未约定的其它质量标准按实际交货品质标准执行。于1月14日及1月19日在茂名市远海码头“中恒顺丰/2533“轮提货配送2车均发现玉米霉变及呕吐毒素超标，实测霉变4.1%、4.8%、呕吐毒素1270、1301。经友好商务沟通，客户同意折价接收，现申请如下：_x000a_其中桂KB3339、粤K87698 车辆申请扣款20元/吨，共61.15吨，共计扣款1223元；合同签订有做溢价10元销售，可覆盖扣款金额。"/>
        <s v="我司与河南牧原粮食贸易有限公司于2025年12月3日签订的《粮食销售合同》（合同号： YMHN250338），合同数量1000吨，合同单价2470元/吨（送到厂价）。该合同已执行完毕，到厂数量979.4吨，但该合同货物在接卸过程中客户发现部分货不符合合同约定标准。扣重2车的执行数量为65.14吨，杂质每超0.01%减重0.01%，合计减重2.65%（0.867吨），此合同实际结算重量变更为978.533吨；扣款具体执行航次为：2026年1月3日抵达马村港“炜业福星/2527”玉米轮执行193.02吨，扣款2256.8元；2026年1月11日抵达马村港“锦富航69/2601”玉米轮执行97.08吨，扣款970.8元。综上，该合同合计扣重0.867吨，扣款3227.6元。"/>
        <s v="我司与成都德康动物健康技术服务有限公司于2025年10月31日签订的《粮食销售合同》(赊销)，合同号YMZSJQY250182，单价2220元/吨，数量5000吨。于2025年10月31日签订的《粮食销售合同》(赊销)，合同号YMZSJQY250189单价2220元/吨，数量5000吨。现有如下情况:YMZSJQY250189合同于2025年12月24日开单我司南沙港大船:国远707/2526轮，于1月3日开始到货。提货驳船名:贵港东旺6178，提货1470.62吨，汽运到厂后取样综合样有1467.65吨出现杂质超标情况，经工厂检测，取样后杂质平均达2.98%，YMZSJQY250182合同于2026年1月7日开始提货我司南沙港大船:东星海泰/080轮，桂远航838轮提货2098.902吨，汽运到厂后取样综合样有1916.81吨出现杂质超标情况，取样后杂质平均达2.47%，大福8658轮提货1397.264吨，汽运到厂后取样综合样有1395.56吨出现杂质超标情况，取样后杂质平均达2.16%，共计有4958.95吨货物杂质超过合同约定的杂质≤2%的指标，我司与客户沟通要求汽运到厂后进行二次采样检测，经过双方友好协商，对杂质在1%-2%之间的不合格货物扣款5元/吨，对杂质在2%-2.5%之间的货物扣款10元/吨，对杂质在2.5%-3%之间的货物扣款20元/吨，对杂质超过3%的货物扣款30元/吨。"/>
        <s v="我司与郴州大北农饲料科技有限公司于2025年12月12日签订的《粮食销售合同》，合同号YMZSJQY250280，单价2420元/吨，数量1000吨。客户于1月8日开始提货我司外采大船:南方地采-谷润/25200，共计提货387.2吨，到厂后检测该批玉米存在不同程度的水分超标(合同约定水分≤15%)，共计13台车共计387.2吨货物出现水分超标情况，经与品种线沟通，客户提货外采大船不合格的部分扣款由上游京粮承担，共计扣款8873.9元"/>
        <s v="2026我司与南宁大北农饲料科技有限责任公司于2025年12月26日签订的《粮食销售合同》，合同号YMZSJQY250293，单价2385元/吨，数量1000吨。客户于1月7日开始提货我司南沙港大船:东星海泰/80，共计提货998.98吨，到厂后检测该批玉米存在水分、杂质超标(合同约定水分≤15%，杂质≤1%)，检测结果取平均值:水分15.6、杂质1.37，经过双方友好协商，决定对该批货物按照15元/吨的方案进行扣款，共计扣款998.98吨*15元/吨=14984.7元"/>
        <s v="现有贵港湘大骆驼饲料有限公司与我司于2025年12月17日签订的内贸玉米合同YMZSJQY250284，数量1000吨，单价2380元/吨，客户于1月9日提货我司南沙港大船:东星海泰/80，(驳船名:贵港兴泰5288，提货998.69吨)到厂后检测有水分超标情况，超出合同质量签订标准:水分≤15%的约定，申请对水分超标的驳船扣款5元/吨。"/>
        <s v="兹有我司与成都东方希望农业有限公司司签订《粮食销售合同》(合同号:YMFJFZ250183)，合同数量1500吨，单价2410元/吨，配送到厂，合同约定容重(g/L)≥710，水分≤15%，呕吐毒素≤1000ppb。该合同于2025年11月17日-2026年1月9日提货玉米，其中137.97吨，结果检验指标不符合合同标准(毒素超标，毒素在1400ppb-1500ppb)，扣款5244元。该合同累计收货1499.43吨，折扣款3.5元/吨。所提货物匹配计划号:YHSZ-25-092324、YHSZ-25-102222。_x000a_该合同在销售时已按保毒素价格加价15元/吨销售，以上扣款是否可行，请领导批示。"/>
        <s v="兹有我司与双胞胎（集团）股份有限公司签订《粮食销售合同》（合同号：YMFJFZ250188）合同数量1000吨，单价2425元/吨，合同约定呕吐毒素≤1000ppb。该合同于2025年12月30日前执行完毕，共计执行989.1吨，在提货过程中,出现部分车次呕吐毒素超标问题,扣款20元/吨，扣款金额为1506.6元,"/>
        <s v="兹有我司与贵司于2025年11月18号签定《粮食销售合同》（合同编号：YHYMZSJXS251118002），数量1000吨，单价2365元/吨，该合同已累计到货991.72吨，我司检测杂质超出合同约定的0.5%，检测杂质为0.73347%，不符合我司接收标准，贵司承担该批次筛下杂质2.308吨折合货款5458.42元，另有：水分超出合同约定2.619吨折合扣货款6193.93元，霉变不合格扣款2687.28元。目前情况合计产生扣款14339.63元（大写：壹万肆仟叁佰叁拾玖元陆角叁分）"/>
        <s v="2026年1月7日我司与温氏集团下属子公司签订内贸玉米合同，合同号:YMZSJDKHWS250048-1，客户提新沙港国家能源610/2513货物，报1197.12吨货物杂质（1.49-2.04）超标，属于折价接收范围."/>
        <s v="2026年1月7日我司与温氏集团下属子公司签订内贸玉米合同，合同号:YMZSJDKHWS250049-3，客户提新沙港国家能源610/2513货物，报1197.12吨货物杂质（1.11-2.69）和赤霉烯酮（264-1884）超标，属于折价接收范围."/>
        <s v="饲料原料部、物流仓储部:_x000a_贵港瑞康饲料有限公司，2025年9月9日签订的《粮食销售合同》(合同编号:YMZSJMYX25052)合同数量4000 吨,合同单价2420元/吨;2025 年9月15 日签订的《粮食销售合同》(合同编号:YMZSJMYX25057)合同数量5000吨，合同单价2475元/吨;2025年9月5日签订的《粮食销售合同》(合同编号:YMZSJMYX25050)合同数量3000吨，合同单价2380元/吨。_x000a_上述合同原计划2025年9月18日计划派船提货，因货源紧张，需等大船国家能源610抵港才有货物交付，期间耽误约4 天。后因台风桦加沙登陆影响未能按期发运且台风过后又发生跑船换船，直至9月28日装出1500吨。又有国庆假期面临放假，同时台风影响西江上游发生洪涝，预期国庆期间西江航道面临停航风险，为保障供应安全，经双方协商同意贵港瑞康委派物流进行在新沙港、湛江港、桂平启用汽运提货，发生的物流费用合计247396.05元。_x000a_具体费用对比明细如下：_x000a_一、YMZSJJMYX25052，单价2420元/吨，合同数1000吨，收货数966.56吨_x000a_1、原计划：新沙港—白沙港—瑞康，船+汽运，我司配送，配送费40元/吨。_x000a_2、变更后：新沙港—瑞康，改为汽运，运费124.3元/吨。_x000a_3、费用增加情况：每吨运费客户承担84.3元，共计增加81481.01元。_x000a_二、YMZSJJMYX25057，单价2475元/吨，合同数1000吨，收货数954.32吨_x000a_1、原计划：新沙港—白沙港—瑞康，船+汽运，我司配送，配送费40元/吨。_x000a_2、变更后：湛江—瑞康，改为汽运，运费120元/吨。_x000a_3、费用增加情况：每吨运费客户承担80元，共计增加76345.60元。_x000a_三、YMZSJJMYX25052，单价2420元/吨，合同数500吨，收货数500.21吨_x000a_1、原计划：新沙港—白沙港—瑞康，船+汽运，我司配送，配送费40元/吨。_x000a_2、变更后：新沙港—桂平港—瑞康，改为汽运，运费80元/吨。_x000a_3、费用增加情况：每吨运费客户承担40元，共计增加20008.40元。_x000a_四、YMZSJJMYX25057，单价2475元/吨，合同数1000吨，收货数997.21吨_x000a_1、原计划：新沙港—白沙港—瑞康，船+汽运，我司配送，配送费40元/吨。_x000a_2、变更后：新沙港—桂平港—瑞康，改为汽运，运费80元/吨。_x000a_3、费用增加情况：每吨运费客户承担40元，共计增加39888.40元。_x000a_五、YMZSJJMYX25050，单价2380元/吨，合同数3000吨，卸船数3002.525，运输收货数3002.225_x000a_1、原计划：新沙港—白沙港—瑞康，船+汽运，我司配送，配送费40元/吨。_x000a_2、变更后：新沙港—苏湾港—瑞康，台风因素在桂平港卸货，费用49元/吨。_x000a_3、费用增加情况：每吨费用客户承担9元，共计增加27020.925元，详情如下：_x000a_码头费：3元/吨，新增费用3002.525x3=9007.575元_x000a_汽运费：6元/吨，新增费用3002.225x6=18013.35元_x000a_六、YMZSJJMYX25052，单价2420元/吨，合同300吨，卸船数294.635，运输收货数294.635_x000a_1、原计划：新沙港—白沙港—瑞康，船+汽运，我司配送，配送费40元/吨。_x000a_2、变更后：新沙港—苏湾港—瑞康，台风因素在桂平港卸货，费用49元/吨。_x000a_3、费用增加情况：每吨费用客户承担9元，共计增加2651.715元，详情如下：_x000a_码头费：3元/吨，新增费用294.635x3=883.905元_x000a_汽运费：6元/吨，新增费用294.635x6=1767.81元_x000a_以上变更产生的费用共计：81481.01+76345.60+20008.40+39888.40+27020.925+2651.715=247396.05_x000a_此次费用分到YMZSJM26007合同开票结算时扣除，具体金额247396.05元(附扣款商函)_x000a_请领导批示。"/>
        <s v="贵港瑞康饲料有限公司，2025年12月27日签订的《粮食销售合同》（合同编号：YMZSJJM25103）合同数量2000吨，合同单价2400元/吨。_x000a_2026年01月21-26日送货至工厂的贵港兴泰55船玉米，经质检部门检测，该船杂质超标，该船玉米共入库1996.19吨，其中杂质49.62吨，杂质占比例2.49%。按原合同质量标准杂质≤1%;则杂质超标扣款合计:1996.19吨*(2.49%-1%)*2,400元/吨=71383.75元，在开票结算时扣除。"/>
        <s v="我司与双胞胎（集团）股份有限公司于2025年11月21日签署生效的《粮食销售合同（赊销）》（合同编号：YMFJZZ250304)，合同数量5000吨，合同单价2350元/吨，该合同累计提货5009.52吨，客户于2025年12月30日至2026年1月8日提货批次玉米存在水分、杂质均超标等问题（水分检测为15.17%至15.54%，杂质超1%），对应船名：浙洋97/2537"/>
        <s v="我司与正大贸易（中国）有限公司于2025年12月22日签署生效的《粮食销售合同（赊销）》（合同编号：YMFJZZ250315)，合同数量3000吨，合同单价2425元/吨，该合同累计提货2985.66吨，客户于2026年1月6日至1月12日提货2985.66吨玉米存在杂质超标、破损较大问题，对应船名：浙洋97/2537 ；"/>
        <s v="我司与南平华农恒青农牧有限公司于 2026 年1月7日签订《粮食销售合同》（合同编号：YMFJFZ260006），数量400吨，赊销，单价2410元/吨，合同约定水分≤15%，杂质≤1%，呕吐毒素≤1000ppb。该合同已累计提货399.66吨，客户2026年1月13日-2026年1月19日接收209.04吨玉米，存在提货杂质超标、呕吐超标的情况。所提货物匹配船名：轩祥3/2535。 经与客户多次协商沟通，客户对该批玉米扣款接收，其中209.04吨玉米产生商务扣款6371.22元（人民币陆仟叁佰柒拾壹元贰角贰分），折单吨扣款30.48元/吨（整笔合同折单吨扣款15.9元/吨）。我司在1月7日销售时，当日赊销指导价格2388元/吨，我司已加价20元/吨，可覆盖扣款。_x000a_     以是否可行，烦请领导批示，谢谢。"/>
        <s v="我司与福州海龙生物科技有限公司于 2026 年1月6日签订《粮食销售合同》（合同编号：YMFJFZ260002），数量500吨，赊销，单价2400元/吨，合同约定水分≤15%，杂质≤1%。该合同已累计提480.79吨，客户2026年1月13日接收的110.08吨玉米，存在提货杂质超标情况。所提货物匹配船名：轩祥3/2535。 经与客户多次协商沟通，其中110.08吨玉米客户扣款接收，产生商务扣款2201.6元(人民币贰仟贰佰零壹元陆角），折单吨扣款20元/吨（整笔合同折单吨扣款4.5元/吨）。我司在1月7日销售时，当日赊销指导价格2375元/吨自提，我司已加价5元/吨，可覆盖扣款。_x000a_     以是否可行，烦请领导批示，谢谢。"/>
        <s v="联系单号：YHSZ-25-111427，广州顺泽粮食贸易有限公司，2026年1月6日签订的《粮_x000a_食销售合同》(合同编号：JZXYMDG26003)合同数量1000吨，合同单价2432元/吨，结算_x000a_数量 1080.34 吨_x000a_该合同在1月22日交货过程中1柜产生质量问题，经过双方友好协商，1柜霉变超标按照_x000a_40元/吨扣款结算，即总共扣款27.57吨*40元/吨=1102.8元"/>
        <s v="播恩集团股份有限公司，2026 年 1 月 16 号 于 南 沙 港 东 星 海 泰 /80 提 货 ， 提 单 号_x000a_NSDXHT8026008，因工厂检测抽检，其中 224.78 吨玉米呕吐毒素为_x000a_1550ppb-1660ppb，不符合合同约定的标准。经过双方友好协商，按 10 元/_x000a_吨扣款接收，其中一车呕吐毒素检测为 1660ppb，按 20 元/吨扣款接收，_x000a_即总共扣款 193.36 吨*10 元/吨+31.42 吨*20 元/吨=2562 元"/>
        <s v="播恩集团股份有限公司，2025 年 12 月 18 号于麻涌港国家能源 610/2512 提货，提单号_x000a_GJNY6101225011，因工厂检测抽检，其中 31.76 吨玉米毒素为 1550ppb，_x000a_不符合合同约定的标准。经过双方友好协商，按 10 元/吨扣款接收，即总_x000a_共扣款 31.76 吨*10 元/吨=317.60 元"/>
        <s v="广东泰德饲料有限公司 于 南 沙 港 东 星 海 泰 /80 提 货 ， 提 单 号_x000a_NSDXHT8026002，因工厂检测抽检，平均水份为 15.22%，不符合合同约定_x000a_标准，经过双方友好协商，超出水分 0.22%*2370 元/吨=5.2 元/吨，即总_x000a_共扣款 1498.032 吨*5.2 元/吨=7789.77 元"/>
        <s v="我司于2026年1月16日和深圳市中佳粮食有限公司签订粮食销售合同JZXYMDG26007(合同量:800吨、单价:2430元/吨),对应运单号:Q089668881:由于运单号:Q089668881，柜号:00LU0108760，出现漏玉米预计少1.325吨，已报保险处理，现申请该组柜子按照工磅单结算，即25.19吨(北方重量26.515吨)"/>
        <s v="联系单号：YHSZ-25-121503，广州顺泽粮食贸易有限公司，2025年12月8日签订的《_x000a_粮食销售合同》(合同编号：JZXYMLCYDG251208)合同数量2500吨，合同单价2482元/吨_x000a_，结算数量2366.84吨_x000a_该合同在1月14号交货过程中，5柜水分检测超标，经过双方友好协商，5柜工厂检测平_x000a_均水份为15.41%，不符合合同约定标准，按约定比例扣重 0.35338吨，即总共扣款_x000a_0.35338吨*2482元/吨=877.09元"/>
        <s v="联系单号：YHSZ-25-121503，广州顺泽粮食贸易有限公司，2025年12月8日签订的《_x000a_粮食销售合同》(合同编号：JZXYMLCYDG251209)合同数量2500吨，合同单价2482元/吨_x000a_，结算数量2366.42吨_x000a_该合同在1月13号交货过程中，其中2柜存在发热、霉味问题，另有14柜水分检测超标，_x000a_经过双方友好协商，2柜发热有霉味按照40元/吨扣款处理，14柜工厂检测平均水份为_x000a_15.23%，不符合合同约定标准，按约定比例扣重 1.06166吨，即总共扣款26.82吨*40元_x000a_/吨+1.06166吨*2482元/吨=3707.84元"/>
        <s v="河南牧原粮食贸易有限公司YMGXNN250144玉米散粮合同（5000吨，现金2400元/吨,珠三角自提)于1月9日至11日期间，珠三角自提“东星海泰/80”4996.054吨，出现水分超出合同标准情况。客户原则上拒收，经过沟通，要求整体扣款30元/吨，后再次沟通，客户要求扣款20元/吨并发出商函，最终经反复多次沟通，本着长远战略友好合作出发，客户让步同意对该合同整体进行15元/吨扣款接收，合计扣款：74940.81元。"/>
        <s v="前期与南宁海大生物科技有限公司签约的内贸玉米合同，合同号YMGXQZ250329，数量600吨，合同单价2370元/吨，签约时间2025年12月19日。_x000a_该合同执行于2026年1月23日-1月26日完成了该批次的提货，提货大船为长峰98/2526，提货地点钦州，执行数量为583.86吨。在接货过程中出现杂质超标情况，经我部到现场抽样检测后，其检测结果最低为2.04%，最高2.94%。_x000a_经过多次沟通后最终决定将项下的377.26吨做单吨5元扣款处理，扣款金额为1886.3元。"/>
        <s v="隆安县扬翔饲料有限公司，于2025年12月12日签订的《粮食销售合同(赊销)》合同编号:JCYMZSJJM25006-4)。合同数量1500吨,合同单价2352元/吨，提货大船为麻涌港的国家能源610/2512。_x000a_隆安县扬翔饲料有限公司于2025年12月15日派桂平鸿达1689船舶提该合同玉米，提货数量1498.166吨。到货检测该批玉米检测综合样杂质1.7%，超出合同标准(合同标准杂质≤1%).隆安县扬翔饲料有限公司现提出对该船玉米进行扣重处理，即扣重为1498.166吨*(1.7%-1%)=10.487吨,按合同单价换算扣款金额为10.487吨*2352元/吨=24665.42元(人民币大写:贰万肆仟陆佰陆拾伍元肆角贰分)。_x000a_因JCYMZSJJM25006-4合同已经开发票，该笔扣款将在玉米合同YMZSJM25101中扣减。"/>
        <s v="南宁扬翔农牧有限公司，于2025年11月26日签订的《粮食销售合同》合同编号:YMZSJJM25084)，合同数量5000吨，合同单价2340元/吨。提货大船为麻涌港的国家能源_x000a_610/2512.南宁扬翔农牧有限公司于2025年12月15日贵港兴泰828船舶提该合同玉米，提货数量2395.88吨。到货检测该批玉米检测综合样杂质1.9%，超出合同标准(合同标准杂质≤1%)。南宁扬翔农牧有限公司现提出对该船玉米进行扣重处理，即扣重为2395.88吨*(1.9%-1%)=21.563吨,按合同单价换算扣款金额为21.563吨*2340元/吨=50457.42元(人民币大写:伍万零肆佰伍拾柒元肆角贰分)。_x000a_因YMZSJJM25084合同已经开发票，该笔扣款将在玉米合同YMZSJJM25100中扣减。"/>
        <s v="我司与正大原料供应有限公司于 2025 年12月11日签订《粮食销售合同》（合同编号：YMFJFZ250210），数量 1500 吨，单价2425元/吨，合同约定杂质≤1%，不完善粒≤8%，呕吐毒素≤1000ug/kg。 客户于2026年1月4日-1月16日提货的1453.96吨玉米存在杂质、水分超标情况，合计产生扣款24282.25元（大写：人民币贰万肆仟贰佰捌拾贰元贰角伍分），折单吨扣16.71元/吨。所提货物匹配船名：轩祥3/2535提货986.86吨，福兴9/2538提货467.1吨。合同约定交付期2026年1月，2025年12月11日对1月交付的指导价格2385元/吨（扣除补偿阿根廷高粱问题10元/吨，实际溢价30元/吨），溢价可覆盖扣款。_x000a_      以上扣款请领导批示，谢谢。"/>
        <s v="    兹有我司与正大原料供应有限公司2025年12月29日签署生效的《粮食销售合同》（合同编号：YMFJZZ250316)，合同数量1500吨，合同单价2425元/吨，截止至2026年01月21日，该合同累计提货1491.92吨，客户于2026年1月14日至1月20日提货玉米经检测杂质超标，破碎大，对应船名：同庆18/2539 "/>
        <s v="福建经营部通过延伸粮源池采购的散船玉米“炜业19”轮（航次号：2511），发运至漳州港，发运数量19541.03吨，实际卸货数量19499.46吨。该船于2025年12月23日靠泊漳州港并启动卸货，12月25日卸货工作全部完成。_x000a_卸货期间，经营部物流工作人员现场监卸发现该批玉米存在水分、杂质超标问题。经华正检测，玉米水分含量在15.2%-15.5%区间，超出标准0.2%-0.5%，部分杂质指标亦未达到规定要求。针对上述品质问题，福建经营部第一时间报告饲料原料部及上游供应商进行反馈，客户在接货过程中，亦反馈该批玉米存在相同品质问题。_x000a_为妥善处置该问题，福建经营部与饲料原料部、客户充分沟通协商，确定按正常商务流程给予扣款，并同步推进货物提货工作。截至2026年1月21日，该批玉米已全部出库，累计出库数量19440.36吨"/>
        <s v="广东粮品农产品经营有限公司，2025年1月7日签订的《粮食销售合同》(合同编号:JZXYMZSJJM26002)合同数量400吨，合同单价2430元/吨，提货港为新会新港。_x000a_计划号：YHSZ-25-111430-1，运单号：Q089492200，箱号00LU0694125，卸货净重27.44，杂质超标1.7%，扣款金额478.27元。_x000a_计划号：YHSZ-25-111430-1，运单号：Q089492200，箱号FCIU3159167，卸货净重27.4，杂质超标1.7%，扣款金额477.58元。_x000a_合计扣款金额为:955.85元。"/>
        <s v="广东粮品农产品经营有限公司，2025年1月23日签订的《粮食销售合同》(合同编号:JZXYMZSJJM26009)合同数量380吨，合同单价2430元/吨，提货港为新会新港。_x000a_计划号：YHSZ-25-121923，运单号：Q089671463，箱号CSNU3235781，卸货净重27.32，杂质超标1.5%，扣款金额341.5元。_x000a_计划号：YHSZ-25-121923，运单号：Q0896714630，箱号CSNU3031290，卸货净重9.86_x000a_，杂质超标3.1%，扣款金额517.65元。_x000a_    计划号：YHSZ-25-121923，运单号：Q0896714630，箱号CSNU3077942，卸货净重27.6，_x000a_杂质超标1.7%，扣款金额483元。_x000a_合计扣款金额为:1342.15元。"/>
        <s v="与金钱农牧（广西）有限公司签订的《粮食销售合同》，合同号：YMGXQZ250335，数量300吨，单价2390元/吨，提“三水809/2601”轮散装玉米，其中有6车共199.16吨水分指标远超出合同约定标准15%，客户原则上拒收。经双方协商同意，做商务扣款让步接收，合计扣款金额1991.60元，合同折合单吨扣款6.63元。"/>
        <s v="与广西柯特农业发展有限公司签订的《粮食销售合同》，合同号：YMGXQZ250314，数量1000吨，单价2410元/吨，提“长峰98/V2526”轮散装玉米，其中有21车共704.54吨水分指标远超出合同约定标准15%，客户原则上拒收。经双方协商同意，做商务扣款让步接收，合计扣款金额7045.40元，整合同折合单吨扣款7.04元。"/>
        <s v="我司于2025年12月16日与贵港市源饲料有限公司签订内贸玉米合同，编号YMZSJDKHLY250202，数量1500吨，单价2350元/吨。_x000a_客户于2026年1月13日在新沙港国家能源610/2513提货，提单号GJNY61025130031。因工厂检测水分偏高，综合平均水分15.5%。因对客户成品以及口碑造成影响，扣价15元/吨，需扣价:1499.88*15=22498.2元"/>
        <s v="我司于2024年12月16日与北流市响亮饲料有限公司签订内贸玉米合同，编号YMZSJDKHLY250206，数量1500吨，单价2350元/吨。_x000a_客户于南沙港东星海泰/80提货，提单号NSDXHT8026031，因工厂检测杂质超标，平均值达3.03%(合同签订指标:杂质≤1.0%)。因对客户成品以及口碑造成影响，扣价25元/吨，需扣价:1496.97*25=37424.25元"/>
        <s v="贵我双方于 2025 年 12 月 30 日签订 2000 吨玉米《粮食销售合同》_x000a_（合同编号：YMZSJJY250204），单价 2380 元/吨，合同约定以港口外_x000a_磅结算。2026 年 1 月 8 日—2026 年 1 月 17 日收到贵司港口外磅共计_x000a_1951.44 吨玉米。经我司品管检测，此批玉米杂质 1.5%，超出约定标准_x000a_1%，影响使用，我司系统扣款 23319.7 元。经双方协商，另按 10 元/吨_x000a_扣款，即按 1951.44 吨*10 元/吨=19514.4 元做扣款接收处理。综上合计_x000a_扣款 19514.4+23319.7=42834.1 元。"/>
        <s v="兹有我司与正大贸易（中国）有限公司于2026年01月16日签署生效的《粮食销售合同（赊销）》（合同编号：YMFJZZ260004)，合同数量3000吨，合同单价2435元/吨，截止至2026年02月05日，该合同累计提货2999.56吨，客户于2026年1月23日至2月6日提货批次玉米经检测杂质超标，对应船名：中安89/2601"/>
        <s v="兹有我司与正大原料供应有限公司于2026年01月19日签署生效的《粮食销售合同（赊销）》（合同编号：YMFJZZ260019)，合同数量2000吨，合同单价2430元/吨，截止至2026年02月04日，该合同累计提货2000.08吨，客户于2026年1月22日至2月4日批次提货批次玉米检测杂质超标，对应船名：弘泰625/2601；"/>
        <s v="我司与将乐温氏家禽有限公司于 2025 年11月26日签订《粮食销售合同》（合同编号：JZXYMFJFZ250086），数量1000吨，赊销，单价2450元/吨到厂，合同约定水分≤15%，杂质≤1%。该合同已累计提货970.5吨，其中客户2025年12月3日-2026年1月3日接收的528.75吨玉米，存在破碎粒、杂质粉尘较多、水分超标的情况。所提货物匹配船名：福兴9/2538（水分超标）、华源盛/2531（提货到仓底，粉尘与破碎超标）。    _x000a_     客户原需对于该批有质量问题的货物扣款50元/吨接收，经与客户多次协商沟通，对破碎粒、杂质粉尘超标的586.2吨玉米客户按扣款25元/吨接收，产生商务扣款13218.75元（人民币壹万叁仟贰佰壹拾捌元柒角伍分），整笔合同折单吨扣款13.62元/吨。"/>
        <s v="我司于 2026 年 1 月 30 日与金钱饲料（东莞）有限公司签订内贸玉米合同，编号 YMZSJDG26010 ，合同数量 2000 吨，结算数量 1991.3 吨，单价_x000a_2346 元/吨。客户 2026 年 1 月 30 号于新沙港长鑫 86 提货，提单号 XSCX8625003，因工厂检测抽检，其中 1292.42 吨平均水分为 15.49%，平均杂质为 4.19%，不符合合同约定标准，经过双方友好协商，按 10 元/吨扣款接收，即总共扣款 1292.42 吨*10 元/吨=12924.20 元"/>
        <s v="联系单号：YHSZ-25-121920，中山市福大生物科技有限公司，2026年1月28日签订的_x000a_《粮食销售合同(赊销）》(合同编号：JZXYMDG26016)合同数量225吨，合同单价2445_x000a_元/吨，结算数量222.214吨_x000a_该合同在2月1号交货过程中，7柜产生质量问题，经过双方友好协商，其中222.24吨工_x000a_厂检测平均水份为15.47%，不符合合同约定标准，经过双方友好协商，按10元/吨扣款_x000a_接收，即总共扣款222.24吨*10元/=2222.4元"/>
        <s v="我司与将乐温氏家禽有限公司于 2026年1月6日签订《粮食销售合同》（合同编号：YMFJFZ260003），数量1500吨，赊销，单价2465元/吨，合同约定水分≤15%，杂质≤1%。该合同已累计提货1499.88吨，客户2026年1月13日接收的159.87吨玉米，存在杂质粉尘超标。所提货物匹配船名：轩祥3/2535。    _x000a_     经与客户多次协商沟通，对杂质破碎超标的159.87吨玉米客户扣款5元/吨接收，产生商务扣款799.35元（人民币柒佰玖拾玖元叁角伍分），整笔合同折单吨扣款0.5元/吨。该批次提货出现提货到杂质集中部位，后续将加强对码头存粮与出货作业的管理。"/>
        <s v="我司与将乐温氏家禽有限公司于 2025 年12月24日签订《粮食销售合同》（合同编号：YMFJZZ260010），数量1000吨，赊销，单价2360元/吨，合同约定水分≤15%，杂质≤1%。该合同已累计提货973.28吨，客户2026年1月1日-2026年1月9日接收的586.2吨玉米，存在破碎粒、杂质粉尘较多情况。所提货物匹配船名：浙洋97/2537。    _x000a_     原定对于存在商务的货物按扣款30元/吨接收，经与客户多次协商沟通，对杂质破碎超标的586.2吨玉米，客户扣款减半按15元/吨接收，产生商务扣款8793元（人民币壹万柒仟伍佰捌拾陆），整笔合同折单吨扣款9元/吨。"/>
        <s v="现有清远大北农生物科技有限公司与我司于2025年12月26日签订的内贸玉米合同YMZSJQY250294，数量1500吨，单价2385元/吨，客户于1月23日提货我司新沙港大船:国家能源610/2513，到厂后有两台车呕吐毒素检测超出合同质量签订标准:呕吐毒素≤1200的约定，申请对以下提货毒素超标的两车扣款5元/吨。"/>
        <s v="广州顺泽粮食贸易有限公司于2025年9月10日签订国产内贸合同(合同号JZXYMZSJQY250069,合同量270吨，单价2450元/吨)，该合同已结算完毕。由于上次扣款时，由保险方承担的CSLU1499746柜子扣款的5218元未在之前的合同扣除，申请在我司与广州顺泽粮食贸易有限公司签订的JZXYMZSJQY260002合同中扣除(签订时间2026年1月21日，数量1070吨，单价2432元/吨)，请领导批示"/>
        <s v="联系单号:YHSZ-25-121921，广州顺泽粮食贸易有限公司，2025年12月8日签订的《粮食销售合同》(合同编号:JZXYMLCYDG251210合同数量2500吨，合同单价2482元/吨，结算数量2389.511吨)_x000a_该合同在1月27号交货过程中，1柜存在杂质破碎严重超标，工厂退货，经过双方友好协商，27.3吨因质量问题导致的直接损失由工厂承担，该批货物往返所产生的运输费用由我司承担，申请在JZXYMLCYDG251210销售合同中扣除，即总共扣款1550元(附扣款商函)"/>
        <s v="2026年1月7日和2025年11月12日我司与双胞胎集团签订内贸玉米合同合同号:YMZSJDKHSBT260001、YMZSJDKHSBT250017，单价分别为2390、2290元/吨。客户提新沙港 国家能源 610/2513和国远 86货物，报 490.96 和 358.93 吨货物呕吐毒素和赤霉希酮超标，属于折价接收范围，扣款明细如下:"/>
        <s v="2026年1月7日和2025年11月12日我司与双胞胎集团签订内贸玉米合同合同号:YMZSJDKHSBT260001、YMZSJDKHSBT250017，单价分别为2390、2290元/吨。客-提新沙港 国家能源 610/2513和国远 86货物，报 490.96 和 358.93 吨货物呕吐毒素和赤霉希酮超标，属于折价接收范围，扣款明细如下:"/>
        <s v="我司于2025年11月25日与正大康地阳江饲料有限公司签订了玉米内贸合同YMYXYJ250218，签订主体为中粮贸易（深圳）有限公司，大船:益嘉88/2528。签订主体:中粮贸易(深圳)有限公司，合同量2000吨，合同单价2402元/吨，执行量1983.62吨，其中该批货物999.86吨水分检测在15.3-15.8之间，赤霉260-500。不符合合同约定标准。考虑到双方后期的长期友好合作，对该批货物做折价10元/吨处理，总计9998.60元，在货款中扣除。"/>
        <s v="我司于2025年12月3日与正大康地阳江饲料有限公司签订了玉米内贸合同YMYXY250225，签订主体:中粮贸易(深圳)有限公司，大船:益嘉88/2528，合同量2000吨，合同单价2442元/吨，执行量1980.12吨，其中该批货物980.56吨水分检测在15.3-15.5之间，赤霉238-624。不符合合同约定标准。考虑到双方后期的长期友好合作，对该批货物做折价10元/吨处理，总计9805.60元，在货款中扣除。"/>
        <s v="2026年1月7日 我司与  温氏集团下属子公司 签订内贸玉米合同，合同号：YMZSJDKHWS250049-2，单价分别为2350元/吨。客户提新沙港 国家能源610/2513货物，报194.4吨货物赤霉烯酮超标，属于折价接收范围"/>
        <s v="联系单号:YHSZ-25-121922，深圳市中佳粮食有限公司，2026年1月21日签订的《粮食销售合同》(合同编号:JZXYMDG26014合同数量1080吨，合同单价2420元/吨，结算数量1074.753吨)_x000a_该合同在2月6号交货过程中，AYLZAXV260013424B运单2柜产生质量问题，其中53.35吨工厂检测杂质超标，TELU2283128(26.58吨)杂质为2.86%，GCXU2171181(26.77吨)杂质为3.05%，不符合合同约定标准，经过双方友好协商，TELU2283128按55元/吨扣款接收，GCXU2171181按61元/吨扣款接收，即总共扣款26.58吨*55元/吨+26.77吨*61元吨=3094.87元"/>
        <s v="我司与海南省粮油产业有限公司于2026年1月30日签订的《粮食销售合同》（合同号：JCYMHN260002-1），合同数量1500吨，合同单价2441元/吨，截止目前共计执行1499.4吨，执行完毕。该批货物在接卸过程中客户反馈不完善粒及杂质超标等质量问题，我司现场人员范闻超和工厂品管人员共同抽样检测，检测结果事实存在，现场检测不完善粒11.75%，杂质1.2%，合计数量1499.4吨。经双方友好协商，此批玉米按20元/吨进行扣价接收，合计扣款¥29988元。"/>
        <s v="广西辽大农业科技股份有限公司YMGXNN250131玉米散粮合同（2000吨，现金2405元/吨,钦州港自提)于1月8日至31日期间，钦州港提“长峰98/V2526”1986.82吨，出现水分超出合同标准情况。客户原则上拒收，经过沟通，要求整体扣款15元/吨，后经反复多次沟通，客户要求扣款5元/吨并发出商函，最终沟通后，本着长期友好合作理念，客户让步同意对该合同整体进行4元/吨扣款接收，合计扣款：7,947.28元"/>
        <s v="现有赣州湘大骆驼饲料有限公司与我司于2026年1月26日签订的内贸玉米合同YMZSJQY260016，数量1500吨，单价2320元/吨，客户于2月5日开始提货我司新沙港大船：长鑫86，共计提货980.4吨，到厂后有部分车辆水分检测超出合同质量签订标准：水分≤ 15%的约定，经过双方友好协商，申请对以下提货水分超标的车辆共计扣款8059.68元（单吨扣款约8.22元/吨）"/>
        <s v="2026年1月7日我司与温氏集团下属子公司签订内贸玉米合同，合同号YMZSJDKHWS250048-2、YMZSJDKHWS250048-3.单价为2360 元/吨。客户提新沙港国家能源 610/2513 货物，报 2259.88吨货物破碎粒、杂质、水分、赤霉烯酮等超标，属于折价接收范围"/>
        <s v="梅州大北农生物科技有限公司，2026 年 1 月 29 日签订的《粮食销售合同（赊销）》(合同编号:YMZSJJY250224)_x000a_合同数量 1000 吨，合同单价 2425 元/吨，客户提货航安顺/2603，共计提货重量 994.92 吨，经检测三车 199.38_x000a_吨水分分别为 15.22%、15.43%、15.43%超出合同约定不符合合同约定标准（水分≤15%），我司承担该批次下_x000a_超标水分 199.38 吨折合货款 1740.59 元。"/>
        <s v="我司于 2025 年 12 月 12 日与佛山播恩生物科技有限公司签订内贸玉米_x000a_合同，编号 JCYMZSJDG25051-1 ，合同数量 500 吨，单价 2378 元/吨。_x000a_客 户 2026 年 2 月 1 号 于 南 沙 港 东 星 海 泰 /80 提 货 ， 提 单 号_x000a_NSDXHT8026064，因工厂检测抽检，其中 32.72 吨毒素为 1654ppb，不符合_x000a_合同约定标准，经过双方友好协商，按 10 元/吨扣款接收，即总共扣款 32.72_x000a_吨*10 元/吨=327.2 元"/>
        <s v="兹有我司与福州海龙生物科技有限公司司签订《粮食销售合同》（合同号：YMFJFZ250158），合同数量1200吨，单价2265元/吨，配送到厂，合同约定容重（g/L)≥685，霉变≤2%，水分≤15%，热损≤2%，呕吐毒素≤1000ppb。该合同于2025年11月14日-2026年1月20日提货玉米，共计提货1185.85吨，接货1183.97吨，其中部分到货检测结果不符合合同标准（呕吐毒素超标，在1200ppb-1800ppb，杂质超标，霉变超标等情况），扣款15213.7元（明细详见商函），折合12.8元/吨。该合同考虑为不保毒素玉米中挑选出货，在销售时已考虑扣款因素加价15元/吨销售，加价可涵盖扣款。_x000a_以上扣款是否可行，请领导批示"/>
        <s v="我司于 2025 年 10 月 30 日与佛山播恩生物科技有限公司签订内贸玉米_x000a_合同，编号 YMZSJDG250412 ，合同数量 1500 吨，单价 2220 元/吨。_x000a_客户 2025 年 12 月 14 号于麻涌港国家能源 610/2512 提货，提单号_x000a_GJNY6101225003，因工厂检测抽检，其中 31.38 吨毒素为 1820ppb，不符_x000a_合合同约定标准，经过双方友好协商，按 30 元/吨扣款接收，即总共扣款_x000a_31.38 吨*30 元/吨=941.4 元"/>
        <s v="通过实地抽样及多轮复测后，整体杂质多超过合同约定的≤1%的指标，_x000a_平均杂质在2.5-2.8%之间，经过多次沟通后计划扣款25018.07元，折合单吨_x000a_6.26元/吨。由于年前涉及到部分合同货款到期，为避免逾期货款产生故在春_x000a_节前做了部分结算，对于该扣款金额折到YMGXXJ250149合同上结算。"/>
        <s v="我司于2025年12月26日与正大康地(广州番禺)有限公司签订内贸玉米合同，编号YMZSJDG250500 ，合同数量3000吨，单价2370元/吨。_x000a_客户2026年2月7号于南沙港东星海泰/82提货，提单号NSDXHT8226003，因工厂检测抽检，其中278.14吨平均水分为15.2%，不符合合同约定标准，经过双方友好协商，按6元/吨扣款接收，即总共扣款278.14吨*6元/吨=1668.84 元"/>
        <s v="联系单号：YHSZ-25-121922，广州顺泽粮食贸易有限公司，2026年2月3日签订的《粮_x000a_食销售合同》(合同编号：JZXYMDG26018)合同数量377吨，合同单价2430元/吨，结_x000a_算数量376.585吨_x000a_该合同在2月7号交货过程中，2柜工厂检测杂质超标，不符合合同约定标准，经过双方_x000a_友好协商，按照20元/吨扣款接收，即总共扣款52.52吨*20元/吨=1050.4元"/>
        <s v="我司与南平华农恒青农牧有限公司于 2026 年1月20日签订《粮食销售合同》（合同编号：YMFJFZ260012），数量400吨，赊销，单价2450元/吨，合同约定水分≤15%，杂质≤1%，呕吐毒素≤1000ppb。该合同已累计提货405.12吨，客户2026年2月9日接收100.17吨玉米，存在提货杂质超标的情况。所提货物匹配船名：铭宏发展/2603。    经与客户多次协商沟通，客户对该批玉米扣款接收，其中100.17吨玉米产生商务扣款2161.58元（人民币贰仟壹佰陆拾壹元伍角捌分），折单吨扣款21.6元/吨（整笔合同折单吨扣款5.3元/吨）。我司在1月20日销售时，当日赊销指导价格2435元/吨，我司已加价15元/吨，可覆盖扣款。_x000a_     以是否可行，烦请领导批示，谢谢。"/>
        <s v="江门市英海饲料有限公司，2026年1月19日签订的《粮食销售合同》(合同编号:JZXYMZSJJM26005)合同数量610 吨,合同单价2430元/吨，提货港为新会新港。_x000a_江门市英海饲料有限公司于1月29日收到3个柜子，经检验发现水分整体超标约0.4%-0.5%，超过合同约定的水分≤15.0%，经双方协商同意，做商务扣款让步接收。总卸货数为44.78吨，扣款为10元/吨，具体明细如下：_x000a_计划号YHSZ-25-121923，运单号Q089671468，箱号CSNU1470499，卸货数8.58吨，水分15.4%，扣款为10元/吨，扣款金额8.58x10=85.8元。_x000a_计划号YHSZ-25-121923，运单号Q089613601，箱号CSNU1612612，卸货数9.07吨，水分15.5%，扣款为10元/吨，扣款金额9.07x10=90.7元。_x000a_计划号YHSZ-25-121923，运单号Q089810130，箱号CSLU2246130，卸货数27.13吨，水分15.4%，扣款为10元/吨，扣款金额27.13x10=271.3元。_x000a_总扣款金额为85.8+90.7+271.3=447.8元"/>
        <s v="我司于2026年1月6日与永州市漓源饲料有限公司签订内贸玉米合同，编号YMZSJDKHLY260001，数量1100吨，单价2330元/吨。_x000a_客户于南沙港东星海泰/81与东方祥通/2518提货，提单号NSDXHT8126028与NSDFXT2518030，因工厂检测杂质偏高，综合平均杂质4.29%。因对客户成品以及口碑造成影响，扣价30元/吨，需扣价:1099.48*30=32984.4元。_x000a_请领导批示。"/>
        <s v="我司于2025年12月16日与梧州柳新农牧科技有限公司签订内贸玉米合同，编号YMZSJDKHLY250204，数量2000吨，单价2350元/吨。_x000a_客户于2026年1月10日在南沙港东星海泰/80提货，提单号NSDXHT8026026，驳船名:广通0819。因工厂检测赤烯酮与杂质偏高综合平均赤霉烯酮326.75ppb，杂质平均值4.56%。因对客户成品以及口碑造成影响，扣价40元/吨，需扣价:1999.706*40=79988.24元。_x000a_请领导批示。"/>
        <s v="兹有我司与福建圣农发展（浦城）有限公司签订YMFJFZ250164号《粮食销售合同》，合同数量2000吨，单价2390元/吨，截止2月28日，该合同实际送货1949.73吨，接货1949.64吨，质量扣款23183元，折合扣款11.85元/吨，该扣款为圣农杂质及不完善粒固定扣款，在销售合同时已进行加价15元/吨进行销售，实际无损失。_x000a_以上扣款，是否可行，请领导批示。"/>
        <s v="兹有我司与圣农发展（政和）有限公司签订YMFJFZ250165号《粮食销售合同》，合同数量1000吨，单价2390元/吨，截止2月28日，该合同实际送货954.42吨，接货953.99吨，质量扣款12839.3元，折合扣款13.46元/吨，该扣款为圣农杂质及不完善粒固定扣款，在销售合同时已进行加价15元/吨进行销售，实际无损失。_x000a_以上扣款，是否可行，请领导批示。_x000a_"/>
        <s v="我司于2026年2月2日和深圳市中佳粮食有限公司签订粮食销售合同JZXYMDG26017(合同量:587吨、单价:2420元/吨),对应运单号:Q090050033;由于运单号:Q090050033、柜号:CSNU1256790在中转码头撒漏玉米，出现少重情况报保险处理，现申请该组柜子按照工厂磅单结算，即14.53吨(北方重量26.7875吨)"/>
        <s v="我司于2026年1月23日和深圳市中佳粮食有限公司签订粮食销售合同JZXYMDG26015(合同量:1650吨、单价:2430元/吨),对应运单号:ZG26019808062-B，Q090050032由于运单号:ZG26019808062-B、柜号:ZGXU2827614出现少重情况，报保险处理，现申请该组柜子按照工厂磅单结算，即23.92吨(北方重量27.06吨)运单号Q090050032，柜号CSLU2018167出现少重情况，报保险处理，现申请该组子按照工厂磅单结算，即25.12吨(北方重量27.8375吨)"/>
        <s v="兹有我司与南平海大生物科技有限公司司签订《粮食销售合同》（合同号：YMFJFZ250189）及《补充协议》（协议号：YMFJFZ250189-1），合同数量500吨，单价2370元/吨，配送到厂，合同约定容重（g/L)≥685，霉变≤2%，水分≤15%，热损≤2%。该合同原为军航码头散粮出货，与客户沟通交付南平港集装箱玉米，对应福满仓及禹泰库。该合同总计提货495.14吨，因提货过程中有玉米发霉、水分超标、发热情况，经双方友好沟通扣款15134.5元，折30.56元/吨。_x000a_以上扣款是否可行，请领导批示。"/>
        <s v="YMYXYJ260001-2，阳春市温氏畜牧有限公司，签订主体:中粮贸易(深圳)有限公司，合同量1500吨，单价2430元/吨，执行量1491.94吨，合同签订标准：玉米赤霉烯酮&lt;200μg/kg，水分≤15%，经检验，该批货物有702.2吨赤霉在368-407之间，水分在15.2-15.51之间，不符合合同约定标准，考虑到双方后期的长期友好合作，对该批货物做15元/吨折价处理，扣款10533元，在货款中扣除。"/>
        <s v=" YMYXYJ260004-2，阳江市阳东温氏畜牧有限公司，签订主体:中粮贸易(深圳)有限公司，大船：锦鑫6/2601，合同量1000吨，单价2415元/吨，执行量1002吨，同签订标准：玉米赤霉烯酮&lt;200μg/kg，杂质≤1%，经检验，该批货物有529.76吨赤霉在349-597之间，杂质在1.15-1.93之间，不符合合同约定标准，考虑到双方后期的长期友好合作，对该批货物做15元/吨折价处理，扣款7946.4元，在货款中扣除。"/>
        <s v="YMYXYJ260013-2，阳江市阳东温氏畜牧有限公司，签订主体:中粮贸易(深圳)有限公司，大船：锦鑫6/2601，合同量1000吨，单价2350元/吨，执行量983.44吨，合同签订标准：玉米赤霉烯酮&lt;200μg/kg，杂质≤1%，经检验，该批货物有114.02吨赤霉烯酮在273-311之间，杂质在1.17-2.68之间，不符合合同约定标准，考虑到双方后期的长期友好合作，对该批货物做15元/吨折价处理，扣款1710.3元，在货款中扣除。"/>
        <s v="现有于与广东嘉豪签署的内贸玉米合同JCYMGXQZ260002-1，数量2000吨，在2026年2月6日-13日期间在执行过程中因水分不符产生了相应的商务问题，执行大船为钦州港“三水809/2601”，执行数量1990.86吨，在抽检过程中水分高点在15.45%，中间值平均在15.2%左右，与客户多次沟通协商后按照扣款3564.89元进行接收，折算到单吨为1.79元/吨。"/>
        <s v="YMYXYJ260013-3，阳西温氏禽畜有限公司，签订主体:中粮贸易(深圳)有限公司，大船：锦鑫6/2601，合同量1000吨，单价2350元/吨，执行量981.08吨，合同签订标准：不完善粒≤10%，经检验，该批货物有216.3吨不完善粒在11.3-16.1，不符合合同约定标准，考虑到双方后期的长期友好合作，对该批货物做5元/吨折价处理，扣款1081.5元，在货款中扣除。"/>
        <s v="YMYXYJ260013-1，阳春市温氏畜牧有限公司，签订主体:中粮贸易(深圳)有限公司，大船：锦鑫6/2601，合同量1000吨，单价2350元/吨，执行量1005.48吨，合同签订标准：杂质≤1%，经检验，该批货物有397.22吨杂质为2.28，不符合合同约定标准，考虑到双方后期的长期友好合作，对该批货物做15元/吨折价处理，扣款5958.3元，在货款中扣除。"/>
        <s v="茂名通威生物科技有限公司JCYMYXMM260005-1(合同量1000吨，单价2440元)，签订日期2026年2月3日。该合同共执行999.67吨。2026年2月8日客户在中心船“中伟顺/2603&quot;轮提货过程中，反馈到货的3车共84.58吨玉米存在水分超标的质量问题，经饲料厂人员取样检测并复查，玉米水分达15.3%，超合同规定标准。经我部与客户多次协商，秉承长期友好合同原则，共申请扣款592.06元，单吨扣款7元/吨。"/>
        <s v="现有清远加乐饲料有限公司与我司于2025年12月17日签订的内贸玉米合同YMZSJQY250282，数量1000吨，单价2380元/吨，客户于2月4日于深粮码头开始提货我司外采粮源:南方地采-谷润/25197合同货物，到厂后有4车杂质检测超出合同质量签订标准:杂质≤2%的约定，经过双方友好协商，决定对杂质超标的货物进行扣款，申请对以下提货杂质超标的4车扣款30元/吨。扣款由上游京粮承担"/>
        <s v="苏州穗满德国际贸易有限公司YMYXMM260016(合同量600吨，单价2400元)，签订日期2026年1月7日。该合同共执行590.84吨。2026年1月23日客户在中心船&quot;益嘉98/2534”轮提货过程中，反馈到货的2车共62.94吨玉米杂质超标的质量问题，经饲料厂人员取样检测并复查，玉米杂质达1.91%，超合同规定标准。经我部与客户多次协商，秉承长期友好合同原则，共申请扣款1258.8元，单吨扣款20元/吨。"/>
        <s v="现有于与钦州海大桂柳生物科技有限公司的内贸玉米合同YMGXQZ260018，_x000a_数量650吨，在2026年2月10日-13日期间在执行过程中因水分不符产生了相应的_x000a_商务问题，执行大船为钦州港“三水809/2601”，执行数量638.7吨。在抽检过程中水分高点在15.46%，中间值平均在15.3%左右，与客户多次_x000a_沟通协商后按照单吨5元/吨进行扣款接收。"/>
        <s v="兹有我司与漳浦县海新饲料科技有限公司于2025年12月30日签署生效的《粮食销售合_x000a_同》（合同编号：YMFJZZ250325)，合同数量1000吨，合同单价2420元/吨，截止至2026_x000a_年01月15日，该合同累计提货1031.03吨，客户于2026年1月4日至1月6日提货158.85吨，_x000a_经检测杂质、水份超标，对应船名：浙洋97/2537，该船在卸船时已向品种线报备杂质超_x000a_、部分水分异常的情况。"/>
        <s v="广西兴安县扬翔饲料有限公司，2026年1月27日签订的《粮食销售合同》(合同编号:JCYMZSJJM25007-4)合同数量2500 吨,合同单价2394.7元/吨，提货大船名：东星海泰082。_x000a_广西兴安县扬翔于2月12日派桂平安运138船舶到南沙港的东星海泰082提货，提货数量 1497.048 吨。客户检测该批玉米检测综合样杂质1.53%，超出合同标准（合同标准杂质≤1%）。现 _x000a_双方友好协商该船玉米扣款10元/吨，扣款金额1497.048吨*10元/吨=14970.48元。"/>
        <s v="与钦州播恩生物技术有限公司签订的《粮食销售合同》，合同号：YMGXQZ260004，数量1500吨，单价2425元/吨，提“长峰98/V2526”轮散装玉米，其中有9车共295.26吨水分指标远超出合同约定标准15%，客户原则上拒收。经双方协商同意，做商务扣款让步接收，合计扣款金额1538.22元，合同折合单吨扣款1.025元，该合同预留有5元/吨商务，溢余3.975元/吨，于我司有利。"/>
        <s v="现有于南宁通威生物科技有限公司签署的内贸玉米合同在执行过程中因_x000a_杂质不符产生了相应的商务问题，具体如下：JCYMGXXJ260003-1合同在执行钦州港最后一公里配送的三水809/2601中_x000a_因水分超标产生了其商务纠纷，经多次协商抽取水分较高的13车428.84吨做_x000a_扣款2144.2元接收处理（详细见附件一），对应扣款吨数折合单吨5元/吨。"/>
        <s v="YMGXXJ250157合同在执行珠三角最后一公里配送的东方详通/18中因水分_x000a_超标产生了其商务纠纷，经多次协商抽取水分较高的3车139.07吨做扣款_x000a_695.35元接收处理（详细见附件二），对应扣款吨数折合单吨5元/吨。"/>
        <s v="现有韶关海大生物科技有限公司我司于2026年2月11日签订的内贸集装箱玉米合同JZXYMZSJQY260019,数量500吨，单价2465元/吨,客户于2月14日开始接货我司集装箱玉米(计划号:YHSZ-25-121915,运单号:Q090134490、Q090134491)，到厂后，有4车水分检测超出合同质量签订标准:水分≤15%的约定，经过双方友好协商，决定对水分超标的货物进行扣款。"/>
        <s v="现有广州顺泽粮食贸易有限公司我司于2026年3月2日签订的内贸集装箱玉米合同JZXYMZSJQY260022，数量220吨，单价2472元/吨，客户于3月4日接货我司集装箱玉米，计划号:YHSZ-26-011509,运单号:WBYNA262X0055。客户于3月4日接货的TEMU0253426柜存在柜子破洞，漏水情况，该柜底部货物水湿结块严重，有5.36吨货物受损，已经向保险公司报险理赔，保险公司同意对结块粘底货物扣款1000元/吨，共计扣款5360元，已经沟通保险，由保险公司承担该部分费用"/>
        <s v="我司于2026年1月8日与广州市禾润兴饲料有限公司签订内贸玉米合编号 YMZSJDG26001，合同数量 2000 吨，单价 2370 元/吨。同，_x000a_客户 2026年3月2号于新沙港长鑫86 提货，提单号 XSCX8625039因工厂检测抽检，其中 62.74 吨杂质为 2.5%，不符合合同约定标准，经过双方友好协商,按 30 元/吨扣款接收,即总共扣款62.74吨*30 元/吨=1882.2元"/>
        <s v="我司于2026年1月8日与金钱饲料(东莞)有限公司签订内贸玉米合同，编号 YMZS.JDG26002，合同数量 2500 吨，单价 2406 元/吨。客户2026年2月27号于新沙港安丰 09/2604 提货，提单号XSAF0926006,因工厂检测抽检,其中2498.42吨杂质为 3.45%,水分 15.65%,不符合合同约定标准，经过双方友好协商，按10元/吨扣款接收，即总共扣款 2498.42 吨*10 元/吨=24984.2元"/>
        <s v="双胞胎（集团）股份有限公司 YMYXMM250880（合同量 6000 吨，单价 2360 元），签订日期为 202_x000a_5 年 12 月 23 日，合同约定杂质≤1%。该合同执行 5965.74 吨，2026 年 2 月 2 日-2026 年 2 月 5 日在中心_x000a_大船“中恒顺丰/2602”轮提货，862.65 吨杂质 1.43-1.67%超标，不符合同规定。经我司业务人员核实，检_x000a_测结果确实存在。秉承长期友好合同原则，经我部与客户多次友好协商后，862.65 吨申请扣款 10 元/吨，申_x000a_请扣款金额合计 8626.5 元。"/>
        <s v="双胞胎（集团）股份有限公司 YMYXMM250880（合同量 6000 吨，单价 2360 元），签订日期为 202_x000a_5 年 12 月 23 日，合同约定水分≤15%、杂质≤1%。该合同执行 5965.74 吨，2026 年 1 月 7 日-2026 年 1_x000a_月 9 日在外采大船“锦江河/2523”轮提货，67.33 吨水分 15.18-15.6%超标；461.44 吨水分 15.18-15.6%_x000a_且杂质 1.2-1.4%超标，不符合同规定。经我司业务人员核实，检测结果确实存在。秉承长期友好合同原则，_x000a_经我部与客户多次友好协商后，67.33 吨申请扣款 10 元/吨，461.44 吨申请扣款 20 元/吨，申请扣款金额合_x000a_计 9902.1 元。该扣款情况已报备饲料原料部，由饲料原料部向供应方扣款弥补我司损失。"/>
        <s v="丰顺县海新饲料有限公司，2026 年 1 月 22 日签订的《粮食销售合同（赊销）》(合同编号:YMZSJJY250221)_x000a_合同数量 2000 吨，合同单价 2425 元/吨，数量 1000 吨，单价 2430 元/吨，客户提货鑫泰 128/2604，该合同_x000a_已累计交货 976.79 吨，(其中 2 月 14 日 1 车车号:粤 VT7065，重量 33.1 吨，2 月 25 日 3 车车号:粤 V34913，_x000a_重量 32.54 吨，车号:粤 D03333，重量 32.62 吨，车号:粤 MA1287，重量 33.86 吨，合计:132.12 吨)到货玉米_x000a_经检验杂质 1.2%杂质和破碎粒超出合同约定指标(杂质≤1%)，不符合客户接受指标。针对该批次到厂不合格玉_x000a_米，经双方友好协商处理后，退货转扣款接收。"/>
        <s v="梅州双胞胎饲料有限公司，2026 年 2 月 3 日签订的《粮食销售合同（赊销）》(合同编号:YMZSJJY250228)_x000a_合同数量 1500 吨，合同单价 2420 元/吨，客户提货航安顺/2603，提货重量 1494.03 吨，经检测十四车共计 520.87_x000a_吨水分超出合同约定不符合合同约定标准（水分≤15%），一车 43.11 吨赤霉毒素超过合同约定标准（赤霉≤_x000a_200ppb）我司承担该批次下超标水分、赤霉 563.98 吨折合货款 8926.81元。"/>
        <s v="我司与海口金长城饲料有限公司于2026年1月26日签订的《粮食销售合同》（合同号：JZXYMHN260011），合同数量550吨，合同单价2480元/吨。截止目前共计执行553.705吨，执行完毕。该批货物在接卸过程中客户发现玉米水分超过合同约定标准，我司现场人员范闻超和工厂品管人员共同抽样，样品邮寄北方复测后，确认结果事实存在，复测水分15.2-15.5%。经双方友好协商，此批玉米共305.84吨，客户计划扣款7246.9元，经与客户协商，扣款5000元，折合单吨扣款16.35元/吨。"/>
        <s v="我司与南平华农恒青农牧有限公司于 2026 年2月10日签订《粮食销售合同》（合同编号：YMFJFZ260029），数量400吨，赊销，单价2450元/吨，合同约定水分≤15%，杂质≤1%，呕吐毒素≤1000ppb。该合同已累计提货397.25吨，客户2026年2月28日接收174.67吨玉米，存在提货杂质超标的情况。所提货物匹配船名：正海3/2601。_x000a_  经与客户多次协商沟通，客户对该批玉米扣款接收，其中174.67吨玉米，原产生商务扣款11608.13元，经双方多次协商扣款5804.06元（人民币伍仟捌佰零肆元零角陆分），折单吨扣款33.2元/吨（整笔合同折单吨扣款14.6元/吨）。我司在2月10日销售时，当日赊销指导价格2430元/吨，我司已加价20元/吨，可覆盖扣款。_x000a_     以是否可行，烦请领导批示，谢谢。"/>
        <s v="兹有我司与福建省金华龙饲料有限公司于2026年1月19日签订《粮食销售合同》，合同号:JCYMFJFZ250017-1，合同数量500吨，单价2378元/吨，该合同截止2月10日共计提货515.32吨，检测水分超标(合同约定水分≤15.9%，实测结果15.11%~15.5%)，已超出合同约定标准，经双方友好协商按15元/吨扣款，以上质量扣款合计7729.8元。_x000a_以上扣款对应兆丰6/2601(一体化粮源，经华正检验重新复测水分整体超标)，以上扣款是否可行，请领导批示。"/>
        <s v="兹有我司与福建省福清华龙饲料有限公司于2025年11月28日签订《粮食销售合同》，合同号:YMFJFZ250196，合同数量500吨，截止3月4日提货完毕，共计提货517.52吨，其中2026年1月19日至2026年1月29日提货397.59吨，其中提货165.6吨检测水分霉变超标(合同约定水分≤15.0%，霉变≤2%，实测结果15.54%~16.2%)，已超出合同约定标准，经双方友好协商按25元/吨扣款，以上质量扣款4140元;其中188.78吨检测水分霉变超标(合同约定水分≤15.0%，实测结果15.1%~15.5%)，已超出合同约定标准，经双方友好协商按15元/吨扣款，以上质量扣款2831.7元，该合同共计扣款6971.7元。折合合同扣款13.47元/吨。以上扣款玉米，实际对应兆丰6/2601(一体化粮源，经华正检验重新复测水分整体超标)以上扣款是否可行，请领导批示。"/>
        <s v="与广西诚轩粮汇贸易有限公司签订的《粮食销售合同》，合同号:JZXYMGXQZ260007，数量300吨，单价2490元/吨。客户于3月4日到3月5日提货到厂的以下箱号玉米水分超标，不符合合同质量标准，检测指标在15.4-15.9区间。发运计划号：JZXYMSZCG260008；运单：ZG26025109096；ZG26025109104；ZG26015060048，共10箱，301.80吨。经双方协商扣款让步接收，标准为8元/吨，合计金额2414.40元。"/>
        <s v="广西忠昇饲料有限公司 YMLDW2603033001玉米集装箱合同（1000吨，现金2490元/吨,钦州港自提)于3月4日至6日期间提货到厂出现水分超出合同标准情况（15.3-16.4）。发运计划号：JZXYMSZCG260008，运单：ZG26015060118,ZG26015060036,ZG26015060106,ZG26015060098,ZG26015060086,ZG26015060074,ZG26015060062,ZG26015060050,ZG26010008536共34箱，合计1023.42吨。客户原则上拒收，经过沟通，要求整体扣款27428.79元（折单吨27元/吨）并发出商函，经最终沟通后，本着长期友好合作理念，客户让步同意对该合同整体进行5元/吨扣款接收，合计扣款：5117.1元。"/>
        <s v="北流市响亮饲料有限公司 YMYXMM260008-1（合同量 3000 吨，单价 2420 元），签订日期为 2026_x000a_年 1 月 19 日，合同约定容重≥685g/L，呕吐毒素≤2000ug/kg，水分≤15.0%，杂质≤1.0%，霉变粒≤2.0%，_x000a_不完善粒≤10%，黄曲霉毒素 B1≤20μg/kg，玉米赤霉烯酮≤200μg/kg。该合同执行 2991.4 吨，2026 年 1_x000a_月 27 日-2026 年 1 月 31 日在中心大船“益嘉 98/2534”轮提货，711.58 吨呕吐毒素超标，在 2004.27pp_x000a_b-2135.38ppb，不符合同规定。经我司业务人员核实，检测结果确实存在。秉承长期友好合同原则，经我部_x000a_与客户多次友好协商后，申请扣款 20 元/吨，申请扣款金额合计 14231.6 元。成交时预留 5 元/吨溢价处理质_x000a_量扣款，预留价差可覆盖扣款。"/>
        <s v="北流市响亮饲料有限公司 YMYXMM260008-1（合同量 3000 吨，单价 2420 元），签订日期为 2026_x000a_年 1 月 19 日，合同约定容重≥685g/L，呕吐毒素≤2000ug/kg，水分≤15.0%，杂质≤1.0%，霉变粒≤2.0%，_x000a_不完善粒≤10%，黄曲霉毒素 B1≤20μg/kg，玉米赤霉烯酮≤200μg/kg。该合同执行 2991.4 吨，2026 年 1_x000a_月 23 日-2026 年 1 月 26 日在外采大船“锦江河/2523”轮提货，784.12 吨水分 15.21-15.46%，杂质 1.12_x000a_-1.38%，不符合同规定。经我司业务人员核实，检测结果确实存在。秉承长期友好合同原则，经我部与客户_x000a_多次友好协商后，申请扣款 20 元/吨，申请扣款金额合计 15682.4 元。该扣款情况已报备饲料原料部。"/>
        <s v="2026年2月10日签订的《粮食销售合同（赊销）》(合同编号:YMZSJJY250230)合同数量2000吨，合同单价2410元/吨，客户提货鑫泰128/2604，提货重量693.43吨，经检测十三车共计459.7吨赤霉烯酮（266-1099）、呕吐毒素(2300)超出合同约定不符合合同约定标准（赤霉烯酮≤200ppb、呕吐毒素≤2000ppb），我司承担该批次下超标水分459.7吨折合货款 9194元。"/>
        <s v="2026年1月7日签订的《粮食销售合同》(合同编号:YMZSJJY250216)合同数量5000吨，合同单价2400元/吨，客户提货国翔3/2540、锦航佰福/2532，该合同已累计交货4945.39吨，(其中1月26日4车车号:赣C1715D,重量34.26吨，车号:粤VT7065，重量34.47吨，车号:赣C2186D，重量35.75吨，车号:赣C3535D，重量38.12吨，1月27日2车车号:CU2823，重量33.1吨，车号:粤MA1287,重量35.36吨,2月10日4车车号:粤MR7785,重量34.55吨，车号:粤D28948，重量36.46吨，车号:粤VR5572，重量37.42吨，车号:赣C88710，重量42.57吨合计:362.06吨)到货玉米经检验杂质1.2%杂质和破碎粒超出合同约定指标(杂质≤1%)，不符合客户接受指标。针对该批次到厂不合格玉米，经双方友好协商处理后退货转扣款接收。_x000a_目前情况合计产生扣款3620.6元"/>
        <s v="2026年1月7日签订的《粮食销售合同》(合同编号:YMZSJJY250227)合同数量1000吨，合同单价2425元/吨，客户提货鑫泰128/2604，该合同己累计交货988.43吨，(其中2月26日3车车号:粤D28948，重量34.73吨，车号:赣COP948，重量34.72吨，车号:C7N331，重量36.2吨，3月8日2车车号:粤VZ1486，重量30.47吨，车号:C5615D，重量32.47吨，合计:168.59吨)到货玉米经检验杂质1.2%杂质和破碎粒超出合同约定指标(杂质≤1%)，不符合客户接受指标。针对该批次到厂不合格玉米，经双方友好协商处理后，退货转扣款接收。目前情况合计产生扣款1685.9元"/>
        <s v="苏州穗满德国际贸易有限公司，2026 年 1 月 27 日签订的《粮食销售合同》(合同编_x000a_号:JCYMZSJQY250043-2)合同数量 800 吨,合同单价 2439 元/吨,客户提货大船东星海泰/82（一_x000a_体化粮源），3.9 日，客户提货到厂，检测结果霉变、杂质超标，超出合同约定标准，申请扣款 19_x000a_元/吨，合计扣款 15041.16 元，由一体化承担。"/>
        <s v="一、运单 ASNJNSN250754887, 箱号 TELU2369392、TEMU1234924 和 GCXU2010844,该3个柜子，原先计划卖给开平市绿皇农牧发展有限公司(JZXYMZSJM25059、560、单价2280元)，合同签订日期2025年10月29日。因质量问题，绿皇退回给港口后，转卖给广州市天伟生物科技有限公司(JZXYMZSJM25069、84吨、单价1800元)，合同签订日期2025年11月13日。期间3个柜子共产生滞期费180*3=540元，当时由客户先行帮忙垫付以便接收柜子。因当时临近年末结算，不便冲销发票重新开票，双方经协商后，此费用在后续的JZXYMZSJM26026合同结算_x000a_中扣除。二、运单AQMHQKE260081920A，箱号ATHU1228154，原先计划卖给开平市绿皇农牧发展有限公司(ZXYMZSJM26017、535、单价2460元)，合同签订日期2025年3月3日。因质量问题，绿皇退回给港口后，转卖给广州市天伟生物科技有限公司(JZXYMZSJM26026、17.5吨、单价2200元)，合同签订日期2026年3月11日。_x000a_期间该柜子产生了重出重回的运费，共计780元，当时由客户先行帮忙垫付以便接收柜子，此费用在后续结算中扣除。_x000a_综上，共计540+780=1320元，现申请由我司承担，在JZXYMZSJM26026合同结算中扣除。"/>
        <s v="2026年2月6日我司与双胞胎集团签订内贸玉米合同，合同号:YMZSJDKHISBT2600017，单价分别为2400元/吨。客户提南沙港东星海泰/82货物，报32.06屯货物杂质超标，属于折价接收范围，单吨扣价10元"/>
        <s v="2026年2月11日我司与海大集团下属子公司签订内贸玉米合同，合同号:YMZSJHD260076,单价为2380元/吨。客户提南方地采-谷润/25199货物,报1096.92吨货物水分超标，在货物中挑拣出石块86.1KG，单吨扣价10元"/>
        <s v="合同在执行苏湾码头最后一公里配送的集改散玉米中因霉变超标产生了其商务纠纷，经多次协商对本合同执行的 2 车(桂R01608D、桂 R02918D)84.4 吨做扣款 422 元接收处理。另一车桂 R05931D 霉变指标较高，退回苏湾仓库。"/>
        <s v="JCYMGXXJ260002-1 合同在执行珠三角的福顺 338 中因杂质超标产生了_x000a_其商务纠纷，经多次协商对本合同执行的 12 车 455.47 吨，总计扣款 2277.4_x000a_元接收处理"/>
        <s v="JCYMGXXJ260004-2 合同在执行白沙码头最后一公里配送的长鑫 86 中_x000a_因水分超标产生了其商务纠纷，经多次协商对本合同执行的 15 车 748.82 吨_x000a_做扣款 3744.1 元接收处理（详细见附件一），对应扣款吨数折合单吨 5 元/_x000a_吨"/>
        <s v="我司与南平海大生物科技有限公司于 2026 年1月6日签订《粮食销售合同》（合同编号：YMFJFZ260005），数量540吨，单价2390元/吨，合同约定水分≤15%，杂质≤1%。该合同已累计提货537.54吨，客户2026年1月20日-2月11日接收288.03吨玉米，存在提货杂质超标严重的情况，部分水分超标。所提货物来源船名：兆丰6/2601。_x000a_经与客户多次协商沟通，客户对该批玉米扣款接收，共计288.03吨玉米，产生商务扣款14401.5元，（人民币壹万肆仟肆佰零壹元伍角），折单吨扣款50元/吨。该船玉米已与第三方检测人员一同检测，同时对于客户反馈的商务第一时间与第三方检测人员到工厂核实情况。客户原需退货处理，经多次协商，客户同意扣款接收。_x000a_     以是否可行，烦请领导批示，谢谢。"/>
        <s v="兹有我司与龙岩大北农生物科技有限公司于2026年02月04日签署生效的《粮食销售合同(赊销)》(合同编号:YMFJZZ260043)，合同数量300吨，合同单价2410元/吨，截止至2026年03月08日，该合同累计提货282.4吨，其中客户于2026年3月1日提货批次对应2车合计65.46吨玉米经检测水分超标，经双方友好协商，该批次货物由退货转扣款接收。以上情况合计产生扣款566.35元。"/>
        <s v="丰顺温氏家禽有限公司， 2026 年 2 月 5 日签订的《粮食销售合同（赊销）》(合同编号:YMZSJJY250229)_x000a_合同数量 2000 吨，合同单价 2410 元/吨，客户提货鑫泰 128/2604、航安顺/2603，提货重量 1981.94 吨，提_x000a_货时间2026年2月11日至3月9日，经检测二十六车共计 938.91 吨杂质、赤霉烯酮、黄曲霉毒素超出合同约定不_x000a_符合合同约定标准（赤霉烯酮≤200ppb 、黄曲霉毒素≤30ppb、杂质≤1） ，我司承担该批次下超标杂质、赤霉_x000a_烯酮、黄曲霉毒素 938.91 吨折合货款 28167.3 元"/>
        <s v="揭阳海大饲料有限公司，2026 年 1 月 27 日签订的《粮食销售合同》(合同编号:JCYMZSJJY250155-1)合同_x000a_数量 3000 吨，合同单价 2412.51 元/吨，客户提货鑫泰 128/2604，提货重量 2990.64 吨，经检测两车赣 DK8181、_x000a_赣 FC0156 共计 69.78 吨水分分别为 15.24%、15.18%超出合同约定不符合合同约定标准（水分≤15%），我司_x000a_承担该批次下超标水分 69.78 吨折合货款 348.9 元。"/>
        <s v="兹有我司与福建圣农发展（浦城）有限公司签订YMFJFZ260021号《粮食销售合同》，合同数量500吨，单价2550元/吨，截止3月15日，该合同实际送货509.74吨，接货509.96吨，质量扣款6400.5元，折合扣款12.55元/吨，该扣款为圣农杂质及不完善粒固定扣款，在销售合同时已预留12元/吨溢价进行销售，实际无损失。_x000a_以上扣款，是否可行，请领导批示。_x000a_"/>
        <s v="贵港瑞康饲料有限公司，于2026年1月28日签订的《粮食销售合同》(合同编号:YMZSJM26013、合同数量5000吨、合同单价2370元/吨，提货大船为南沙港的东星海泰/82。2026年3月3日送货至工厂的驰海5599船玉米，经客户质检部门检测，该船杂质超标:该船玉米共入库1598.06 吨，其中 836.36吨杂质占比例2.08%,不符合原合同质量标准杂质≤1%.杂质超标扣款合计:836.36 吨*(2.08%-1%)*2,370元/吨=21407.47元。此费用双方协商后，该笔扣款在结算时扣减，总扣减金额为21407.47元。"/>
        <s v="我司与南平华农恒青农牧有限公司于 2026 年2月24日签订《粮食销售合同》（合同编号：YMFJFZ260034），数量500吨，赊销，单价2475元/吨，合同约定水分≤15%，杂质≤1%，呕吐毒素≤1000ppb。该合同已累计提货507吨，客户2026年3月3日-3月13日接收362.22吨玉米，存在提货杂质超标的情况。所提货物匹配船名：正海3/2601。   经与客户多次协商沟通，客户对该批玉米扣款接收，其中362.22吨玉米，原产生商务扣款10385.18元，经双方多次协商扣款7269.63元（人民币柒仟贰佰陆拾玖元陆角叁分），折单吨扣款20元/吨（整笔合同折单吨扣款14.33元/吨）。我司在2月24日销售时，当日赊销指导价格2453元/吨，我司已加价22元/吨，可覆盖扣款。"/>
        <s v="我司与将乐温氏家禽有限公司于 2026年1月21日签订《粮食销售合同》（合同编号：YMFJFZ260011），数量1000吨，赊销，单价2515元/吨，合同约定水分≤15%，杂质≤1%。该合同已累计提货982.37吨，客户2026年3月1日-3月11日接收的230.02吨玉米，存在杂质粉尘超标。所提货物匹配船名：兆丰6/2601。    _x000a_     经与客户多次协商沟通，对杂质破碎超标的230.02吨玉米客户原定扣款25元/吨接收转为扣款15元/吨接收，产生商务扣款3450.3元（人民币叁仟肆佰伍拾元叁角），整笔合同折单吨扣款3.5元/吨。该船货物北方第三方检测人员一同到福州作卸船检测，相应的杂质超标情况已及时反应北方。"/>
        <s v="兹有我司与福州市农益森农业发展有限公司签订YMFJFZ260030号《粮食销售合同》，合同数量2000吨，单价2420元/吨，截止3月15日，该合同实际提货2098.58吨，在接货过程中，其中873.54吨存在杂质及水分超标情况(水分检验15.3-16%，杂质2-4%)，质量扣款21838.5元，折合扣款25元/吨，该部分数量对应兆丰6、炜业99，(2船检验报告均有杂质超标和水分超标检验报告)。"/>
        <s v="广东比利美英伟生物科技有限公司，2026 年 1 月 23 日签订的《粮食销售合同》(合同编_x000a_号 :JZXYMZSJQY260008) 合 同 数 量 500 吨 , 合 同 单 价 2470 元 / 吨 , 客 户 提 货 外 采 合 同 号_x000a_JZXYMSZCG260012，运单号 ZG26025090442_A、ZG26020055030，我司 3.2-3.5 日配送到厂，_x000a_其中 6 柜到厂检测呕吐毒素超标（合同约定呕吐毒素≤1000ppb），经与客户协商后，客户扣款接_x000a_收，明细如下，合计扣款 1950.42 元，经与品种线沟通，该部分扣款由上游承担。"/>
        <s v="兹有我司与南平鑫华港饲料有限公司于2025年11月28日签订《粮食销售合同》，合同号:YMFJFZ250194，合同数量2000吨，截止3月24日提货完毕，共计提货2000.09吨，其中2026年1月20日至2026年2月12日提货1392.02吨，其中检测水分、杂质超标(合同约定水分≤15.0%，实测结果15.21%~16.2%;合同约定杂质≤1%，实测结果2.1%~3.2%)，已超出合同约定标准，经双方友好协商按20元/吨扣款，以上质量扣款27840.4元。_x000a_以上扣款玉米，实际对应兆丰6/2601(一体化粮源，经华正检验重新复测水分整体超标)以上扣款是否可行，请领导批示。"/>
        <s v="清远加乐饲料有限公司于2026年2月10日签订的《粮食销售合同》(合同编号:JZXYMZSJQY260018)合同数量330吨,合同单价 2460 元/吨,客户提货外采合同号JZXYMSZCG260012，运单号ZG26025090454，我司配送到厂，其中10柜到厂检测呕吐毒素、水分超标，(合同约定呕吐毒素≤1000ppb,水分≤15%)经与客户协商后，客户扣款接收，合计扣款9787.76元，已经沟通品种线，该部分扣款由上游承担。"/>
        <s v="我司于2025年11月4日与广东正钱饲料有限公司签订内贸玉米合同，编号YMZSJDKHLY250166，数量2000吨，单价2190元/吨。_x000a_客户于新沙港安丰09/2604提货，提单号XSAF0926007，因工厂卸货时其中一车到货30.74 吨卸出砖块，砖块称重共0.026吨。因对客户成品以及口碑造成影响，将该部分重量折合扣价0.026*2190=56.94元，剩余30.714吨玉米按 10 元/吨处理费扣价30.714*10=307.14元，合计需扣价:56.94+307.14=364.08元。"/>
        <s v="我司于2025年11月4日与清远正清源畜牧实业有限公司签订内贸玉米合同，编号YMZSJDKHLY250168，数量2000吨，单价2190元/吨。客户于新沙港长鑫86提货，提单号XSCX8625041，共计提货四车122.74吨。因工厂检测呕吐毒素偏高，综合平均呕吐毒素1928.94ppb。因对客户成品以及口碑造成影响，扣价10元/吨，需扣价: 122.74*10=1227.4元。"/>
        <s v="我司与正大原料供应有限公司于 2025 年1月22日签订《粮食销售合同》（合同编号：YMFJFZ260017），数量 500 吨，单价2460元/吨，合同约定杂质≤1%，不完善粒≤8%，呕吐毒素≤1000ug/kg。 客户于2026年2月5日-3月10日提货的498.09吨玉米存在杂质、水分、呕吐毒素超标情况。其中第二批接货83.83吨，合计产生扣款1295.28元。_x000a_整批合同提货的498.09吨玉米存在杂质、水分、呕吐毒素超标情况，共计扣款11793.57元（大写：人民币壹万壹仟柒佰玖拾叁元伍角柒分），折单吨23.67元。所提货物匹配船名：兆丰6/2601。_x000a_2026年1月22日的指导价格2437元/吨，有23元/吨的溢价销售，同时对于兆丰6/2601的玉米，北方第三方检测华正已派人到现场进行共同检测，该批到货玉米实际存在杂质、水分超标的情况。_x000a_      以上扣款请领导批示，谢谢。"/>
        <s v="我司于2026年2月9日与正大康地(广州番禺)有限公司签订内贸玉米合编号YMZSJDG26016,合同数量2500吨,单价2405元/吨。客户于2026年3月18号-21号于新港南方地采-首裕/26010提货，提单号NFDCSY2601002,因工厂检测抽检,其中414.66 吨水分为15.31%-15.49%不符合合同约定标准，经过双方友好协商，其中128.98 吨水分为15.31%，按9元/吨扣款接收，水分为15.49%的285.68吨，按14元/吨扣款接收。即总共扣款128.98吨*9元/吨+285.68吨*14元/吨=5158.66元"/>
        <s v="我司于2026年1月16日与佛山市顺德区利宝饲料有限公司签订内贸玉米合同，编号 YMZSJDG26011，合同数量 4000吨，单价2345元/吨该合同为配送合同，结算数为3847.815吨，提单号NSDXHT8126027和NSDXHT8226002按照港口磅单结算。提单号NSDXHT8126027，损耗989.458吨*千分之 2=1.979 吨，我司承担16.345 吨，结算数 973.113 吨;提单号NSDXHT8226002，损耗958.93吨*千分之 2=1.918吨，我司承担 40.434 吨结算数为 918.496 吨。"/>
        <s v="我司于2026年1月30日与广州番禺灵川饲料有限公司签订内贸玉米合同，编号 YMZSJDG26050，合同数量700吨，单价2338元/吨。_x000a_客户2026年3月13号于麻涌港南方地采-谷润/25199提货，提单号NFDCGR26019，码头实装数598.30吨，我实收数596.45吨，差异1.85吨，损耗率0.3%，超出0.1%损耗(即0.6吨*2338元/吨=1402.8元)。因该合同为配送合同，申请在货款中扣除1402.8元(附扣款商函(备注:其中1402.8元损失，烦请物流仓储部在与物流公司结算中扣_x000a_除)"/>
        <s v="我司与漳州市海扬饲料有限公司于2026年02月03日签署生效的《粮食销售合同（赊销）》（合同编号：YMFJZZ260035)，合同数量1300吨，合同单价2420元/吨，截止至2026年03月18日，该合同累计提货1282.36吨，客户于2026年3月11日至3月17日提货批次玉米经检测杂质超标（均超出合同约定标准），合计提货1282.36吨，对应船名：信耀/2604；"/>
        <s v="我司与漳州市海力饲料有限公司于2026年02月03日签署生效的《粮食销售合同（赊销）》（合同编号：YMFJZZ260036)，合同数量700吨，合同单价2420元/吨，截止至2026年03月17日，该合同累计提货686.68吨，其中客户于2026年3月04日至3月17日提货玉米杂质严重超标（均超出合同约定标准），合计质量扣款5704.780元，对应船名：信耀/2604"/>
        <s v="清远大北农生物科技有限公司，2026年1月23日签订的《粮食销售合同》(合同编号:YMZSJQY260021)合同数量1500吨,合同单价2445元/吨,客户提货大船国家能源611/2603,3.7-3.8日，客户提货到厂，其中五车(161.86吨)检测杂质超标，超出合同约定标准2%,经与客户协商后，客户扣款接收，明细如下，协商后，合计扣款1618.6元"/>
        <s v="黄敏杰，于2025年11 月25日签订的《玉米销售合同》(合同编号:JZXYMZSJJM25078,同数量330吨、合同单价2415元/吨，柜子数为18柜，提货港口为四会永泰港。因四会永泰港口的要求，每个柜子的过磅费为10元/柜，一共产生了10x18=180元的过磅费，该费用由黄敏杰进行代付。因当时临近年末结算，不便冲销发票重新开票，双方经协商后，此费用在后续的JZXYMZSJJM26037合同结算中扣除。"/>
        <s v="兹有我司与南平市丰源饲料有限公司于2026年1月19日签订《粮食销售合同》，合同号:YMFJFZ260008，合同数量1000吨，单价2370元/吨，该合同累计提货995.33吨，其中139.58吨检测杂质、水分超标(合同约定杂质≤1%，实测结果2%-4%;合同约定水分≤15%，实测结果15.39%-15.42%)，已超出合同约定标准，经双方友好协商按30元/吨扣款，以上质量扣款合计4187.4元。以上扣款玉米，实际对应兆丰6/2601(一体化粮源，经华正检验重新复测水分整体超标)以上扣款是否可行，请领导批示。"/>
        <s v="兹有我司与宁德鑫华港饲料有限公司于2026年1月23日签订《粮食销售合同》，合同号:YMFJFZ260013,合同数量1000吨，单价2405元/吨，该合同累计提货923.59吨，对应船名:兆丰6/2601，其中449.88吨检测杂质、水分超标(合同约定杂质≤1%，实测结果2%-4.1%;合同约定水分≤15%，实测结果15.39%-15.78%)，已超出合同约定标准，经双方友好协商按20元/吨扣款，以上质量扣款合计8997.6元。_x000a_以上扣款玉米，实际对应兆丰6/2601(一体化粮源，经华正检验重新复测水分整体超标)以上扣款是否可行，请领导批示。"/>
        <s v="兹有我司与圣农发展（政和）有限公司签订YMFJFZ260063号《粮食销售合同》，合同数量1000吨，单价2630元/吨，截止3月25日，该合同实际送货962.74吨，接货961.35吨，质量扣款12893.4元，折合扣款13.41元/吨，该扣款为圣农杂质及不完善粒固定扣款，在销售合同时已预留10元/吨溢价进行销售，实际扣款3.41元/吨。"/>
        <s v="兹有我司与福建省金华龙饲料有限公司于2026年2月24日签订《粮食销售合同》，合同号:YMFJFZ260035，合同数量600吨，单价2450元/吨，该合同截止3月25日共计提货622.69吨，检测杂质、水分超标(合同约定≤1%，实测结果1.8%-3.01%杂质，合同约定水分≤15%，实测结果15.11%-16.07%)，已超出合同约定标准，经双方友好协商按25.43元/吨扣款，以上质量扣款合计15835元。以上扣款对应兆丰6/2601(一体化粮源，经华正检验重新复测杂质、水分整体超标)，以上扣款是否可行，请领导批示。"/>
        <s v="2026年3月23日我司与广东新粮实业有限公司新粮饲料厂签订内贸玉米合同，合同号:YMZSJJM26024,单价为2510元/吨。客户提新沙港国家能源608/2607货物，报996.588吨货物杂质超标，属于折价接收范围，以上扣款涉及商务扣款数量996.588吨。总扣款金额为9965.88元，折单吨扣款为10元。"/>
        <s v="兹有我司与福建省邵武市华龙饲料有限公司于2026年1月30日签订《粮食销售合同》，合同号:YMFJFZ260020，合同数量1000吨，单价2390元/吨，该合同截止3月15日共计提货999.92吨，其中413.34吨检测杂质、71吨水分超标(合同约定杂质≤1%，实测结果1.7%-3.6%，合同约定水分≤15%,实测结果15.41%-15.72%),已超出合同约定标准，经双方友好协商质量扣款合计12073.69元。"/>
        <s v="兹有我司与福建省金华龙饲料有限公司于2026年1月28日签订《粮食销售合同》，合同号:YMFJFZ260018，合同数量1300吨，单价2420元/吨，交货期截止2026年3月31日。该合同截止3月20日共计提货1364.83吨,其中524.42吨检测杂质、水分超标(合同约定杂质≤1%，实测结果1.7%-2.98%，合同约定水分≤15%，实测结果15.54%-16.11%)，已超出合同约定标准，经双方友好协商按25元/吨扣款，以上质量扣款合计13135.5元。_x000a_以上扣款对应炜业99/2604(一体化粮源，经华正检验重新复测杂质、水分整体超标)，以上扣款是否可行，请领导批示。"/>
        <s v="我司与福建省莆田市新兴达饲料有限公司签订《粮食销售合同》（合同编号：JZXYMFJFZ250092），数量1650吨，单价2535元/吨，合同约定呕吐毒素≤1000ug/kg。该合同已累计接货1598.16吨，客户2026年1月22日-1月23日接收两柜玉米，经检测存在呕吐毒素超标。经与客户多次协商沟通，客户对毒素超标的两柜玉米扣款接收，产生商务扣款1593.45元（人民币壹仟伍佰玖拾叁元肆角伍分），折价约1元/吨，该合同在销售时已加价保毒素15元/吨，可覆盖扣款，以上是否可行，烦请领导批示，谢谢。"/>
        <s v="与钦州播恩生物技术有限公司签订的《粮食销售合同》，合同号：YMGXQZ260030，数量1500吨，单价2510元/吨，3月18－31日提“大禹长航/V2607”轮散装玉米，其中有14车共466.96吨呕吐毒素指标超出合同约定标准1500，客户原则上拒收。经双方协商同意，做商务扣款让步接收，合计扣款金额2679.28元，合同折单吨扣款1.78元，客户有预留5元/吨商务，溢余3.22元/吨。（附商函及检测报告已收悉）"/>
        <s v="于 2026 年 3 月 3 日签订 2000 吨粮食销售合同（合同编号：YMZSJJY250232）_x000a_合同单价 2506 元/吨，2026 年 3 月 18 日-2026 年 4 月 15 日,提货数量 1971.46 吨，提货鑫泰_x000a_128/2604、锦航奋进/2605。经客户品管检测，此批玉米杂质 1.4-2 超出合同约定标准（杂质≤1）。其中 2026_x000a_年 4 月 15 日最后一车玉米水分 15.46，超出合同指标（水分≤15），影响使用。经双方协商， 一致统一做扣_x000a_款处理。合计扣款 41388.13 元。该合同签订已预留 11 元/吨作扣款处理。_x000a_经双方友好协商处理后，退货转扣款接收，合计扣款 41388.13 元 折合 20.99 元/吨"/>
        <s v="于 2026 年 3 月 6 日签订《粮食销售合同》(合同编号:YMZSJJY250234)，数_x000a_量 2000 吨，单价 2485 元/吨，该合同于 2026.3.22-3.27 己累计交货 1994.54 吨，提货鑫泰 128/2604，(其中_x000a_3 月 26 日 1 车 车号:赣 CR0596，重量 34.84 吨，3 车号:赣 CR0596，重量月 27 日 7 车车号:粤 V75300，_x000a_重量 33.03 吨，35.44 吨， 车号:粤 VN1708，重量 35.74 吨，车号:赣 C6068W，重量车号:赣 C2668D，重_x000a_量 36.13 吨，车号:赣 K65118，重量 36.85 吨，36.92 吨，车号:闽 FB9509，重量 37.04 吨，合计:285.99 吨)_x000a_到货玉米经检验杂质 1.2%杂质和破碎粒超出合同约定指标(质≤1%)，不符合客户接受指标。针对该批次到厂不_x000a_合格玉米，经双方友好协商处理后，退货转扣款接收。合计扣款 2859.9 元 。"/>
        <s v="广东粮品农产品经营有限公司，2026 年 4 月 7 日签订的《粮食销售合同》(合同编号:JZXYMZSJJM26039)，合同数量_x000a_555 吨，合同单价 2490 元/吨。对应提货计划号：YHSZ-26-020926-1、YHSZ-26-020926 和 YHSZ-26-020914-2；运_x000a_单号：ABUGWBX260162013A、Q091390576、Q091432280 和 Q091432281，货物提货地点为新会新港。_x000a_该批次货物送达客户厂区后，经进厂检验反馈，货物霉变、热损指标超标，综合不合格占比超 5%。我司联合华正工_x000a_作人员共同赴现场开箱复检，核实质量异常问题属实，已不满足合同正常交付使用标准。_x000a_经双方友好沟通协商，现就本次质量问题达成扣款处理方案：该批货物实际卸货净重 549.685 吨，按 122.65 元 / 吨_x000a_标准进行扣款，合计扣款金额：67418.87 元。"/>
        <s v="广东粮品农产品经营有限公司，2026 年 4 月 21 日签订的《粮食销售合同》(合同编号:JZXYMZSJJM26046)，合同数_x000a_量 550 吨，合同单价 2460 元/吨。对应提货计划号：YHSZ-26-041713，运单号：AJSLYNF260198708A 和_x000a_AJSLYNF260204033A，货物提货地点为四会南江港。_x000a_合同质量指标为：容重≥710g/L，水分≤15.0%，杂质≤1.0%，霉变粒≤2.0%，不完善粒≤8%，热损≤2%。_x000a_货物送达客户厂区后，经第三方检测出具结果，共计 20 柜的综合样品查出水份测值为 16.31%-16.46%区间，超合同_x000a_约定限值，质量指标不达标。_x000a_经双方协商同意，做商务扣款让步接收，合计扣款金额 7164.75 元，合同折单价扣款 2.91 元。（已附扣款函及检测报_x000a_告已收悉）"/>
        <s v="双胞胎（集团）股份有限公司 YMYXMM260086（合同量 5000 吨，单价 2490 元），签订日期为 20_x000a_26 年 3 月 2 日，该合同共执行 4835.89 吨。2026 年 4 月 7 日-2026 年 4 月 19 日在中心一体化粮源大船“炜_x000a_业 58/2608”轮提货中反馈 1838.96 吨水分 15.29%-15.58%，平均 15.4%左右，合同约定水分≤15.0%，不_x000a_符合同规定。经我司业务人员核实，检测结果确实存在。秉承长期友好合同原则，经我部与客户多次友好协_x000a_商后，申请扣款 11.5 元/吨，申请扣款金额合计 21148.04 元"/>
        <s v="双胞胎（集团）股份有限公司 YMYXMM260095（合同量 3000 吨，单价 2510 元），签订日期为 20_x000a_26 年 3 月 6 日，该合同共执行 2983.72 吨。2026 年 4 月 1 日-2026 年 4 月 8 日在外采大船利泰朝阳/2606_x000a_（供应商：京粮（盘锦）港口物流有限公司）提货中反馈 988.46 吨水分实测在 15.11%-15.29%之间；2026_x000a_年 4 月 6 日-2026 年 4 月 16 日在中心一体化粮源大船“炜业 58/2608”轮提货中反馈 822.92 吨水分 15.30%_x000a_-15.56%，平均 15.4%左右，合同约定水分≤15.0%，不符合同规定。经我司业务人员核实，检测结果确实存_x000a_在。秉承长期友好合同原则，经我部与客户多次友好协商后，平均扣款 8 元/吨，（988.46+822.92）吨*8_x000a_元=14491.04 元，申请扣款金额合计 14491.04 元"/>
        <s v="梅州海大生物科技有限公司，于 2026 年 1 月 27 日签订 2000 吨粮食销售合同（合同编号：_x000a_JCYMZSJJY250156-1）合同单价 2412.51 元/吨，2026 年 2 月 10 日-2026 年 3 月 14 日,提货数量_x000a_1972.81 吨，提货锦航发展/2602、锦航奋进/2605。经客户品管检测，此批玉米 17 车共计 624.16 吨水分超出_x000a_合同约定标准（水分≤15%），影响使用。经双方协商， 一致统一做扣款处理。合计扣款 3120.8 元。_x000a_经双方友好协商处理后，退货转扣款接收，合计扣款 3120.8 元 折合 5 元/吨"/>
        <s v="箱号CSNU3066845，箱重27.21吨，客户提货到下游后发现烘伤粒、玉米霉变率过高死，霉味重，水份偏高同时伴有发热，下游退货回来，我方也到达现场取样查看，发现问题确实，后经沟通，客户让步接收，进行转卖，需要补回客户运费及作整箱扣款接收处理，每吨扣款80元处理，"/>
        <s v="兹有我司与正大原料供应有限公司于2026年03月31日签署生效的《粮食销售合同（赊销）》（合同编号：YMFJZZ260057)，合同数量500吨，合同单价2560元/吨，， 经双方友好协商，正大对该批次货物进行折价接收，以上情况合计产生扣款4,589.52元。（人民币肆仟伍佰捌拾玖元伍角贰分），该批次累计提货489.75吨，合计折单吨扣款9.37元/吨。"/>
        <s v="兹有我司与漳州市海扬饲料有限公司（以下简称“漳州海扬”）于2026年03月20日签署生效的《粮食销售合同（赊销）》（合同编号：YMFJZZ260059)，合同数量2000吨，合同单价2510元/吨，与漳州市力饲料有限公司（以下简称“漳州海力”）于2026年03月20日签署生效的《粮食销售合同（赊销）》（合同编号：YMFJZZ260060），合同数量1000吨，合同单价2510元/吨； 漳州海扬、漳州海力对该批次货物进行折价接收，漳州海扬经过协商该批次最终扣款26,466.00元（单吨扣款约13.34元/吨），漳州海力经协商该批次最终扣款9,631.50元（单吨扣款约9.72元/吨），以上2笔商务总计产生扣款36,097.5元，折单吨扣款约12.13元/吨。"/>
        <s v=" 兹有我司与中牧（上海）粮油有限公司于2026年04月10日签署生效的《粮食销售合同》（合同编号：YMFJZZ260069)，合同数量1000吨，合同单价2460元/吨，截止至2026年05月05日，合同已提货完毕，客户于2026年4月30日至5月5日提货批次玉米713.38吨经检测杂质、水份超标，对应船名：德勤68/2611（外采粮源）"/>
        <s v="_x000a_饲料原料部：_x000a_广州市禾润兴饲料有限公司，2026 年 4 月 3 日签订的《粮食销售合同》(合同编号:JZXYMZSJJM26038)，合同数量_x000a_450 吨，合同单价 2490 元/吨，客户提货计划号 YHSZ-26-020926，运单号 Q091432570。合同质量标准为：容重≥710g/L，水分≤15.0%，杂质≤1.0%，霉变粒≤2.0%，不完善粒≤8%，热损≤2%。_x000a_该批次货物送达客户厂区后，经进厂检验反馈，货物热损指标超标，综合样品热损伤率达 4.7%。我司联合华正工作人_x000a_员共同赴现场开箱复检，核实质量异常问题属实，已不满足合同正常交付使用标准。_x000a_经双方友好沟通协商，现就本次质量问题达成扣款处理方案：该批货物实际卸货净重 446.5 吨，扣款金额为 45000，_x000a_合同折单价扣款 100.78 元。（已附扣款函及检测报告已收悉）_x000a_此次费用JZXYMZSJJM26038合同结算扣除15936元；JZXYMZSJJM26040合同结算扣除29064元。"/>
        <s v="2026年3月19日签订的的散粮合同，广东嘉好农产品有限公司，合同号 YMYXZJ260058（2000吨，单价2550元/吨），配送到厂合同，合同质量标准为：容重≥690g/L，水分≤15.0%，杂质≤1.0%，霉变粒≤2.0%，不完善粒≤10%。_x000a_其中在给客户配送合盛顺达/2607船货物时，车牌粤GH9239（30.82 吨，水分 15.30%）、粤G43055（30.5吨，水分15.14%），合计61.32吨，到厂后工厂反馈水分均超合同15%标准，由于合盛顺达/2607在到港时我方就发现水分超标，有石头子，并已报送过饲料部，同时对上游京粮扣款63957.24元，故客户反馈问题是属实存在的。_x000a_经双方友好沟通协商，客户让步接收，合计扣款346.1元。_x000a_请领导批示。"/>
        <s v="兹有我司与莆田温氏家禽有限公司于 2026 年 4 月 10 日签订《粮食销售合同_x000a_（赊销）》，合同号：YMFJFZ260113，合同数量 1000 吨，单价 2510 元/吨，该合_x000a_同截止 4 月 21日共计提货 991.96 吨，其中 482.62 吨检测水分、杂质超标(合同约_x000a_定水分≤15.0%，实测结果 15.13%-15.48%；合同约定杂质≤1.0%，实测结果 1.45_x000a_%-2.05%)，已超出合同约定标准，经双方友好协商扣款 20 元/吨，以上质量扣款_x000a_合计 9652.4 元。_x000a_以上扣款对应恒顺达 8/2607，以上扣款是否可行，请领导批示"/>
        <s v="高州市安佑生物科技有限公司 YMYXMM260109（合同量 500 吨，单价 2510 元），签订日期为 2026_x000a_年 3 月 11 日，该合同共执行 497.04 吨。2026 年 4 月 4 日-2026 年 4 月 8 日在外采大船“锦富航 69/2608”_x000a_（供应商：北京京粮谷润贸易有限公司）提货中，反馈 60.98 吨水分实测在 15.31%-15.54%之间、杂质实测_x000a_1.45%-1.58%，不符合同规定。经我司业务人员核实，检测结果确实存在。秉承长期友好合同原则，经我部_x000a_与客户多次友好协商后，申请扣款 30 元/吨，60.98 吨*30 元=1829.4 元，申请扣款金额合计 1829.4 元。该_x000a_扣款情况已跟饲料原料部报备，由饲料原料部向供应方扣款弥补我司损失。"/>
        <s v="兹有我司与圣农发展（政和）有限公司签订YMFJFZ260097号《粮食销售合同》，合同数量1000吨，单价2630元/吨，截止4月11日，该合同实际送货1023.8吨，接货1022.59吨，质量扣款13649.7元，折合扣款13.35元/吨，该扣款为圣农杂质及不完善粒固定扣款，在销售合同时已预留10元/吨溢价进行销售，实际扣款3.35元/吨。_x000a_以上扣款，是否可行，请领导批示。"/>
        <s v="兹有我司与福建圣农发展（浦城）有限公司签订YMFJFZ260062号《粮食销售合同》，合同数量3000吨，单价2610元/吨，截止4月11日，该合同实际送货2877.46吨，接货2873.33吨，质量扣款37401.3元，折合扣款13.02元/吨，该扣款为圣农杂质及不完善粒固定扣款，在销售合同时已预留10元/吨溢价进行销售，实际扣款3.02元/吨。_x000a_以上扣款，是否可行，请领导批示。"/>
        <s v="现有于贵港市万千饲料有限公司签署的集改散玉米合同在执行过程中因_x000a_霉变率超标产生了相应的商务问题，具体如下在执行 YMGXXJ260030 合同中，车号桂 R11798 万千提货到厂检测霉变_x000a_率超标产生了其商务纠纷（已邮寄第三方检测，并出结果），经多次协商对_x000a_本车中的 21.3 吨扣款 30 元/吨接收处理（详细见附件一），总计扣款 639_x000a_元。特此说明。"/>
        <s v="我司于 2026年4月 10日和佛山市顺德区利宝饲料有限公司签订粮食销售合同，(合同量:2000 吨、单价:2460 元/吨)_x000a_客户于2026年4月28日在深粮码头南方地采-谷润/26003 提取玉米,数量 997.756吨。工厂抽样检测发现该船玉米杂质&gt;8%，不符合合同约定标准，经过双方友好协商，997.756 吨按照 20元/吨扣款接收，即总共扣款 20 元/吨*997.756 吨=19955.12元"/>
        <s v="我司于2026年3月30日与阳江海大饲料有限公司签订内贸玉米合同YMYXYJ260054，签订主体:中粮贸易(深圳)有限公司，合同量3900吨，合同单价2532元/吨，执行量3879.44吨。2026年4月18日-2026年5月18日在外采大船：柯兴发展/2606提货中反馈，该批货物有993.86吨水分超标，检测水分15.23%-15.45%，经我司业务人员核实，检测结果确实存在。考虑到双方后期的长期友好合作，对该批货物做折价7.5元/吨处理，总计7453.95元，在货款中扣除。该批次商务扣款，已扣除供应商对应款项。"/>
        <s v="清远大北农生物科技有限公司，2026年4月17日签订的《粮食销售合同》(合同编号:JZXYMZSJQY260049，合同数量500吨,合同单价2500元/吨),客户提货计划号YHSZ-26-041720，运单号Q091889680，其中一柜检测结果杂质超标，超出合同约定标准，申请扣款5元/吨，合计扣款133.6元，由一体化承担。"/>
        <s v="兹有我司与福建省福清华龙饲料有限公司于2026年1月29日签订《粮食销售合同》，合同号:JCYMFJFZ250065-1，合同数量500吨，单价2402元/吨，该合同截止4月05日共计提货521.51吨，其中提货290.85吨，检测杂质、水分超标(合同约定杂质≤1%，实测结果1.2%-2.9%;合同约定水分≤15%，实测结果15.46%-15.78%)，已超出合同约定标准，经双方友好协商按28.94元/吨扣款，以上质量扣款合计8416.76元。对应船名:铭宏发展/2603。以上扣款是否可行，请领导批示。"/>
        <s v="广州顺泽粮食贸易有限公司，2026年4月15日签订的《粮食销售合同》(合同编号:ZXYMZSJQY260044，合同数量1500吨,合同单价2482元/吨)，客户提货计划号YHSZ-26-020916-4, YHSZ-26-041719-2, 运单号 ZG26035513310_F, ZG26030512108, 明细如下，北方发运点为红透山，到厂发现玉米发热发霉，扣款90元/吨，红透山货物已反馈向北方追溯，合计扣款18982.7元由北方承担。"/>
        <s v="广州顺泽粮食贸易有限公司，2026年4月15日签订的《粮食销售合同》(合同编号:ZXYMZSJQY260043，合同数量1500吨,合同单价2482元/吨),客户提货计划号YHSZ-26-020916-4, YHSZ-26-041719, 运单号 ZG26035513310 B, AJSLKYN260204146,ZG26035513310，明细如下，北方发运点为红透山，到厂发现玉米发热发霉，扣款90元/吨，红透山货物已反馈向北方追溯，合计扣款22825.7元由北方承担。"/>
        <s v="广州顺泽粮食贸易有限公司，2026年3月13日签订的《粮食销售合同》(合同编号:JZXYMZSJQY260027，合同数量2000吨,合同单价2527元/吨)，客户提货计划号YHSZ-26-020916-2,运单号 Q091237512,其中三柜(CSNU1449830,TEMU3085497,CSNU1683283)检测结果容重较低，超出合同约定标准，申请扣款10元/吨，合计扣款814元，由一体化承担。_x000a_广州顺泽粮食贸易有限公司，2026年3月13日签订的《粮食销售合同》(合同编号:JZXYMZSJQY260026，合同数量1700吨,合同单价2527元/吨)，客户提货计划号YHSZ-26-011509,YHSZ-26-020916-2,运单号Q090753130,Q091237511,,合i计扣款 2877.9元，由一体化承担。"/>
        <s v="广州顺泽粮食贸易有限公司，2026年3月19日签订的《粮食销售合同》(合同编号:JZXYMZSJQY260029，合同数量1500吨,合同单价2537元/吨),客户提货计划号YHSZ-26-041719-2,运单号Q092186410,柜号FCIU5432244,北方发运点为红透山，到厂发现玉米发热发霉，扣款90元/吨，红透山货物已反馈向北方追溯，扣款2175.2元由北方承担。计划号YHSZ-26-041719-2, 运单号 WBYNA264X0412-3, 柜号 TGBU2443615、 TGBU2710326,柜子有漏洞漏水，造成内部货物发霉。报保险处理，扣款55.6*500元=27800元，在结算中扣除，由保险公司承担。合计扣款29975.2元"/>
        <s v="2026 年 4 月 8 日，我部在桂林西站向桂林市漓源粮油饲料有限责任公司执行的内贸玉米铁路入_x000a_关业务，合同号：JZXYMGXXJ26002，数量 2000 吨，单价 2528 元/吨。_x000a_该批货物由长春经营部往桂林西站发运，在执行到箱号 TBJU3375243、TBJU1257555 时出现出_x000a_现玉米生霉、箱底粘底情况（单柜重量平均在 31 吨左右），我部人员现场确认以上情况，并且同步_x000a_反馈给长春经营部，最终决定将生霉部分做扣重处理，数量 0.35 吨，已于长春经营部确认处理方_x000a_式。"/>
        <s v="广西自贸区丰禧供应链管理有限公司，合同号：YMLDW260325004,数量1000吨，单价：2540元/吨。客户提货计划号：YHSZ-26-041705-2，运单：Q092769780。北方装货库点：鑫封缘，营口港5月8日发出，17日到港。客户18－19日陆续提箱，发现存在较大质量问题：主要是粉尘大、杂质多。经双方协商同意，对已提的5个箱共138.385吨，扣款40元/吨处理，合计金额5535.40元。"/>
        <s v="我司于2026年5月8日与阳江市富民饲料有限公司签订内贸玉米合同YMYXYJ260075，签订主体:中粮贸易(深圳)有限公司，合同量500吨，合同单价2512元/吨，执行量477.48吨。2026年5月20日在外采大船：柯兴发展/2606提货中，反馈该批货物有391吨水分超标，且有霉味，检测水分15.26%-15.41%，经我司业务人员核实，检测结果确实存在。考虑到双方后期的长期友好合作，对该批货物做折价7.5元/吨处理，总计2932.5元，在货款中扣除。该批次商务扣款，已扣除供应商对应款项。_x000a_是否可行，烦请领导批示，谢谢！"/>
        <s v="我司于2025年1月27日和播恩集团股份有限公司签订粮食销售合同(合同量:500吨、单价:2423 元/吨)客户于2026年2月11日在新沙国家能源611/2603提取玉米，数量483.1吨。工厂抽样检测发现该船玉米62.86吨毒素检测超标，不符合合司约定标准，经过双方友好协商，62.86吨按照10元/吨扣款接收，即总共扣款10元/吨*62.86 吨=628.60元(附扣款函)因JCYMZSJDG25054-1已结算完毕，申请在后续合同YMZSJDG26035中扣除该笔货款。在YMZSJDG26035合同扣除628.60元。"/>
        <s v=" 兹有我司与正大原料供应有限公司于2026年04月02日签署生效的《粮食销售合同（赊销）》（合同编号：YMFJZZ260063)，合同数量2000吨，合同单价2565元/吨，截止至2026年05月15日，该合同累计提货1995.20吨，客户于2026年4月14日至5月10日提货批次玉米检测杂质超标、不完善超标，对应船名：弘泰818/2605（一体化粮源）"/>
        <s v="    兹有我司与正大原料供应有限公司于2026年04月15日签署生效的《粮食销售合同》（合同编号：JZXYMFJZZ260020)，合同数量3000吨，合同单价2550元/吨，截止至2026年05月14日，该合同累计提货2994.76吨，客户于其中2026年4月23日至4月24日提货2柜集装箱玉米检测水份超标，超出合同约定标准，对应箱号：CSNU3046113（提单号：Q091496351）、ZGXU2570803（提单号：ZG26035562172_C），对应集装箱粮源；"/>
        <s v="我司与正大原料供应有限公司于 2026年5月11日签订《粮食销售合同（赊销）》（合同编号：JZXYMHN260071），数量 500吨，单价2555元/吨（送到厂价）。容重≥700g/L，水分≤15%，霉变 ≤2%，杂质≤1%，呕吐毒素≤1000ppb，赤霉烯酮≤150ppb，黄曲霉素≤20ppb，蛋白≥7%。_x000a_客户于5月25日开始收货，截止目前共执行4柜107.62吨，此批货物接货过程中客户反馈其中箱号为CSNU3388733内玉米呕吐毒素、赤霉烯酮超出合同约定标准，检测结果为赤霉烯酮818.2μg/kg，呕吐毒素1532ug/kg，沟通客户重新取样复测，复测结果赤霉烯酮798.1μg/kg，呕吐毒素1275ug/kg。后我司现场人员范闻超、姜程介赴工厂与工厂品管人员共同抽样检测，检测结果依旧超标，检测结果赤霉烯酮381.6μg/kg，呕吐毒素430ug/kg。经沟通，此柜货物计划按如下方案处理：集装箱内未卸货物不再接收，转由海南恩希实业有限公司JZXYMHN260070合同执行，按实际收货数量结算，期间不产生退货费用。已卸货进入流程约11.3吨玉米厂方协商扣款30元/吨让步接收。我方与正大JZXYMHN260071合同仍在执行中，后续如遇上述问题，继续按照此方案处理。_x000a_此柜玉米共合计扣款339元，折合单吨扣款12.49元，销售时溢价30元/吨，可覆盖此单商务扣款。"/>
        <s v="我司与正大原料供应有限公司于 2025 年2月10日签订《粮食销售合同》（合同编号：YMFJFZ260028），数量 500 吨，单价2450元/吨，合同约定杂质≤1%，不完善粒≤8%，呕吐毒素≤1000ug/kg。 客户于2026年5月7日提货的87.74吨玉米存在杂质超标情况。_x000a_整批合同提货的487.92吨玉米，其中87.74吨存在欧体毒素超标、杂质超标情况（杂质检测在2.6%），共计扣款3311.79元（大写：人民币叁仟叁佰壹拾壹元柒角玖分），整批次折单吨扣款6.7元。所提货物匹配船名：福昌耀/2609。_x000a_2026年2月10日的指导价格2438元/吨，有12元/吨的溢价销售，溢价可覆盖扣款，该批货物出至仓底部位，沟通客户作了扣款接收，后续将加强现场出货的管理。该合同为赊销客户，我司加快处理完毕商务后开票催促客户回款。"/>
        <s v=" 我司与南平华农恒青农牧有限公司于 2026 年2月28日签订《粮食销售合同》（合同编号：YMFJFZ260042），数量500吨，赊销，单价2495元/吨；3月5日签订《粮食销售合同》（合同编号：YMFJFZ260060），数量500吨，赊销，单价2505元/吨；3月11日签订《粮食销售合同》（合同编号：YMFJFZ260067），数量500吨，赊销，单价2525元/吨；合同约定水分≤15%，杂质≤1%，呕吐毒素≤1000ppb，赤霉烯酮≤150ppb。三笔合同累计提货1459吨，共计产生扣款16021.32元，折单吨扣款10.9元/吨，该客户考虑到需签订毒素指标，在销售时，已加价15元/吨进行销售，可覆盖客户扣款损失。扣款详情如下：_x000a_1、YMFJFZ260042合同合计提货490.23吨，其中客户2026年3月22日接收197.13吨玉米，存在提货杂质超标的情况，杂质检测在2%-4%，呕吐毒素与赤霉烯酮严重超标的情况（赤霉烯酮≥1000ppb），原计划退货处理，多次沟通后协调扣款接收，产生扣款8542.06元，折合所提货物匹配船名：炜业99/2604。_x000a_2、YMFJFZ260060合同客户4月17日-5月3日提货的495.78吨玉米。其中364.74吨存在呕吐毒素、杂质超标情况（杂质1.5%-2%，呕吐毒素1150-1500ppb），产生商务扣款3410.37元。所提货物匹配船名：福昌耀/2609。_x000a_3、YMFJFZ260067合同客户5月5日-5月8日提货的472.99吨玉米。其中366.16吨存在呕吐毒素、杂质超标情况（杂质1.8%-2%，呕吐毒素1200-1500ppb），产生商务扣款4068.89元。该合同因我司前期到货品质无法挑选出符合指标的货物进行交付，客户超合同期对该合同进行提货。剩余27吨因我司后续货物难以达到客户要求指标，为及时清理该客户超期合同，申请以472.99吨进行结算（提货比例94.7%）。所提货物匹配船名：福昌耀/2609。"/>
        <s v="合同号YMFJZZ260048，数量4500吨，单价2390元/吨；合同号YMFJZZ260061，数量2000吨，单价2505元/吨；合同号YMFJZZ260064，数量2000吨，单价2500元/吨;合同号YMFJZZ260073，数量2000吨，单价2470元/吨，共4份合同。截止至2026年5月20日，以上四份合同总提货数为9002.52吨，期中涉及到德勤68/2611这船提货数量为1101.36吨，客户在提货期间检测杂质、水份超标。经双方友好协商，客户对涉及到德勤68/2611批次货物进行扣款接收，合计产生扣款24893.4元（大写：贰万肆仟捌佰玖拾叁元肆角），该批次累计提货1101.36吨，折单吨扣款22.42元/吨。"/>
        <s v="_x000a_我司与南平华农恒青农牧有限公司于 2026 年2月27日签订《粮食销售合同》（合同编号：YMFJFZ260041），数量500吨，赊销，单价2485元/吨，合同约定水分≤15%，杂质≤1%，呕吐毒素≤1000ppb。该合同已累计提货394.88吨，客户2026年3月10日-3月21日接收394.88吨玉米，存在提货杂质超标的情况，杂质检测杂质平均在2%-3%（明细结算单内），同时在后期进工厂对毒素进行复测时还存在呕吐与赤霉超标的情况。所提货物匹配船名：炜业99/2604。_x000a_     经与客户多次协商沟通，客户对该批玉米扣款接收，其中394.88吨玉米，原产生商务扣款26701.83元，经双方多次协商扣款13350.91元（人民币壹万叁仟叁佰伍拾元玖角壹分），折单吨扣款33元/吨。我司在2月27日销售时，当日赊销指导价格2470元/吨，我司已加价15元/吨，同时该批货物因客户提货杂质实测超标，已到工厂实际检测并留样品。"/>
        <s v="兹有我司与福建省金华龙饲料有限公司于2026年3月12日签订《粮食销售合同》，合同号:YMFJFZ260081，合同数量1500吨，单价2520元/吨，交货期截止2026年4月30日。该合同截止4月25日共计提货1447.56吨，其中 685.11吨检测水分超标(合同约定水分≤15%，实测结果15.32%-15.67%)，已超出合同约定标准，经双方友好协商按10元/吨扣款，以上质量扣款合计6851.1元。以上扣款对应船名：恒顺达8/2607（延伸粮源池，该船检验报告水分超标较多），以上扣款是否可行，请领导批示。"/>
        <s v="兹有我司与厦门粮缘饲料科技有限公司于2026年4月8日签订《粮食销售合同》，合同号：YMFJFZ260107，合同数量500吨，单价2490元/吨，该合同截止4月24日共计提货499.64吨，提货163.48吨，检测水分超标(合同约定水分≤15.0%，实测结果15.21%-15.53%)，已超出合同约定标准，经双方友好协商按10元/吨扣款，以上质量扣款合计1634.8元。_x000a_以上扣款对应恒顺达8/2607，以上扣款是否可行，请领导批示。"/>
        <s v="兹有我司与福建省佳牧农牧集团有限公司于2025年12月2日签订《粮食销售合同》，合同号：YMFJFZ250198，合同数量3000吨，截止2026年3月20日提货完毕，共计提货2996.42吨，其中提货977.88吨检测水分、呕吐毒素超标(合同约定水分≤15.0%，实测结果15.46%-16.2%，合同约定呕吐毒素≤1000ppd，实测结果1179ppd-1532ppd)，已超出合同约定标准，经双方友好协商，水分超标不进行扣款结算，其余按30元/吨进行扣款，以上质量扣款29336.4元（折合合同扣款9.79元/吨），该合同呕吐毒素已加价20元/吨进行销售，溢价可涵盖扣款损失。_x000a__x000a_以上扣款玉米，实际对应正海3/2601（一体化粮源）以上扣款是否可行，请领导批示。"/>
        <s v="兹有我司与福建圣农发展（浦城）有限公司签订YMFJFZ260096号《粮食销售合同》，合同数量2000吨，单价2630元/吨，截止5月20日，该合同实际送货1947.97吨，接货1946.04吨，质量扣款26582.54元，折合扣款13.6元/吨，该扣款为圣农杂质及不完善粒固定扣款，在销售合同时已溢价12元/吨，实际扣款损失1.6元/吨。_x000a_以上扣款，是否可行，请领导批示。"/>
        <s v="兹有我司与福建圣农发展股份有限公司签订JZXYMFJFZ260001号《粮食销售合同》，合同数量1000吨，单价2590元/吨，截止5月20日，该合同实际送货981.46吨，接货978.85吨，质量扣款13301.64元，折合扣款13.5元/吨，该扣款为圣农杂质及不完善粒固定扣款，在销售合同时已考虑该扣款13元/吨，实际无损失。_x000a_以上扣款，是否可行，请领导批示。"/>
        <s v="兹有我司与福州东坤饲料有限公司于2026年3月23日签订《粮食销售合同》，合同号：YMFJFZ260103，合同数量410吨，单价2530元/吨。该合同截止5月21日共计提货409.15吨,其中207.86吨检测水分超标(合同约定水分≤15%，实测结果15.22%-15.65%)，已超出合同约定标准，经双方友好协商按10元/吨扣款，以上质量扣款合计2078.6元。_x000a_以上扣款对应船名：恒顺达8/2607（延伸粮源池，该船检验报告水分超标较多），以上扣款是否可行，请领导批示。"/>
        <s v="现有河源市瑞昌饲料有限公司与我司于2026年4月20日签订的铁路集装箱玉米合同，数量1000吨，单价2530元/吨，客户于5月10日开始接货我司铁路集装箱玉米，到厂后，有两柜检测呕吐毒素分别为1507ppb，1816ppb，超出合同质量签订标准:呕吐毒素≤1000ppb的约定，经过双方友好协商，决定对毒素超标的货物进行扣款。(第三方检测出结果分别为1350ppb,1490ppb，结果见附件)共计提货有质量问题的货物62.61吨，共申请扣款62.61*10=626.1元"/>
        <s v="2026 年 4 月 27 日，我司与海大集团执行的内贸玉米合同，合同号：YMSZCG260003，执行在_x000a_珠三角外采货源“国丰-中埠鑫航-Q35”，执行数量为 799.362 吨。_x000a_在执行过程中反馈有杂质超标情况，实际货船抵达码头后我部人员现场取样检查后存在超标情_x000a_况，并且在现场完成取样。在与工厂多次沟通后，最终按照扣款 5 元/吨进行扣价让步接受，扣款金额为：3996.81 元。"/>
        <s v="兹有我司与福建圣农发展（浦城）有限公司签订JZXYMFJFZ260002号《粮食销售合同》，合同数量2000吨，单价2645元/吨，截止5月20日，该合同实际送货1969.98吨，接货1968.65吨，质量扣款26026.8元，折合扣款13.22元/吨，该扣款为圣农杂质及不完善粒固定扣款，在销售合同时已溢价13元/吨，实际无扣款损失。以上扣款对应恒顺达8/2607，是否可行，请领导批示。_x000a_"/>
        <s v="于 2026 年 3 月 13 日签订 6000 吨粮食销售合同（合同编号：_x000a_YMZSJJY250236）合同单价 2395 元/吨，2026 年 3 月 21 日-2026 年 5 月 17 日,提货数量 5,929.72 吨，_x000a_提货中安 9/2603、华辰 9/2609。经客户品管检测，3.22-5.2 提货玉米 514.84 吨 杂质 2.8 超出合同约定标准（杂_x000a_质≤1）水分 15.2-15.3 超出合同约定标准（水分≤15），影响使用。经双方协商，一致统一做扣款处理。合计扣_x000a_款 2574.2 元"/>
        <s v="我司与正大原料供应有限公司于 2026年5月11日签订《粮食销售合同（赊销）》（合同编号：JZXYMHN260071），数量 500吨，单价2555元/吨（送到厂价）。容重≥700g/L，水分≤15%，霉变 ≤2%，杂质≤1%，呕吐毒素≤1000ppb，赤霉烯酮≤150ppb，黄曲霉素≤20ppb，蛋白≥7%。_x000a_客户于5月27日、28日收货过程中陆续反馈箱号为CSNU3514169、CSNU3336468柜内赤霉烯酮超出合同约定标准，检测结果为赤霉烯酮634μg/kg、619ug/kg，沟通客户重新取样复测，复测结果赤霉烯酮338.98μg/kg，呕吐毒素1275ug/kg。后我司现场人员范闻超、姜程介赴工厂与工厂品管人员共同抽样检测，检测结果依旧超标，检测结果赤霉烯酮381.6μg/kg，呕吐毒素430ug/kg。经沟通，上述2柜货物计划按如下方案处理：集装箱内未卸货物不再接收，转由海南恩希实业有限公司JZXYMHN260077合同执行，按实际收货数量结算，期间不产生退货费用。CSNU3514169已卸货进入流程11.62吨、CSNU3336468已卸货进入流程12.1吨，共计23.72玉米厂方协商扣款30元/吨让步接收，共计扣款711.6元。我方与正大JZXYMHN260071合同仍在执行中，目前已暂停使用该批次粮源继续交付，计划更换在途柜子继续执行。_x000a_此柜玉米共合计扣款711.6元，上述2柜总重53.99吨，折合单吨扣款133.18元，销售时溢价30元/吨，可覆盖此单商务扣款。"/>
        <s v="与钦州播恩生物技术有限公司签订的《粮食销售合同》，合同号：YMGXQZ260082，数量800吨，单价2545元/吨，5月17日提“利达海/V2606”轮散装玉米，其中有2车共68.22吨呕吐毒素指标超出合同约定标准1500，客户原则上拒收。经双方协商同意，做商务扣款让步接收，合计扣款金额1364.40元，合同折单吨扣款1.71元，客户有预留5元/吨商务，溢余3.29元/吨。"/>
        <s v="2026年5月19日签订的的散粮合同，广西陆川新天地饲料有限公司，合同号 YMYXZJ260083（2000吨，单价2470元/吨），自提合同，合同质量标准为：容重≥685g/L，水分≤15.0%，杂质≤1.0%，霉变粒≤2.0%，不完善粒≤10%，未约定的其它质量标准按实际交货品质标准执行。_x000a_客户在提货航安发展/2608船货物时，其中970.72吨到厂卸货前发现存在质量问题，局部发霉有异味有石头，不符合双方签订的合同要求，客户反馈需要退货处理，后经双方友好沟通协商，客户让步接收，该批货款扣款20元/吨，扣款金额:970.72*20=19414.40元整。"/>
        <s v="客户于2026年4月26日在新沙长鑫86 提取玉米，工厂抽样检测发现该船玉米 95.22吨呕吐毒素、霉变和杂质检测超标，不符合合同约定标准经过双方友好协商，32.58吨呕吐毒素超标按照10元/吨扣款接收，32.26吨霉变率为 3%按照 30元/吨扣款接收，30.38吨杂质为3.1%按照 20 元/吨扣款接收，即总共扣款10元/吨*32.58吨+30元/吨*32.26 吨+20元/吨*30.38吨=325.8元+967.8元+607.6元=1901.20元。(附扣款函)该合同保呕吐毒素已加价 15元/吨进行销售，溢价可涵盖扣款损失。"/>
        <s v="我司于2026年5月9日和金钱(珠海)有限公司签订粮食销售合同(JZXYMZSJDG26048合同量:1000吨、单价:2520元/吨)。由于运单号:ABTSLXD260326047、柜号:FCIU6341473,ATHU1066367,ATHU1065397,ATHU1572658,ATHU1133001出现粘底，发霉结块，已报保险处理，经双方沟通协商，按照扣款130元/吨处理，即总共扣款129.84吨*130元/吨=16879.2元，现申请报保险5柜按照工厂磅单结算(北方重量134.4吨，工重量129.84吨),明细如下:"/>
        <s v="    兹有我司与双胞胎（集团）股份有限公司于2026年05月13日签署生效的《粮食销售合同》（合同编号：YMFJZZ260079)，合同数量2000吨，合同单价2475元/吨，截止至2026年06月04日，该合同累计提货1971.74吨，客户于2026年5月22日至2026年5月26日提货469.48吨玉米经检验水分、呕吐毒素超标等问题，对应船名：弘泰818/2605 ； "/>
        <s v="    兹有我司与漳州新正邦饲料有限公司于2026年05月13日签署生效的《粮食销售合同》（合同编号：YMFJZZ260078)，合同数量1000吨，合同单价2460元/吨，截止至2026年06月07日，该合同累计提货977.42吨，客户于2026年5月27日至2026年5月28日提货245.74吨玉米经检验呕吐毒素超标，对应船名：弘泰818/2605 ；"/>
        <s v="   兹有我司与漳州温氏农牧有限公司（以下简称“漳州温氏”）于2026年04月24日签署生效的《粮食销售合同》（合同编号：YMFJZZ260074)，合同数量2000吨，合同单价2475元/吨，截止至2026年06月03日，该合同累计提货1866.26吨，客户于2026年5月20日至5月24日提货批次玉米经检测杂质超标（超出合同约定标准），对应船名：弘泰818/2605；"/>
        <s v="我司于2026年5月27日和惠州市立华家禽有限公司签订粮食销售合同(赊销)，(合同量:1000吨、单价:2440元/吨)_x000a_客户于2026年6月2日在新沙宝洋26/2606提取玉米，工厂抽样检测发现，420.94 吨玉米杂质超标，不符合合同约定标准，平均杂质到4.3%经过双方友好协商，420.94吨杂质超标按照 20元/吨扣款接收，即总共扣款 20元/吨*420.94吨=8418.8元。"/>
        <s v="双胞胎（集团）股份有限公司YMYXMM260240（合同量1000吨，单价2490元），签订日期为2026年5月21日，该合同共执行996.76吨。由于外采大船“锦富航69/2608”（供应商：北京京粮谷润贸易有限公司）在港时间长且存在水分杂质超标等质量问题，为加快提离降低坏粮风险，我部掺混出货，2026年5月28日双胞胎在提货中反馈两车64.9吨水分实测15.46%；杂质1.63%，不符合合同签订标准。经我司业务人员核实，检测结果确实存在。秉承长期友好合同原则，经我部与客户多次友好协商后，申请扣款20元/吨，64.9吨*20元=1298元，申请扣款金额合计1298元。该扣款情况已跟饲料原料部报备，由饲料原料部向供应方扣款弥补我司损失。"/>
        <s v="2026年3月12日签订的的散粮合同，湛江海大饲料有限公司，合同号YMYXZJ260047(6500吨，单价2405元/吨)，自提合同，合同质量标准为:容重≥690g/L，不完善≤10%、水分≤15%,霉变≤2%,杂质≤1%，未约定的其它质量标准按实际交货品质标准执行。_x000a_4月25日，客户在提货合盛顺达/2605船货物时，其中870.92吨到厂卸货前发现存在质量问题，水分超标有石头，不符合双方签订的合同要求，经双方友好沟通协商，该批扣款47元/吨，扣款金额:870.92*47=40933.24元。(合盛顺达/2607在到港时我方就发现水分超标，有石头子，并已报送过饲料部，同时对上游京粮扣款63957.24元，故客户反馈问题是属实存在的)_x000a_5月7日-6月5日，客户提货航安发展/2608船货物时，其中3784.12吨到厂卸货前发现存在质量问题，有石头，不符合双方签订的合同要求，客户反馈需要退货处理，后经双方友好沟通协商，客户让步接收，该批货款扣款5元/吨，扣款金额:3784.12*5=18920.60元。"/>
      </sharedItems>
    </cacheField>
    <cacheField name="销售溢价是否覆盖扣款费用" numFmtId="0">
      <sharedItems containsBlank="1" count="4">
        <m/>
        <s v="能覆盖"/>
        <s v="是"/>
        <s v="否"/>
      </sharedItems>
    </cacheField>
    <cacheField name="费用原因分类" numFmtId="0">
      <sharedItems containsBlank="1" count="59">
        <s v="质量问题（霉变、霉味、生虫等）"/>
        <s v="品质不达标（容重、水分、毒素、蛋白等）"/>
        <m/>
        <s v="包装破损、水湿、短重等"/>
        <s v="发霉发热"/>
        <s v="杂质超标"/>
        <s v="质量问题（水湿粘底）"/>
        <s v="其他原因"/>
        <s v="杂质1.2%杂质和破碎粒超出合同约定指标"/>
        <s v="水分≤15%，赤霉烯酮≤200ppb"/>
        <s v="水分≤15%，赤霉烯酮≤200ppb，黄曲霉毒素B1（ppb）≤30"/>
        <s v="杂质.2%杂质和破碎粒超出合同约定指标(杂质&lt;1%)"/>
        <s v="质量问题（霉变、霉味）"/>
        <s v="质量问题（呕吐/霉变）"/>
        <s v="质量问题（不完善粒）"/>
        <s v="质量问题（杂质）"/>
        <s v="质量问题（杂质、水分）"/>
        <s v="质量问题（毒素）"/>
        <s v="质量问题（呕吐毒素）"/>
        <s v="其他原因（运费）"/>
        <s v="质量问题（水分、杂质超标）"/>
        <s v="质量问题（杂质超标）"/>
        <s v="质量问题（杂质超标\、毒素）"/>
        <s v="其他原因，已报保险处理"/>
        <s v="质量问题（水分超标）"/>
        <s v="质量问题（水分、杂质）"/>
        <s v="品质不达标（杂质）"/>
        <s v="质量问题（发霉结块）"/>
        <s v="质量问题（水分）"/>
        <s v="质量问题（杂质、不完善）"/>
        <s v="质量问题（杂质/赤霉）"/>
        <s v="质量问题（赤霉、水分）"/>
        <s v="质量问题（赤霉）"/>
        <s v="质量问题（赤霉、杂质）"/>
        <s v="质量问题（霉变结块）"/>
        <s v="质量问题（水分/赤霉）"/>
        <s v="质量问题（水分/霉变）"/>
        <s v="质量问题（水分/杂质）"/>
        <s v="质量问题（杂质、霉变）"/>
        <s v="质量问题（霉变）"/>
        <s v="质量问题（杂质水分）"/>
        <s v="质量问题（杂质，水分）"/>
        <s v="质量问题（杂质,水分）"/>
        <s v="质量问题（毒素、水分）"/>
        <s v="其他问题"/>
        <s v="其他原因（损耗）"/>
        <s v="质量问题（杂质、水分超标）"/>
        <s v="质量问题（毒素超标）"/>
        <s v="质量问题（霉变、热损超标）"/>
        <s v="质量问题（霉变粒高、水分超标）"/>
        <s v="质量问题（水份、杂质超标）"/>
        <s v="质量问题（热损伤超标）"/>
        <s v="质量问题（霉变率）"/>
        <s v="质量问题"/>
        <s v="质量问题（杂质、不完善超标）"/>
        <s v="质量问题（水份超标）"/>
        <s v="质量问题（毒素、杂质）"/>
        <s v="质量问题（有石头、发霉异味）"/>
        <s v="质量问题（有石头）"/>
      </sharedItems>
    </cacheField>
    <cacheField name="费用金额" numFmtId="0">
      <sharedItems containsBlank="1" containsNumber="1" containsMixedTypes="1" count="302">
        <n v="2099.7"/>
        <n v="11099.4"/>
        <n v="2704.76"/>
        <n v="2204.8"/>
        <n v="1071.4"/>
        <n v="11255"/>
        <n v="1782"/>
        <n v="10655.1"/>
        <n v="4698.52"/>
        <n v="936"/>
        <n v="311.4"/>
        <n v="1003.1"/>
        <n v="1535.9"/>
        <n v="23574.6"/>
        <n v="7965.9"/>
        <n v="5451.6"/>
        <n v="6649"/>
        <n v="1344.8"/>
        <n v="1967.6"/>
        <n v="14134.8"/>
        <n v="21035.21"/>
        <n v="18983.6"/>
        <n v="4801.5"/>
        <m/>
        <n v="7791"/>
        <n v="14164.5"/>
        <n v="91846.45"/>
        <n v="29949.34"/>
        <n v="519.6"/>
        <n v="9482.4"/>
        <n v="7481.1"/>
        <n v="14221.2"/>
        <n v="8663.4"/>
        <n v="14747.1"/>
        <n v="11266.2"/>
        <n v="4800"/>
        <n v="12204"/>
        <n v="14578.5"/>
        <n v="24489"/>
        <n v="30382"/>
        <n v="97622"/>
        <n v="32.32"/>
        <n v="9872.5"/>
        <n v="38576.65"/>
        <n v="5240.75"/>
        <n v="2224.53"/>
        <n v="6151.2"/>
        <n v="2030"/>
        <n v="39975.2"/>
        <n v="2439.9"/>
        <n v="14963.16"/>
        <n v="1617.6"/>
        <n v="1896.8"/>
        <n v="292"/>
        <n v="11542"/>
        <n v="8239.8"/>
        <n v="7560.3"/>
        <n v="35080.4"/>
        <n v="19919.16"/>
        <n v="5133.43"/>
        <n v="4898.7"/>
        <n v="324"/>
        <n v="21584.2"/>
        <n v="20202.8"/>
        <n v="1457.5"/>
        <n v="29754"/>
        <n v="1971.9"/>
        <n v="2010"/>
        <n v="2000.4"/>
        <n v="942.55"/>
        <n v="816.3"/>
        <n v="10096.2"/>
        <n v="23556.96"/>
        <n v="7786.5"/>
        <n v="2011.22"/>
        <n v="1979"/>
        <n v="2521.5"/>
        <n v="2345.24"/>
        <n v="4887"/>
        <n v="3600.4"/>
        <n v="11254.2"/>
        <n v="3992.6"/>
        <n v="25365.36"/>
        <n v="6195.04"/>
        <n v="7516.1"/>
        <n v="2679"/>
        <n v="547"/>
        <n v="1324.2"/>
        <n v="1260"/>
        <n v="11238.6"/>
        <n v="1926.4"/>
        <n v="9993.8"/>
        <n v="4950.3"/>
        <n v="6352"/>
        <n v="1977.9"/>
        <n v="1071.6"/>
        <n v="3108.2"/>
        <n v="1530.6"/>
        <n v="1223"/>
        <n v="3227.6"/>
        <n v="58749.55"/>
        <n v="387.2"/>
        <n v="998.98"/>
        <n v="4993.45"/>
        <n v="5244"/>
        <n v="1506.6"/>
        <n v="14339.63"/>
        <n v="5985.6"/>
        <n v="7535.4"/>
        <n v="247396.05"/>
        <n v="71383.75"/>
        <n v="2911.04"/>
        <n v="34281.64"/>
        <n v="6371.22"/>
        <n v="2201.6"/>
        <n v="1102.8"/>
        <n v="2562"/>
        <n v="317.6"/>
        <n v="7789.77"/>
        <n v="3219.75"/>
        <n v="877.09"/>
        <n v="3707.84"/>
        <n v="74940.81"/>
        <n v="1886.3"/>
        <n v="24665.42"/>
        <n v="50457.42"/>
        <n v="24282.25"/>
        <n v="4432.47"/>
        <n v="139419.11"/>
        <n v="955.85"/>
        <n v="1342.15"/>
        <n v="1991.6"/>
        <n v="7045.4"/>
        <n v="22498.2"/>
        <n v="37424.25"/>
        <n v="42834.1"/>
        <n v="28148.55"/>
        <n v="7028.2"/>
        <n v="13218.75"/>
        <n v="12924.2"/>
        <n v="2222.4"/>
        <n v="799.35"/>
        <n v="8793"/>
        <n v="322.7"/>
        <n v="26.09"/>
        <n v="27.3"/>
        <n v="12296.1"/>
        <n v="19040.4"/>
        <n v="9998.6"/>
        <n v="9805.6"/>
        <n v="2916"/>
        <n v="3094.87"/>
        <n v="29988"/>
        <n v="7947.28"/>
        <n v="8059.68"/>
        <n v="22926.3"/>
        <n v="10971.9"/>
        <n v="1740.59"/>
        <n v="327.2"/>
        <n v="15213.7"/>
        <n v="941.4"/>
        <n v="25018.07"/>
        <n v="1668.84"/>
        <n v="1050.4"/>
        <n v="2161.58"/>
        <n v="447.8"/>
        <n v="32984.4"/>
        <n v="79988.24"/>
        <n v="23183"/>
        <n v="954.42"/>
        <n v="29663.15"/>
        <n v="14233.725"/>
        <n v="495.14"/>
        <n v="10533"/>
        <n v="7946.4"/>
        <n v="1710.3"/>
        <n v="3564.89"/>
        <n v="1081.5"/>
        <n v="5958.3"/>
        <n v="592.06"/>
        <n v="3825.3"/>
        <n v="62.94"/>
        <n v="3193.5"/>
        <n v="6881.5"/>
        <n v="2394.7"/>
        <n v="1538.22"/>
        <n v="2144.2"/>
        <s v="695.35元"/>
        <n v="505.6"/>
        <n v="5360"/>
        <n v="1882.2"/>
        <n v="24984.2"/>
        <n v="8626.5"/>
        <n v="528.77"/>
        <n v="1321.2"/>
        <n v="8926.81"/>
        <n v="5000"/>
        <n v="5804.06"/>
        <n v="7729.8"/>
        <n v="6971.7"/>
        <n v="2414.4"/>
        <n v="5117.1"/>
        <n v="14231.6"/>
        <n v="15682.4"/>
        <n v="9194"/>
        <n v="3620.6"/>
        <n v="1685.9"/>
        <n v="15041.16"/>
        <n v="1320"/>
        <n v="320.6"/>
        <n v="11174.12"/>
        <n v="422"/>
        <n v="2277.4"/>
        <n v="3744.1"/>
        <n v="14401.5"/>
        <n v="566.35"/>
        <n v="28167.3"/>
        <n v="348.9"/>
        <n v="6400.5"/>
        <n v="21407.47"/>
        <n v="7269.63"/>
        <n v="3450.3"/>
        <n v="21838.5"/>
        <n v="1950.42"/>
        <n v="27840.4"/>
        <n v="9787.76"/>
        <n v="364.08"/>
        <n v="1227.4"/>
        <n v="11793.57"/>
        <n v="5158.66"/>
        <n v="1402.8"/>
        <n v="11885.25"/>
        <n v="5704.78"/>
        <n v="1618.6"/>
        <n v="180"/>
        <n v="4187.4"/>
        <n v="8997.6"/>
        <n v="12893.4"/>
        <n v="15835"/>
        <n v="9965.88"/>
        <n v="12073.69"/>
        <n v="13135.5"/>
        <n v="1593.45"/>
        <n v="2679.28"/>
        <n v="41388.13"/>
        <n v="2859.9"/>
        <n v="67418.87"/>
        <n v="7164.75"/>
        <n v="21148.04"/>
        <n v="14491.04"/>
        <n v="3120.8"/>
        <n v="2176.8"/>
        <n v="4589.52"/>
        <n v="36097.5"/>
        <n v="14508.88"/>
        <n v="45000"/>
        <n v="346.1"/>
        <n v="9652.4"/>
        <n v="1829.4"/>
        <n v="13649.7"/>
        <n v="37401.3"/>
        <n v="639"/>
        <n v="19955.12"/>
        <n v="7453.95"/>
        <n v="133.6"/>
        <n v="8416.76"/>
        <n v="18982.7"/>
        <n v="22825.7"/>
        <n v="3891.9"/>
        <n v="29975.2"/>
        <n v="884.8"/>
        <n v="5535.4"/>
        <n v="2932.5"/>
        <n v="628.6"/>
        <n v="32730.12"/>
        <n v="492.23"/>
        <n v="339"/>
        <n v="3311.79"/>
        <n v="16021.32"/>
        <n v="24893.4"/>
        <n v="13350.91"/>
        <n v="6851.1"/>
        <n v="1634.8"/>
        <n v="29336.4"/>
        <n v="26582.54"/>
        <n v="13301.64"/>
        <n v="2078.6"/>
        <n v="626.1"/>
        <n v="3996.81"/>
        <n v="26026.8"/>
        <n v="2574.2"/>
        <n v="711.6"/>
        <n v="1364.4"/>
        <n v="19414.4"/>
        <n v="1901.2"/>
        <n v="16879.2"/>
        <n v="12026.8"/>
        <n v="7372.2"/>
        <n v="15485.4"/>
        <n v="8418.8"/>
        <n v="1298"/>
        <n v="59853.84"/>
      </sharedItems>
    </cacheField>
    <cacheField name="费用对应吨数" numFmtId="0">
      <sharedItems containsString="0" containsBlank="1" containsNumber="1" minValue="0" maxValue="19541.03" count="288">
        <n v="209.97"/>
        <n v="554.97"/>
        <n v="471.075"/>
        <n v="414.4"/>
        <n v="221.905"/>
        <n v="11255"/>
        <n v="1782"/>
        <n v="10655.1"/>
        <n v="4698.52"/>
        <n v="936"/>
        <n v="311.4"/>
        <n v="100.31"/>
        <n v="153.59"/>
        <n v="46.19"/>
        <n v="142.33"/>
        <m/>
        <n v="98.38"/>
        <n v="706.74"/>
        <n v="62.723"/>
        <n v="949.18"/>
        <n v="160.05"/>
        <n v="389.55"/>
        <n v="472.15"/>
        <n v="2994.934"/>
        <n v="0.3"/>
        <n v="316.08"/>
        <n v="249.37"/>
        <n v="474.04"/>
        <n v="288.78"/>
        <n v="491.57"/>
        <n v="375.54"/>
        <n v="160"/>
        <n v="406.8"/>
        <n v="485.95"/>
        <n v="816.3"/>
        <n v="1500"/>
        <n v="1952.44"/>
        <n v="161.6"/>
        <n v="233.08"/>
        <n v="477.09"/>
        <n v="505.74"/>
        <n v="196.3"/>
        <n v="102.52"/>
        <n v="209.155"/>
        <n v="699.62"/>
        <n v="162.66"/>
        <n v="997.544"/>
        <n v="161.76"/>
        <n v="189.68"/>
        <n v="29.2"/>
        <n v="1154.2"/>
        <n v="549.32"/>
        <n v="252.01"/>
        <n v="1754.02"/>
        <n v="995.958"/>
        <n v="167.16"/>
        <n v="164.39"/>
        <n v="32.4"/>
        <n v="3119.12"/>
        <n v="1914.88"/>
        <n v="145.75"/>
        <n v="1487.7"/>
        <n v="100.74"/>
        <n v="64.92"/>
        <n v="200.04"/>
        <n v="26.93"/>
        <n v="27.21"/>
        <n v="4.26"/>
        <n v="996.818"/>
        <n v="311.46"/>
        <n v="53.85"/>
        <n v="98.85"/>
        <n v="1.025"/>
        <n v="83.29"/>
        <n v="488.7"/>
        <n v="360.04"/>
        <n v="375.14"/>
        <n v="779.27"/>
        <n v="1492.08"/>
        <n v="120.61"/>
        <n v="248.53"/>
        <n v="200.6"/>
        <n v="27.35"/>
        <n v="99.68"/>
        <n v="126"/>
        <n v="374.62"/>
        <n v="192.64"/>
        <n v="999.38"/>
        <n v="330.02"/>
        <n v="317.6"/>
        <n v="197.79"/>
        <n v="267.9"/>
        <n v="283.06"/>
        <n v="76.53"/>
        <n v="61.15"/>
        <n v="290.1"/>
        <n v="4958.95"/>
        <n v="8873.9"/>
        <n v="14984.7"/>
        <n v="998.69"/>
        <n v="137.97"/>
        <n v="75.33"/>
        <n v="991.72"/>
        <n v="1197.12"/>
        <n v="753.54"/>
        <n v="10012.32"/>
        <n v="1996.19"/>
        <n v="5009.52"/>
        <n v="2985.66"/>
        <n v="209.04"/>
        <n v="110.08"/>
        <n v="27.57"/>
        <n v="224.78"/>
        <n v="31.76"/>
        <n v="1498.032"/>
        <n v="1.325"/>
        <n v="0.35338"/>
        <n v="27.88166"/>
        <n v="4996.054"/>
        <n v="377.26"/>
        <n v="10.487"/>
        <n v="21.563"/>
        <n v="1453.96"/>
        <n v="1491.92"/>
        <n v="19541.03"/>
        <n v="54.84"/>
        <n v="64.78"/>
        <n v="199.16"/>
        <n v="704.54"/>
        <n v="1499.88"/>
        <n v="1496.97"/>
        <n v="1951.44"/>
        <n v="2999.56"/>
        <n v="2000.08"/>
        <n v="586.2"/>
        <n v="1292.42"/>
        <n v="2222.4"/>
        <n v="159.87"/>
        <n v="64.54"/>
        <n v="5218"/>
        <n v="1550"/>
        <n v="358.93"/>
        <n v="490.96"/>
        <n v="999.86"/>
        <n v="980.56"/>
        <n v="194.4"/>
        <n v="53.35"/>
        <n v="1499.4"/>
        <n v="1986.82"/>
        <n v="980.4"/>
        <n v="1528.42"/>
        <n v="731.46"/>
        <n v="199.38"/>
        <n v="32.72"/>
        <n v="1185.85"/>
        <n v="31.38"/>
        <n v="3997.86"/>
        <n v="278.14"/>
        <n v="52.52"/>
        <n v="100.17"/>
        <n v="44.78"/>
        <n v="1099.48"/>
        <n v="1999.706"/>
        <n v="1949.64"/>
        <n v="12839.3"/>
        <n v="12.2575"/>
        <n v="5.8575"/>
        <n v="15134.5"/>
        <n v="702.2"/>
        <n v="529.76"/>
        <n v="114.02"/>
        <n v="1.79"/>
        <n v="216.3"/>
        <n v="397.22"/>
        <n v="84.58"/>
        <n v="127.51"/>
        <n v="1258.8"/>
        <n v="638.7"/>
        <n v="1031.03"/>
        <n v="1497.048"/>
        <n v="1490.8"/>
        <n v="428.84"/>
        <n v="139.07"/>
        <n v="58.46"/>
        <n v="5.36"/>
        <n v="62.74"/>
        <n v="2498.42"/>
        <n v="862.65"/>
        <n v="9902.1"/>
        <n v="132.12"/>
        <n v="563.98"/>
        <n v="305.84"/>
        <n v="174.67"/>
        <n v="515.32"/>
        <n v="397.59"/>
        <n v="301.8"/>
        <n v="1023.42"/>
        <n v="711.58"/>
        <n v="784.12"/>
        <n v="459.7"/>
        <n v="362.06"/>
        <n v="168.59"/>
        <n v="791.64"/>
        <n v="32.06"/>
        <n v="1096.92"/>
        <n v="84.4"/>
        <n v="455.47"/>
        <n v="748.82"/>
        <n v="288.03"/>
        <n v="282.4"/>
        <n v="938.91"/>
        <n v="69.78"/>
        <n v="509.96"/>
        <n v="836.36"/>
        <n v="362.22"/>
        <n v="230.02"/>
        <n v="873.54"/>
        <n v="238.56"/>
        <n v="1392.02"/>
        <n v="270"/>
        <n v="30.74"/>
        <n v="122.74"/>
        <n v="498.09"/>
        <n v="414.66"/>
        <n v="0.6"/>
        <n v="9.27"/>
        <n v="8.31"/>
        <n v="161.86"/>
        <n v="336.962"/>
        <n v="139.58"/>
        <n v="449.88"/>
        <n v="961.35"/>
        <n v="622.69"/>
        <n v="996.588"/>
        <n v="413.34"/>
        <n v="524.42"/>
        <n v="52.8"/>
        <n v="466.96"/>
        <n v="1971.46"/>
        <n v="285.99"/>
        <n v="549.685"/>
        <n v="540.52"/>
        <n v="9.3711"/>
        <n v="12.13"/>
        <n v="15.02"/>
        <n v="446.5"/>
        <n v="61.32"/>
        <n v="482.62"/>
        <n v="60.98"/>
        <n v="1022.59"/>
        <n v="2873.33"/>
        <n v="21.3"/>
        <n v="997.756"/>
        <n v="993.86"/>
        <n v="26.72"/>
        <n v="290.85"/>
        <n v="210"/>
        <n v="275.07"/>
        <n v="0.35"/>
        <n v="138.385"/>
        <n v="391"/>
        <n v="62.86"/>
        <n v="16.4"/>
        <n v="0.16"/>
        <n v="11.3"/>
        <n v="87.74"/>
        <n v="1459"/>
        <n v="9002.52"/>
        <n v="394.88"/>
        <n v="685.11"/>
        <n v="163.48"/>
        <n v="977.88"/>
        <n v="1946.04"/>
        <n v="978.85"/>
        <n v="207.86"/>
        <n v="62.61"/>
        <n v="799.362"/>
        <n v="1968.65"/>
        <n v="514.84"/>
        <n v="23.72"/>
        <n v="68.22"/>
        <n v="970.72"/>
        <n v="95.22"/>
        <n v="130"/>
        <n v="1971.74"/>
        <n v="977.42"/>
        <n v="1866.26"/>
        <n v="420.94"/>
      </sharedItems>
    </cacheField>
    <cacheField name="费用对应大船名" numFmtId="0">
      <sharedItems containsBlank="1" count="157">
        <m/>
        <s v="玉米出险对应扣款"/>
        <s v="呕吐毒素超标"/>
        <s v="杂质超标"/>
        <s v="杂质和破碎超标"/>
        <s v="容重不达标"/>
        <s v="恒通达/2529、锦航力鹏/2528"/>
        <s v="鑫顺弘盛/2537"/>
        <s v="箱子进水"/>
        <s v="吉林经营部发运"/>
        <s v="国家能源 610/2511"/>
        <s v="国远86、中瑞祥79"/>
        <s v="锦富航 69/2530"/>
        <s v="鑫晟奋发/2523、锦航万盛/2522"/>
        <s v="天台 19/2518"/>
        <s v="国远705"/>
        <s v="天隆河/299S、延展228/043S、昌盛集 9/047S"/>
        <s v="东星海泰/077"/>
        <s v="TIAN XIU HE 340S"/>
        <s v="佳升56/2521"/>
        <s v="佳升56/2521、锦江河/2519、海腾炜业6/2508、锦江河/2521、利泰朝阳/2524"/>
        <s v="佳升56/2521、锦江河/2519"/>
        <s v="锦江河/2519"/>
        <s v="利泰朝阳/2524"/>
        <s v="集装箱"/>
        <s v="益嘉98/2528"/>
        <s v="三水809/2525"/>
        <s v="海百15/2523"/>
        <s v="宁兴18/2525"/>
        <s v="CSNU2898120_x000a_CSNU2889900_x000a_CSNU2906530_x000a_CSNU2821983_x000a_CSNU2806994"/>
        <s v="CSNU2904028、CSNU2895414"/>
        <s v="弘泰819"/>
        <s v="JZ21JZLX1454F7"/>
        <s v="东星海泰/078"/>
        <s v=" 国家能源610/2511"/>
        <s v="国家能源610/2511"/>
        <s v="鑫海城 1/2516"/>
        <s v="鑫海城 1/2516、远泰 99/2521"/>
        <s v="东星海泰/076、东星海泰/078"/>
        <s v="YHSZ-25-092324，宏泰源库；YHSZ-25-092311，禹泰库"/>
        <s v="YHSZ-25-092310，禹泰库"/>
        <s v="东耀海泰066"/>
        <s v="昌晟隆/2523、明金2号/2523"/>
        <s v="华源盛/2529"/>
        <s v="益嘉9/2528、炜业福星/2525"/>
        <s v="YHSZ-25-092324，宏泰源库、新誉库"/>
        <s v="东星海泰/079"/>
        <s v="JZXYMSZCG250092"/>
        <s v="发运计划编号YHSZ-25-102202，对应装箱库点：营口雨荷库_x000a_箱号为CSNU3002368发运重量27.11吨"/>
        <s v="ASMWGSU250802497A"/>
        <s v="国家能源/2512"/>
        <s v="国家能源610/2512"/>
        <s v="Q088864200,Q088894811"/>
        <s v="炜业68V2507"/>
        <s v="\"/>
        <s v="YHSZ-25-092324，新誉库"/>
        <s v="东亿603"/>
        <s v="国家能源 610/2512"/>
        <s v="弘泰612/2524"/>
        <s v="正海3/2506"/>
        <s v="“长峰98/2526”"/>
        <s v="“长峰98/V2526”"/>
        <s v="国翔 3/2540"/>
        <s v="东星海泰/080 "/>
        <s v="益嘉88/2528"/>
        <s v="锦航佰福/2532"/>
        <s v="中恒顺丰/2533"/>
        <s v="锦富航69/2601、炜业福星/2527"/>
        <s v="国远707/2526、东星海泰/80"/>
        <s v="南方地采-谷润/25200"/>
        <s v="东星海泰/80"/>
        <s v="YHSZ-25-092324、YHSZ-25-102222"/>
        <s v="华源盛/2531"/>
        <s v="国家能源610/2513"/>
        <s v="国家能源610"/>
        <s v="浙洋97/2537"/>
        <s v="轩祥3/2535"/>
        <s v=" 东 星 海 泰 /80"/>
        <s v="国家能源 610/2512 "/>
        <s v="东 星 海 泰 /80"/>
        <s v="长峰98/2526"/>
        <s v="轩祥3/2535提货986.86吨，福兴9/2538提货467.1吨"/>
        <s v="同庆18/2539"/>
        <s v="炜业19/2511"/>
        <s v="“三水809/2601”"/>
        <s v="中安89/2601"/>
        <s v="弘泰625/2601"/>
        <s v="福兴9/2538（水分超标）、华源盛/2531（提货到仓底，粉尘与破碎超标）"/>
        <s v="国远86"/>
        <s v="鑫跨翔/2601"/>
        <s v="长峰98/V2526"/>
        <s v="长鑫86"/>
        <s v="航安顺/2603"/>
        <s v="弘泰612/2524、正海3/2506、华源盛/2531、福兴9/2538"/>
        <s v="国家能源610/2513_x000a_东星海泰/81"/>
        <s v="东星海泰/82"/>
        <s v="铭宏发展/2603"/>
        <s v="东星海泰/81与东方祥通/2518"/>
        <s v="弘泰612/2524、华源盛/2529、正海3/2506、华源盛/2531"/>
        <s v="轩祥3/2535、正海3/2601"/>
        <s v="锦鑫6/2601"/>
        <s v="三水809/2601"/>
        <s v="中伟顺/2603"/>
        <s v="南方地采-谷润/25197"/>
        <s v="东星海泰082"/>
        <s v="东方详通/18"/>
        <s v="鑫泰 128/2604"/>
        <s v="正海3/2601"/>
        <s v="兆丰6/2601"/>
        <s v="益嘉 98/2534"/>
        <s v="锦江河/2523"/>
        <s v="鑫泰128/2604"/>
        <s v="国翔3/2540"/>
        <s v="南方地采-谷润/25199"/>
        <s v="福顺 338"/>
        <s v="长鑫 86"/>
        <s v="信耀/2604"/>
        <s v="兆丰6/2601、炜业99"/>
        <s v="JZXYMSZCG260012"/>
        <s v="安丰09/2604"/>
        <s v="南方地采-首裕/26010"/>
        <s v="东星海泰81"/>
        <s v="国家能源611/2603"/>
        <s v="华锦隆/2607"/>
        <s v="国家能源608/2607"/>
        <s v="“大禹长航/V2607”"/>
        <s v="鑫泰128/2604、锦航奋进/2605"/>
        <s v="鑫泰 128/2610"/>
        <s v="炜业 58/2608"/>
        <s v="利泰朝阳/2606、炜业 58/2608"/>
        <s v="集装箱计划编号YHSZ-26-041703"/>
        <s v="弘泰818/2605"/>
        <s v="德勤68/2611"/>
        <s v=" 集装箱计划号YHSZ-26-020926"/>
        <s v="合盛顺达/2607"/>
        <s v="恒顺达8/2607"/>
        <s v="锦富航 69/2608"/>
        <s v="鑫远航6/2608"/>
        <s v="集改散"/>
        <s v="南方地采-谷润/26003"/>
        <s v="柯兴发展/2606"/>
        <s v="YHSZ-26-041720"/>
        <s v="YHSZ-26-020916-4, YHSZ-26-041719-2"/>
        <s v="YHSZ-26-020916-4, YHSZ-26-041719"/>
        <s v="YHSZ-26-011509,YHSZ-26-020916-2"/>
        <s v="YHSZ-26-041719-2"/>
        <s v="计划号：YHSZ-26-041705-2"/>
        <s v="福昌耀/2609"/>
        <s v="炜业99/2604\福昌耀/2609\福昌耀/2609"/>
        <s v="炜业99/2604"/>
        <s v="国丰-中埠鑫航-Q35"/>
        <s v="中安 9/2603、华辰 9/2609"/>
        <s v="“利达海/V2606”轮"/>
        <s v="航安发展/2608"/>
        <s v="宝洋26/2606"/>
        <s v="锦富航69/2608"/>
        <s v="合盛顺达/2607_x000a_航安发展/2608"/>
      </sharedItems>
    </cacheField>
    <cacheField name="费用对应销售合同号" numFmtId="0">
      <sharedItems containsBlank="1" count="292">
        <m/>
        <s v="JZXYMGXXJ250003"/>
        <s v="JZXYMFJZZ250004"/>
        <s v="YMFJZZ250152"/>
        <s v="YMFJZZ250142"/>
        <s v="YMFJZZ250173"/>
        <s v="YMFJZZ250130"/>
        <s v="YHSZFJ250613XMX0001"/>
        <s v="YMZSJJY250170"/>
        <s v="YMZSIIY250177"/>
        <s v="JZXYMZSJJM25047"/>
        <s v="YMZSJQY250219"/>
        <s v="YMZSJQY250205"/>
        <s v="YMZSJQY250179"/>
        <s v="JCYMZSJQY250029-1"/>
        <s v="YMYXMM250768"/>
        <s v="JZXYMZSJJM25048"/>
        <s v="YMYXYJ250166"/>
        <s v="YMYXMM250260"/>
        <s v="JZXYMGXXJ250067"/>
        <s v="YHYMGXXS250904003"/>
        <s v="YMZSJDG250122"/>
        <s v="/YMGXQZ250275/YMGXQZ250276"/>
        <s v="YHYMZSJXS251113002"/>
        <s v="YMYXMM250558"/>
        <s v="YMYXMM250554"/>
        <s v="YMYXMM250602"/>
        <s v="YMYXMM250553"/>
        <s v="YMYXMM250596"/>
        <s v="YMYXMM250582"/>
        <s v="YMYXMM250569"/>
        <s v="YMYXMM250564"/>
        <s v="YMYXMM250576"/>
        <s v="YMYXMM250507"/>
        <s v="YMLDW251027018"/>
        <s v="YMYXMM250594"/>
        <s v=" YMHN250282"/>
        <s v="YMFJZZ250298"/>
        <s v="YMFJFZ250114"/>
        <s v="YMFJZZ250287"/>
        <s v="JZXYMFJFZ250080"/>
        <s v="JZXYMFJFZ250074"/>
        <s v="YMZSJQY250105"/>
        <s v="YMZSJDGJZX250422"/>
        <s v="YMZSJDKHLY250180"/>
        <s v="YMZSJDKHWS250037"/>
        <s v="YMZSJDKHWS250025-3"/>
        <s v="YMZSJDKHWS250025-2"/>
        <s v="YMZSJDKHWS250030"/>
        <s v="YMZSJDKHWS250033"/>
        <s v="YMYXMM250391"/>
        <s v="YMYXMM250392"/>
        <s v="YMZSJJM25081"/>
        <s v="JZXYMFJFZ250075"/>
        <s v="JZXYMFJFZ250072"/>
        <s v="JCYMZSJDG25053-1"/>
        <s v="YMFJFZ250086"/>
        <s v="YMFJFZ250187"/>
        <s v="YMZSJJY250186"/>
        <s v="JCYMHN250088-1"/>
        <s v="JCYMZSJQY250029-2"/>
        <s v="YMZSJDKHLY250195"/>
        <s v="JZXYMZSJQY250113"/>
        <s v="JZXYMHN250170"/>
        <s v="JZXYMYXMM250805"/>
        <s v="JCYMZSJQY250011-1"/>
        <s v="YMYMGXXJ250141"/>
        <s v="JZXYMLCYDG251207"/>
        <s v="YMYXMM250863"/>
        <s v="JZXYMZSJJM25040"/>
        <s v="JZXYMFJFZ250084"/>
        <s v="YMZSJDKHWS250040-2"/>
        <s v="YMZSIDKHWS250038-5"/>
        <s v="YMZSJDKHWS250041-2"/>
        <s v="YMGXXJ250144"/>
        <s v="YMGXXJ250134"/>
        <s v="YMFJFZ250159"/>
        <s v="YMFJFZ250134"/>
        <s v="YMGXQZ250316"/>
        <s v="JZXYMLCYDG251212"/>
        <s v="YMGXQZ250315"/>
        <s v="YMZSJJY250195 扣"/>
        <s v="YMZSJDKHWS250045"/>
        <s v="YMZSJDKHWS250046"/>
        <s v="YMZSJXXW260001"/>
        <s v="YMYXYJ250250-1"/>
        <s v="YMYXYJ250250-3"/>
        <s v="YMZSJJY250201)"/>
        <s v="YMZSJDGJZX250427"/>
        <s v="YMGXQZ250317"/>
        <s v="JZXYMZSJJM26001"/>
        <s v="YMYXMM250904"/>
        <s v="YMHN250338"/>
        <s v="YMZSJQY250182、YMZSJQY250189"/>
        <s v="YMZSJQY250280"/>
        <s v="YMZSJQY250293"/>
        <s v="YMZSJQY250284"/>
        <s v="YMFJFZ250183"/>
        <s v="YMFJFZ250188"/>
        <s v="YHYMZSJXS251118002"/>
        <s v="YMZSJDKHWS250048-1"/>
        <s v="YMZSJDKHWS250049-3"/>
        <s v="YMZSJJMYX25050、YMZSJJMYX25052、YMZSJJMYX25057"/>
        <s v="YMZSJJM25103"/>
        <s v="YMFJZZ250304"/>
        <s v="YMFJZZ250315"/>
        <s v="YMFJFZ260006"/>
        <s v="YMFJFZ260002"/>
        <s v="JZXYMDG26003"/>
        <s v="YMZSJDG250415"/>
        <s v="YMZSJDG250414"/>
        <s v="YMZSJDG250446"/>
        <s v="JZXYMDG26007"/>
        <s v="JZXYMLCYDG251208"/>
        <s v="JZXYMLCYDG251209"/>
        <s v="YMGXNN250144"/>
        <s v="YMGXQZ250329"/>
        <s v="JCYMZSJM25006-4"/>
        <s v="YMZSJJM25084"/>
        <s v="YMFJFZ250210"/>
        <s v="YMFJZZ250316"/>
        <s v="YMFJZZ250313等30笔合同"/>
        <s v="JZXYMZSJM26002"/>
        <s v="JZXYMZSJJM26009"/>
        <s v="YMGXQZ250335"/>
        <s v="YMGXQZ250314"/>
        <s v="YMZSJDKHLY250202"/>
        <s v="YMZSJDKHLY250206"/>
        <s v="YMZSJJY250204"/>
        <s v="YMFJZZ260004"/>
        <s v="YMFJZZ260019"/>
        <s v="JZXYMFJFZ250086"/>
        <s v="YMZSJDG26010"/>
        <s v="JZXYMDG26016"/>
        <s v="YMFJFZ260003"/>
        <s v="YMZSJQY250294"/>
        <s v="JZXYMZSJQY260002"/>
        <s v="JZXYMLCYDG251210"/>
        <s v="YMZSJDKHSBT250017"/>
        <s v="YMZSJDKHSBT260001"/>
        <s v="YMYXYJ250218"/>
        <s v="YMYXYJ250225"/>
        <s v="YMZSJDKHWS250049-2"/>
        <s v="JZXYMDG26014"/>
        <s v="JCYMHN260002-1"/>
        <s v="YMGXNN250131"/>
        <s v="YMZSJQY260016"/>
        <s v="YMZSJDKHWS250048-2"/>
        <s v="YMZSJDKHWS250048-3"/>
        <s v="YMZSJJY250224"/>
        <s v="JCYMZSJDG25051-1"/>
        <s v="YMFJFZ250158"/>
        <s v="YMZSJDG250412"/>
        <s v="YMGXXJ250149_x000a_YMGXXJ260002_x000a_YMGXXJ260003"/>
        <s v="YMZSJDG250500"/>
        <s v="JZXYMDG26018"/>
        <s v="YMFJFZ260012"/>
        <s v="JZXYMZSJJM26005"/>
        <s v="YMZSJDKHLY260001"/>
        <s v="YMZSJDKHLY250204"/>
        <s v="YMFJFZ250164"/>
        <s v="YMFJFZ250165"/>
        <s v="JZXYMDG26017"/>
        <s v="JZXYMDG26015"/>
        <s v="YMFJFZ250189-1"/>
        <s v="YMYXYJ260001-2"/>
        <s v="YMYXYJ260004-2"/>
        <s v="YMYXYJ260013-2"/>
        <s v="JCYMGXQZ260002-1"/>
        <s v="YMYXYJ260013-3"/>
        <s v="YMYXYJ260013-1"/>
        <s v="JCYMYXMM260005-1"/>
        <s v="YMZSJQY250282"/>
        <s v="益嘉98/2534"/>
        <s v="YMGXQZ260018"/>
        <s v="YMFJZZ250325"/>
        <s v="JCYMZSJJM25007-4"/>
        <s v="YMGXQZ260004"/>
        <s v="JCYMGXXJ260003-1"/>
        <s v="YMGXXJ250157"/>
        <s v="JZXYMZSJQY260019"/>
        <s v="JZXYMZSJQY260022"/>
        <s v="YMZSJDG26001"/>
        <s v="YMZSJDG26002"/>
        <s v="YMYXMM250880"/>
        <s v=" YMZSJJY250221"/>
        <s v="YMZSJJY250228"/>
        <s v="JZXYMHN260011"/>
        <s v="YMFJFZ260029"/>
        <s v="JCYMFJFZ250017-1"/>
        <s v="YMFJFZ250196"/>
        <s v="JZXYMGXQZ260007"/>
        <s v="YMLDW2603033001"/>
        <s v="YMYXMM260008-1"/>
        <s v="YMZSJJY250230"/>
        <s v="YMZSJJY250216"/>
        <s v="YMZSJJY250227"/>
        <s v=":JCYMZSJQY250043-2"/>
        <s v="JZXYMZSJJM26026"/>
        <s v="YMZSJDKHISBT2600017"/>
        <s v="YMZSJHD260076"/>
        <s v="YMGXXJ260017"/>
        <s v="JCYMGXXJ260002-1"/>
        <s v="JCYMGXXJ260004-2"/>
        <s v="YMFJFZ260005"/>
        <s v="YMFJZZ260043"/>
        <s v="YMZSJJY250229"/>
        <s v="JCYMZSJJY250155-1"/>
        <s v="YMFJFZ260021"/>
        <s v="YMZSJM26013"/>
        <s v="YMFJFZ260034"/>
        <s v="YMFJFZ260011"/>
        <s v="YMFJFZ260030"/>
        <s v="JZXYMZSJQY260008"/>
        <s v="YMFJFZ250194"/>
        <s v="JZXYMSZCG260012"/>
        <s v="YMZSJDKHLY250166"/>
        <s v="YMZSJDKHLY250168"/>
        <s v="YMFJFZ260017"/>
        <s v="YMZSJDG26016"/>
        <s v="YMZSJDG26011"/>
        <s v="YMZSJDG26050"/>
        <s v="YMFJZZ260035"/>
        <s v="YMFJZZ260036"/>
        <s v="YMZSJQY260021"/>
        <s v="JZXYMZSJJM25078"/>
        <s v="YMFJFZ260008"/>
        <s v="YMFJFZ260013"/>
        <s v="YMFJFZ260063"/>
        <s v="YMFJFZ260035"/>
        <s v="YMZSJJM26024"/>
        <s v="YMFJFZ260020"/>
        <s v="YMFJFZ260018"/>
        <s v="JZXYMFJFZ250092"/>
        <s v="YMGXQZ260030"/>
        <s v="YMZSJJY250232"/>
        <s v="YMZSJJY250234"/>
        <s v="JZXYMZSJJM26039"/>
        <s v="JZXYMZSJJM26046"/>
        <s v="YMYXMM260086"/>
        <s v="YMYXMM260095"/>
        <s v="JCYMZSJJY250156-1"/>
        <s v="YMLDW260417008"/>
        <s v="YMFJZZ260057"/>
        <s v="YMFJZZ260059、YMFJZZ260060"/>
        <s v="YMFJZZ260069"/>
        <s v=" JZXYMZSJJM26038"/>
        <s v="YMYXZJ260058"/>
        <s v="YMFJFZ260113"/>
        <s v="YMYXMM260109"/>
        <s v="YMFJFZ260097"/>
        <s v="YMFJFZ260062"/>
        <s v="YMGXXJ260030"/>
        <s v=" YMZSJDG26034"/>
        <s v="YMYXYJ260054"/>
        <s v="JZXYMZSJQY260049"/>
        <s v="JCYMFJFZ250065-1"/>
        <s v="JZXYMZSJQY260044"/>
        <s v="JZXYMZSJQY260043"/>
        <s v="JZXYMZSJQY260027、JZXYMZSJQY260026"/>
        <s v="JZXYMZSJQY260029"/>
        <s v="JZXYMGXXJ26002"/>
        <s v="YMLDW260325004"/>
        <s v="YMYXYJ260075"/>
        <s v=" JCYMZSJDG25054-1 "/>
        <s v="YMFJZZ260063"/>
        <s v="JZXYMFJZZ260020"/>
        <s v="JZXYMHN260071"/>
        <s v="YMFJFZ260028"/>
        <s v="YMFJFZ260042\YMFJFZ260060\YMFJFZ260067"/>
        <s v="YMFJZZ260048、YMFJZZ260061、YMFJZZ260064、YMFJZZ260073"/>
        <s v="YMFJFZ260041"/>
        <s v="YMFJFZ260081"/>
        <s v="YMFJFZ260107"/>
        <s v="YMFJFZ250198"/>
        <s v="YMFJFZ260096"/>
        <s v="JZXYMFJFZ260001"/>
        <s v="YMFJFZ260103"/>
        <s v="JZXYMZSJQY260050"/>
        <s v="YMSZCG260003"/>
        <s v="JZXYMFJFZ260002"/>
        <s v="YMZSJJY250236"/>
        <s v="YMGXQZ260082"/>
        <s v="YMYXZJ260083"/>
        <s v="YMZSJDG26041"/>
        <s v="JZXYMZSJDG26048"/>
        <s v="YMFJZZ260079"/>
        <s v="YMFJZZ260078"/>
        <s v="YMFJZZ260074"/>
        <s v=" YMZSJDG26058 "/>
        <s v="YMYXMM260240"/>
        <s v="YMYXZJ260047"/>
      </sharedItems>
    </cacheField>
    <cacheField name="发出部门" numFmtId="0">
      <sharedItems containsBlank="1" count="7">
        <s v="福建经营部"/>
        <s v="广西经营部"/>
        <s v="珠三角经营部"/>
        <s v="粤西经营部"/>
        <m/>
        <s v="海南经营部"/>
        <s v="YMZSJDGJZX250422"/>
      </sharedItems>
    </cacheField>
    <cacheField name="接收部门" numFmtId="0">
      <sharedItems containsBlank="1" count="5">
        <s v="饲料原料部、风险管理部、财务部"/>
        <m/>
        <s v="饲料原料部"/>
        <s v="饲料原料部、物流仓储部"/>
        <s v="珠三角经营部"/>
      </sharedItems>
    </cacheField>
    <cacheField name="发起人" numFmtId="0">
      <sharedItems containsBlank="1" count="28">
        <s v="林玉婷"/>
        <s v="侯霄"/>
        <s v="陈静文"/>
        <s v="蚁毓霖"/>
        <s v="汤妮"/>
        <s v="董典昊"/>
        <s v="余诗莹"/>
        <s v="刘佳莹"/>
        <m/>
        <s v="朱雪语"/>
        <s v="林佳琦"/>
        <s v="宁昕"/>
        <s v="严代亮"/>
        <s v="沈业润"/>
        <s v="范闻超"/>
        <s v="杜宜衡"/>
        <s v="李长聪"/>
        <s v="凌梓峰"/>
        <s v="许开兴"/>
        <s v="许满"/>
        <s v="郭良伟"/>
        <s v="李戈"/>
        <s v="杨伟文"/>
        <s v="谭鑫"/>
        <s v="刘源"/>
        <s v="张子杰"/>
        <s v="周聪声"/>
        <s v="李洁静"/>
      </sharedItems>
    </cacheField>
    <cacheField name="复核人1" numFmtId="0">
      <sharedItems containsBlank="1" count="5">
        <s v="福建经营部"/>
        <s v="广西经营部"/>
        <s v="珠三角经营部"/>
        <m/>
        <s v="饲料原料部"/>
      </sharedItems>
    </cacheField>
    <cacheField name="复核人2" numFmtId="0">
      <sharedItems containsBlank="1" count="2">
        <s v="大区品种线"/>
        <m/>
      </sharedItems>
    </cacheField>
    <cacheField name="复核人3" numFmtId="0">
      <sharedItems containsString="0" containsBlank="1" containsNonDate="0" count="1">
        <m/>
      </sharedItems>
    </cacheField>
    <cacheField name="复核人4" numFmtId="0">
      <sharedItems containsString="0" containsBlank="1" containsNonDate="0" count="1">
        <m/>
      </sharedItems>
    </cacheField>
    <cacheField name="复核人5" numFmtId="0">
      <sharedItems containsString="0" containsBlank="1" containsNonDate="0" count="1">
        <m/>
      </sharedItems>
    </cacheField>
    <cacheField name="费用最终承担方" numFmtId="0">
      <sharedItems containsBlank="1" count="2">
        <s v="供应商"/>
        <m/>
      </sharedItems>
    </cacheField>
    <cacheField name="承担方名称/对应合同号" numFmtId="0">
      <sharedItems containsString="0" containsBlank="1" containsNonDate="0" count="1">
        <m/>
      </sharedItems>
    </cacheField>
    <cacheField name="复核结果备注" numFmtId="0">
      <sharedItems containsString="0" containsBlank="1" containsNonDate="0" count="1">
        <m/>
      </sharedItems>
    </cacheField>
    <cacheField name="年" numFmtId="0">
      <sharedItems containsString="0" containsBlank="1" containsNumber="1" containsInteger="1" minValue="0" maxValue="2026" count="3">
        <n v="2025"/>
        <n v="2026"/>
        <m/>
      </sharedItems>
    </cacheField>
    <cacheField name="月" numFmtId="0">
      <sharedItems containsString="0" containsBlank="1" containsNumber="1" containsInteger="1" minValue="0" maxValue="12" count="13">
        <n v="5"/>
        <n v="6"/>
        <n v="7"/>
        <n v="8"/>
        <n v="12"/>
        <n v="11"/>
        <n v="10"/>
        <n v="9"/>
        <n v="1"/>
        <n v="2"/>
        <n v="3"/>
        <n v="4"/>
        <m/>
      </sharedItems>
    </cacheField>
    <cacheField name="日" numFmtId="0">
      <sharedItems containsString="0" containsBlank="1" containsNumber="1" containsInteger="1" minValue="0" maxValue="30" count="30">
        <n v="5"/>
        <n v="9"/>
        <n v="18"/>
        <n v="28"/>
        <n v="11"/>
        <n v="20"/>
        <n v="19"/>
        <n v="29"/>
        <n v="27"/>
        <n v="14"/>
        <n v="15"/>
        <n v="10"/>
        <n v="16"/>
        <n v="3"/>
        <n v="22"/>
        <n v="23"/>
        <n v="24"/>
        <n v="25"/>
        <n v="26"/>
        <n v="12"/>
        <n v="30"/>
        <n v="7"/>
        <n v="8"/>
        <n v="13"/>
        <n v="21"/>
        <n v="2"/>
        <n v="6"/>
        <n v="4"/>
        <n v="17"/>
        <m/>
      </sharedItems>
    </cacheField>
  </cacheFields>
</pivotCacheDefinition>
</file>

<file path=xl/pivotCache/pivotCacheRecords1.xml><?xml version="1.0" encoding="utf-8"?>
<pivotCacheRecords xmlns="http://schemas.openxmlformats.org/spreadsheetml/2006/main" xmlns:r="http://schemas.openxmlformats.org/officeDocument/2006/relationships" count="306">
  <r>
    <x v="0"/>
    <x v="0"/>
    <x v="0"/>
    <x v="0"/>
    <x v="0"/>
    <x v="0"/>
    <x v="0"/>
    <x v="0"/>
    <x v="0"/>
    <x v="0"/>
    <x v="0"/>
    <x v="0"/>
    <x v="0"/>
    <x v="0"/>
    <x v="0"/>
    <x v="0"/>
    <x v="0"/>
    <x v="0"/>
    <x v="0"/>
    <x v="0"/>
    <x v="0"/>
    <x v="0"/>
    <x v="0"/>
    <x v="0"/>
    <x v="0"/>
    <x v="0"/>
    <x v="0"/>
  </r>
  <r>
    <x v="1"/>
    <x v="1"/>
    <x v="1"/>
    <x v="0"/>
    <x v="1"/>
    <x v="1"/>
    <x v="0"/>
    <x v="1"/>
    <x v="1"/>
    <x v="1"/>
    <x v="0"/>
    <x v="1"/>
    <x v="1"/>
    <x v="1"/>
    <x v="1"/>
    <x v="1"/>
    <x v="0"/>
    <x v="0"/>
    <x v="0"/>
    <x v="0"/>
    <x v="1"/>
    <x v="0"/>
    <x v="0"/>
    <x v="0"/>
    <x v="0"/>
    <x v="1"/>
    <x v="1"/>
  </r>
  <r>
    <x v="1"/>
    <x v="2"/>
    <x v="2"/>
    <x v="0"/>
    <x v="2"/>
    <x v="2"/>
    <x v="0"/>
    <x v="1"/>
    <x v="2"/>
    <x v="2"/>
    <x v="0"/>
    <x v="0"/>
    <x v="0"/>
    <x v="2"/>
    <x v="2"/>
    <x v="0"/>
    <x v="0"/>
    <x v="0"/>
    <x v="0"/>
    <x v="0"/>
    <x v="1"/>
    <x v="0"/>
    <x v="0"/>
    <x v="0"/>
    <x v="0"/>
    <x v="1"/>
    <x v="2"/>
  </r>
  <r>
    <x v="1"/>
    <x v="3"/>
    <x v="2"/>
    <x v="0"/>
    <x v="3"/>
    <x v="3"/>
    <x v="0"/>
    <x v="1"/>
    <x v="3"/>
    <x v="3"/>
    <x v="0"/>
    <x v="0"/>
    <x v="0"/>
    <x v="2"/>
    <x v="2"/>
    <x v="0"/>
    <x v="0"/>
    <x v="0"/>
    <x v="0"/>
    <x v="0"/>
    <x v="1"/>
    <x v="0"/>
    <x v="0"/>
    <x v="0"/>
    <x v="0"/>
    <x v="1"/>
    <x v="2"/>
  </r>
  <r>
    <x v="1"/>
    <x v="4"/>
    <x v="2"/>
    <x v="0"/>
    <x v="4"/>
    <x v="4"/>
    <x v="0"/>
    <x v="1"/>
    <x v="4"/>
    <x v="4"/>
    <x v="0"/>
    <x v="0"/>
    <x v="0"/>
    <x v="2"/>
    <x v="2"/>
    <x v="0"/>
    <x v="0"/>
    <x v="0"/>
    <x v="0"/>
    <x v="0"/>
    <x v="1"/>
    <x v="0"/>
    <x v="0"/>
    <x v="0"/>
    <x v="0"/>
    <x v="1"/>
    <x v="2"/>
  </r>
  <r>
    <x v="2"/>
    <x v="5"/>
    <x v="3"/>
    <x v="0"/>
    <x v="5"/>
    <x v="5"/>
    <x v="0"/>
    <x v="2"/>
    <x v="5"/>
    <x v="5"/>
    <x v="1"/>
    <x v="2"/>
    <x v="0"/>
    <x v="2"/>
    <x v="2"/>
    <x v="0"/>
    <x v="0"/>
    <x v="0"/>
    <x v="0"/>
    <x v="0"/>
    <x v="1"/>
    <x v="0"/>
    <x v="0"/>
    <x v="0"/>
    <x v="0"/>
    <x v="2"/>
    <x v="3"/>
  </r>
  <r>
    <x v="3"/>
    <x v="6"/>
    <x v="4"/>
    <x v="0"/>
    <x v="6"/>
    <x v="5"/>
    <x v="0"/>
    <x v="2"/>
    <x v="6"/>
    <x v="6"/>
    <x v="2"/>
    <x v="3"/>
    <x v="0"/>
    <x v="2"/>
    <x v="2"/>
    <x v="0"/>
    <x v="0"/>
    <x v="0"/>
    <x v="0"/>
    <x v="0"/>
    <x v="1"/>
    <x v="0"/>
    <x v="0"/>
    <x v="0"/>
    <x v="0"/>
    <x v="3"/>
    <x v="4"/>
  </r>
  <r>
    <x v="4"/>
    <x v="7"/>
    <x v="5"/>
    <x v="0"/>
    <x v="7"/>
    <x v="5"/>
    <x v="0"/>
    <x v="2"/>
    <x v="7"/>
    <x v="7"/>
    <x v="3"/>
    <x v="4"/>
    <x v="0"/>
    <x v="2"/>
    <x v="2"/>
    <x v="0"/>
    <x v="0"/>
    <x v="0"/>
    <x v="0"/>
    <x v="0"/>
    <x v="1"/>
    <x v="0"/>
    <x v="0"/>
    <x v="0"/>
    <x v="0"/>
    <x v="3"/>
    <x v="5"/>
  </r>
  <r>
    <x v="5"/>
    <x v="7"/>
    <x v="5"/>
    <x v="0"/>
    <x v="8"/>
    <x v="5"/>
    <x v="0"/>
    <x v="2"/>
    <x v="8"/>
    <x v="8"/>
    <x v="4"/>
    <x v="5"/>
    <x v="0"/>
    <x v="2"/>
    <x v="2"/>
    <x v="0"/>
    <x v="0"/>
    <x v="0"/>
    <x v="0"/>
    <x v="0"/>
    <x v="1"/>
    <x v="0"/>
    <x v="0"/>
    <x v="0"/>
    <x v="0"/>
    <x v="3"/>
    <x v="5"/>
  </r>
  <r>
    <x v="6"/>
    <x v="8"/>
    <x v="6"/>
    <x v="0"/>
    <x v="9"/>
    <x v="5"/>
    <x v="0"/>
    <x v="2"/>
    <x v="9"/>
    <x v="9"/>
    <x v="3"/>
    <x v="6"/>
    <x v="0"/>
    <x v="2"/>
    <x v="2"/>
    <x v="0"/>
    <x v="0"/>
    <x v="0"/>
    <x v="0"/>
    <x v="0"/>
    <x v="1"/>
    <x v="0"/>
    <x v="0"/>
    <x v="0"/>
    <x v="0"/>
    <x v="3"/>
    <x v="6"/>
  </r>
  <r>
    <x v="7"/>
    <x v="8"/>
    <x v="6"/>
    <x v="0"/>
    <x v="10"/>
    <x v="5"/>
    <x v="0"/>
    <x v="2"/>
    <x v="10"/>
    <x v="10"/>
    <x v="5"/>
    <x v="7"/>
    <x v="0"/>
    <x v="2"/>
    <x v="2"/>
    <x v="0"/>
    <x v="0"/>
    <x v="0"/>
    <x v="0"/>
    <x v="0"/>
    <x v="1"/>
    <x v="0"/>
    <x v="0"/>
    <x v="0"/>
    <x v="0"/>
    <x v="3"/>
    <x v="6"/>
  </r>
  <r>
    <x v="8"/>
    <x v="9"/>
    <x v="7"/>
    <x v="0"/>
    <x v="11"/>
    <x v="6"/>
    <x v="0"/>
    <x v="1"/>
    <x v="11"/>
    <x v="11"/>
    <x v="6"/>
    <x v="8"/>
    <x v="2"/>
    <x v="2"/>
    <x v="3"/>
    <x v="2"/>
    <x v="0"/>
    <x v="0"/>
    <x v="0"/>
    <x v="0"/>
    <x v="1"/>
    <x v="0"/>
    <x v="0"/>
    <x v="0"/>
    <x v="0"/>
    <x v="4"/>
    <x v="4"/>
  </r>
  <r>
    <x v="9"/>
    <x v="9"/>
    <x v="7"/>
    <x v="0"/>
    <x v="11"/>
    <x v="7"/>
    <x v="0"/>
    <x v="1"/>
    <x v="12"/>
    <x v="12"/>
    <x v="7"/>
    <x v="9"/>
    <x v="2"/>
    <x v="2"/>
    <x v="3"/>
    <x v="2"/>
    <x v="0"/>
    <x v="0"/>
    <x v="0"/>
    <x v="0"/>
    <x v="1"/>
    <x v="0"/>
    <x v="0"/>
    <x v="0"/>
    <x v="0"/>
    <x v="4"/>
    <x v="4"/>
  </r>
  <r>
    <x v="10"/>
    <x v="10"/>
    <x v="8"/>
    <x v="0"/>
    <x v="12"/>
    <x v="8"/>
    <x v="0"/>
    <x v="3"/>
    <x v="13"/>
    <x v="13"/>
    <x v="8"/>
    <x v="10"/>
    <x v="2"/>
    <x v="2"/>
    <x v="4"/>
    <x v="2"/>
    <x v="0"/>
    <x v="0"/>
    <x v="0"/>
    <x v="0"/>
    <x v="1"/>
    <x v="0"/>
    <x v="0"/>
    <x v="0"/>
    <x v="0"/>
    <x v="4"/>
    <x v="1"/>
  </r>
  <r>
    <x v="11"/>
    <x v="10"/>
    <x v="8"/>
    <x v="0"/>
    <x v="12"/>
    <x v="9"/>
    <x v="0"/>
    <x v="0"/>
    <x v="14"/>
    <x v="14"/>
    <x v="0"/>
    <x v="10"/>
    <x v="2"/>
    <x v="2"/>
    <x v="4"/>
    <x v="2"/>
    <x v="0"/>
    <x v="0"/>
    <x v="0"/>
    <x v="0"/>
    <x v="1"/>
    <x v="0"/>
    <x v="0"/>
    <x v="0"/>
    <x v="0"/>
    <x v="4"/>
    <x v="1"/>
  </r>
  <r>
    <x v="12"/>
    <x v="11"/>
    <x v="7"/>
    <x v="0"/>
    <x v="13"/>
    <x v="10"/>
    <x v="0"/>
    <x v="0"/>
    <x v="15"/>
    <x v="15"/>
    <x v="9"/>
    <x v="11"/>
    <x v="2"/>
    <x v="2"/>
    <x v="5"/>
    <x v="2"/>
    <x v="0"/>
    <x v="0"/>
    <x v="0"/>
    <x v="0"/>
    <x v="1"/>
    <x v="0"/>
    <x v="0"/>
    <x v="0"/>
    <x v="0"/>
    <x v="4"/>
    <x v="4"/>
  </r>
  <r>
    <x v="13"/>
    <x v="12"/>
    <x v="7"/>
    <x v="0"/>
    <x v="14"/>
    <x v="11"/>
    <x v="0"/>
    <x v="0"/>
    <x v="16"/>
    <x v="15"/>
    <x v="10"/>
    <x v="12"/>
    <x v="2"/>
    <x v="2"/>
    <x v="5"/>
    <x v="2"/>
    <x v="0"/>
    <x v="0"/>
    <x v="0"/>
    <x v="0"/>
    <x v="1"/>
    <x v="0"/>
    <x v="0"/>
    <x v="0"/>
    <x v="0"/>
    <x v="4"/>
    <x v="4"/>
  </r>
  <r>
    <x v="14"/>
    <x v="13"/>
    <x v="7"/>
    <x v="0"/>
    <x v="15"/>
    <x v="12"/>
    <x v="0"/>
    <x v="0"/>
    <x v="17"/>
    <x v="15"/>
    <x v="9"/>
    <x v="13"/>
    <x v="2"/>
    <x v="2"/>
    <x v="5"/>
    <x v="2"/>
    <x v="0"/>
    <x v="0"/>
    <x v="0"/>
    <x v="0"/>
    <x v="1"/>
    <x v="0"/>
    <x v="0"/>
    <x v="0"/>
    <x v="0"/>
    <x v="4"/>
    <x v="4"/>
  </r>
  <r>
    <x v="15"/>
    <x v="14"/>
    <x v="9"/>
    <x v="0"/>
    <x v="16"/>
    <x v="13"/>
    <x v="0"/>
    <x v="1"/>
    <x v="18"/>
    <x v="16"/>
    <x v="11"/>
    <x v="14"/>
    <x v="2"/>
    <x v="2"/>
    <x v="5"/>
    <x v="3"/>
    <x v="1"/>
    <x v="0"/>
    <x v="0"/>
    <x v="0"/>
    <x v="1"/>
    <x v="0"/>
    <x v="0"/>
    <x v="0"/>
    <x v="0"/>
    <x v="4"/>
    <x v="7"/>
  </r>
  <r>
    <x v="16"/>
    <x v="15"/>
    <x v="7"/>
    <x v="0"/>
    <x v="17"/>
    <x v="14"/>
    <x v="0"/>
    <x v="0"/>
    <x v="19"/>
    <x v="17"/>
    <x v="12"/>
    <x v="15"/>
    <x v="3"/>
    <x v="2"/>
    <x v="6"/>
    <x v="4"/>
    <x v="0"/>
    <x v="0"/>
    <x v="0"/>
    <x v="0"/>
    <x v="1"/>
    <x v="0"/>
    <x v="0"/>
    <x v="0"/>
    <x v="0"/>
    <x v="4"/>
    <x v="4"/>
  </r>
  <r>
    <x v="17"/>
    <x v="16"/>
    <x v="7"/>
    <x v="0"/>
    <x v="18"/>
    <x v="15"/>
    <x v="0"/>
    <x v="3"/>
    <x v="20"/>
    <x v="18"/>
    <x v="0"/>
    <x v="16"/>
    <x v="2"/>
    <x v="2"/>
    <x v="4"/>
    <x v="2"/>
    <x v="0"/>
    <x v="0"/>
    <x v="0"/>
    <x v="0"/>
    <x v="1"/>
    <x v="0"/>
    <x v="0"/>
    <x v="0"/>
    <x v="0"/>
    <x v="4"/>
    <x v="4"/>
  </r>
  <r>
    <x v="18"/>
    <x v="17"/>
    <x v="7"/>
    <x v="0"/>
    <x v="19"/>
    <x v="16"/>
    <x v="0"/>
    <x v="1"/>
    <x v="21"/>
    <x v="19"/>
    <x v="13"/>
    <x v="17"/>
    <x v="3"/>
    <x v="2"/>
    <x v="7"/>
    <x v="4"/>
    <x v="0"/>
    <x v="0"/>
    <x v="0"/>
    <x v="0"/>
    <x v="1"/>
    <x v="0"/>
    <x v="0"/>
    <x v="0"/>
    <x v="0"/>
    <x v="4"/>
    <x v="4"/>
  </r>
  <r>
    <x v="19"/>
    <x v="18"/>
    <x v="10"/>
    <x v="0"/>
    <x v="20"/>
    <x v="17"/>
    <x v="0"/>
    <x v="1"/>
    <x v="22"/>
    <x v="20"/>
    <x v="14"/>
    <x v="18"/>
    <x v="3"/>
    <x v="2"/>
    <x v="6"/>
    <x v="4"/>
    <x v="0"/>
    <x v="0"/>
    <x v="0"/>
    <x v="0"/>
    <x v="1"/>
    <x v="0"/>
    <x v="0"/>
    <x v="0"/>
    <x v="0"/>
    <x v="5"/>
    <x v="8"/>
  </r>
  <r>
    <x v="20"/>
    <x v="19"/>
    <x v="8"/>
    <x v="0"/>
    <x v="6"/>
    <x v="18"/>
    <x v="0"/>
    <x v="2"/>
    <x v="23"/>
    <x v="15"/>
    <x v="0"/>
    <x v="0"/>
    <x v="4"/>
    <x v="1"/>
    <x v="8"/>
    <x v="3"/>
    <x v="1"/>
    <x v="0"/>
    <x v="0"/>
    <x v="0"/>
    <x v="1"/>
    <x v="0"/>
    <x v="0"/>
    <x v="0"/>
    <x v="0"/>
    <x v="4"/>
    <x v="1"/>
  </r>
  <r>
    <x v="21"/>
    <x v="20"/>
    <x v="11"/>
    <x v="0"/>
    <x v="21"/>
    <x v="5"/>
    <x v="0"/>
    <x v="2"/>
    <x v="23"/>
    <x v="15"/>
    <x v="0"/>
    <x v="0"/>
    <x v="4"/>
    <x v="1"/>
    <x v="8"/>
    <x v="3"/>
    <x v="1"/>
    <x v="0"/>
    <x v="0"/>
    <x v="0"/>
    <x v="1"/>
    <x v="0"/>
    <x v="0"/>
    <x v="0"/>
    <x v="0"/>
    <x v="4"/>
    <x v="9"/>
  </r>
  <r>
    <x v="22"/>
    <x v="21"/>
    <x v="11"/>
    <x v="0"/>
    <x v="22"/>
    <x v="19"/>
    <x v="0"/>
    <x v="1"/>
    <x v="24"/>
    <x v="21"/>
    <x v="0"/>
    <x v="19"/>
    <x v="1"/>
    <x v="2"/>
    <x v="9"/>
    <x v="3"/>
    <x v="1"/>
    <x v="0"/>
    <x v="0"/>
    <x v="0"/>
    <x v="1"/>
    <x v="0"/>
    <x v="0"/>
    <x v="0"/>
    <x v="0"/>
    <x v="4"/>
    <x v="9"/>
  </r>
  <r>
    <x v="23"/>
    <x v="22"/>
    <x v="12"/>
    <x v="0"/>
    <x v="23"/>
    <x v="20"/>
    <x v="0"/>
    <x v="0"/>
    <x v="25"/>
    <x v="22"/>
    <x v="15"/>
    <x v="20"/>
    <x v="1"/>
    <x v="2"/>
    <x v="9"/>
    <x v="3"/>
    <x v="1"/>
    <x v="0"/>
    <x v="0"/>
    <x v="0"/>
    <x v="1"/>
    <x v="0"/>
    <x v="0"/>
    <x v="0"/>
    <x v="0"/>
    <x v="4"/>
    <x v="10"/>
  </r>
  <r>
    <x v="24"/>
    <x v="23"/>
    <x v="12"/>
    <x v="0"/>
    <x v="24"/>
    <x v="21"/>
    <x v="0"/>
    <x v="4"/>
    <x v="26"/>
    <x v="15"/>
    <x v="16"/>
    <x v="21"/>
    <x v="2"/>
    <x v="2"/>
    <x v="10"/>
    <x v="3"/>
    <x v="1"/>
    <x v="0"/>
    <x v="0"/>
    <x v="0"/>
    <x v="1"/>
    <x v="0"/>
    <x v="0"/>
    <x v="0"/>
    <x v="0"/>
    <x v="4"/>
    <x v="10"/>
  </r>
  <r>
    <x v="1"/>
    <x v="9"/>
    <x v="12"/>
    <x v="0"/>
    <x v="25"/>
    <x v="22"/>
    <x v="0"/>
    <x v="5"/>
    <x v="27"/>
    <x v="23"/>
    <x v="17"/>
    <x v="22"/>
    <x v="1"/>
    <x v="2"/>
    <x v="11"/>
    <x v="3"/>
    <x v="1"/>
    <x v="0"/>
    <x v="0"/>
    <x v="0"/>
    <x v="1"/>
    <x v="0"/>
    <x v="0"/>
    <x v="0"/>
    <x v="0"/>
    <x v="4"/>
    <x v="10"/>
  </r>
  <r>
    <x v="25"/>
    <x v="24"/>
    <x v="12"/>
    <x v="0"/>
    <x v="24"/>
    <x v="23"/>
    <x v="0"/>
    <x v="6"/>
    <x v="28"/>
    <x v="24"/>
    <x v="18"/>
    <x v="23"/>
    <x v="2"/>
    <x v="2"/>
    <x v="10"/>
    <x v="3"/>
    <x v="1"/>
    <x v="0"/>
    <x v="0"/>
    <x v="0"/>
    <x v="1"/>
    <x v="0"/>
    <x v="0"/>
    <x v="0"/>
    <x v="0"/>
    <x v="4"/>
    <x v="10"/>
  </r>
  <r>
    <x v="26"/>
    <x v="25"/>
    <x v="12"/>
    <x v="0"/>
    <x v="26"/>
    <x v="24"/>
    <x v="0"/>
    <x v="1"/>
    <x v="29"/>
    <x v="25"/>
    <x v="19"/>
    <x v="24"/>
    <x v="3"/>
    <x v="2"/>
    <x v="6"/>
    <x v="4"/>
    <x v="0"/>
    <x v="0"/>
    <x v="0"/>
    <x v="0"/>
    <x v="1"/>
    <x v="0"/>
    <x v="0"/>
    <x v="0"/>
    <x v="0"/>
    <x v="4"/>
    <x v="10"/>
  </r>
  <r>
    <x v="27"/>
    <x v="25"/>
    <x v="12"/>
    <x v="0"/>
    <x v="26"/>
    <x v="24"/>
    <x v="0"/>
    <x v="1"/>
    <x v="30"/>
    <x v="26"/>
    <x v="19"/>
    <x v="25"/>
    <x v="3"/>
    <x v="2"/>
    <x v="6"/>
    <x v="4"/>
    <x v="0"/>
    <x v="0"/>
    <x v="0"/>
    <x v="0"/>
    <x v="1"/>
    <x v="0"/>
    <x v="0"/>
    <x v="0"/>
    <x v="0"/>
    <x v="4"/>
    <x v="10"/>
  </r>
  <r>
    <x v="28"/>
    <x v="26"/>
    <x v="12"/>
    <x v="0"/>
    <x v="26"/>
    <x v="24"/>
    <x v="0"/>
    <x v="1"/>
    <x v="31"/>
    <x v="27"/>
    <x v="20"/>
    <x v="26"/>
    <x v="3"/>
    <x v="2"/>
    <x v="6"/>
    <x v="4"/>
    <x v="0"/>
    <x v="0"/>
    <x v="0"/>
    <x v="0"/>
    <x v="1"/>
    <x v="0"/>
    <x v="0"/>
    <x v="0"/>
    <x v="0"/>
    <x v="4"/>
    <x v="10"/>
  </r>
  <r>
    <x v="29"/>
    <x v="25"/>
    <x v="12"/>
    <x v="0"/>
    <x v="26"/>
    <x v="24"/>
    <x v="0"/>
    <x v="1"/>
    <x v="32"/>
    <x v="28"/>
    <x v="21"/>
    <x v="27"/>
    <x v="3"/>
    <x v="2"/>
    <x v="6"/>
    <x v="4"/>
    <x v="0"/>
    <x v="0"/>
    <x v="0"/>
    <x v="0"/>
    <x v="1"/>
    <x v="0"/>
    <x v="0"/>
    <x v="0"/>
    <x v="0"/>
    <x v="4"/>
    <x v="10"/>
  </r>
  <r>
    <x v="30"/>
    <x v="27"/>
    <x v="12"/>
    <x v="0"/>
    <x v="26"/>
    <x v="24"/>
    <x v="0"/>
    <x v="1"/>
    <x v="33"/>
    <x v="29"/>
    <x v="22"/>
    <x v="28"/>
    <x v="3"/>
    <x v="2"/>
    <x v="6"/>
    <x v="4"/>
    <x v="0"/>
    <x v="0"/>
    <x v="0"/>
    <x v="0"/>
    <x v="1"/>
    <x v="0"/>
    <x v="0"/>
    <x v="0"/>
    <x v="0"/>
    <x v="4"/>
    <x v="10"/>
  </r>
  <r>
    <x v="31"/>
    <x v="25"/>
    <x v="12"/>
    <x v="0"/>
    <x v="26"/>
    <x v="24"/>
    <x v="0"/>
    <x v="1"/>
    <x v="34"/>
    <x v="30"/>
    <x v="19"/>
    <x v="29"/>
    <x v="3"/>
    <x v="2"/>
    <x v="6"/>
    <x v="4"/>
    <x v="0"/>
    <x v="0"/>
    <x v="0"/>
    <x v="0"/>
    <x v="1"/>
    <x v="0"/>
    <x v="0"/>
    <x v="0"/>
    <x v="0"/>
    <x v="4"/>
    <x v="10"/>
  </r>
  <r>
    <x v="32"/>
    <x v="25"/>
    <x v="12"/>
    <x v="0"/>
    <x v="26"/>
    <x v="24"/>
    <x v="0"/>
    <x v="1"/>
    <x v="35"/>
    <x v="31"/>
    <x v="19"/>
    <x v="30"/>
    <x v="3"/>
    <x v="2"/>
    <x v="6"/>
    <x v="4"/>
    <x v="0"/>
    <x v="0"/>
    <x v="0"/>
    <x v="0"/>
    <x v="1"/>
    <x v="0"/>
    <x v="0"/>
    <x v="0"/>
    <x v="0"/>
    <x v="4"/>
    <x v="10"/>
  </r>
  <r>
    <x v="33"/>
    <x v="25"/>
    <x v="12"/>
    <x v="0"/>
    <x v="26"/>
    <x v="24"/>
    <x v="0"/>
    <x v="1"/>
    <x v="36"/>
    <x v="32"/>
    <x v="19"/>
    <x v="31"/>
    <x v="3"/>
    <x v="2"/>
    <x v="6"/>
    <x v="4"/>
    <x v="0"/>
    <x v="0"/>
    <x v="0"/>
    <x v="0"/>
    <x v="1"/>
    <x v="0"/>
    <x v="0"/>
    <x v="0"/>
    <x v="0"/>
    <x v="4"/>
    <x v="10"/>
  </r>
  <r>
    <x v="34"/>
    <x v="25"/>
    <x v="12"/>
    <x v="0"/>
    <x v="26"/>
    <x v="24"/>
    <x v="0"/>
    <x v="1"/>
    <x v="37"/>
    <x v="33"/>
    <x v="22"/>
    <x v="32"/>
    <x v="3"/>
    <x v="2"/>
    <x v="6"/>
    <x v="4"/>
    <x v="0"/>
    <x v="0"/>
    <x v="0"/>
    <x v="0"/>
    <x v="1"/>
    <x v="0"/>
    <x v="0"/>
    <x v="0"/>
    <x v="0"/>
    <x v="4"/>
    <x v="10"/>
  </r>
  <r>
    <x v="35"/>
    <x v="28"/>
    <x v="12"/>
    <x v="0"/>
    <x v="26"/>
    <x v="24"/>
    <x v="0"/>
    <x v="1"/>
    <x v="38"/>
    <x v="34"/>
    <x v="23"/>
    <x v="33"/>
    <x v="3"/>
    <x v="2"/>
    <x v="6"/>
    <x v="4"/>
    <x v="0"/>
    <x v="0"/>
    <x v="0"/>
    <x v="0"/>
    <x v="1"/>
    <x v="0"/>
    <x v="0"/>
    <x v="0"/>
    <x v="0"/>
    <x v="4"/>
    <x v="10"/>
  </r>
  <r>
    <x v="36"/>
    <x v="29"/>
    <x v="13"/>
    <x v="0"/>
    <x v="27"/>
    <x v="25"/>
    <x v="0"/>
    <x v="0"/>
    <x v="39"/>
    <x v="35"/>
    <x v="24"/>
    <x v="34"/>
    <x v="0"/>
    <x v="2"/>
    <x v="12"/>
    <x v="3"/>
    <x v="1"/>
    <x v="0"/>
    <x v="0"/>
    <x v="0"/>
    <x v="1"/>
    <x v="0"/>
    <x v="0"/>
    <x v="0"/>
    <x v="0"/>
    <x v="4"/>
    <x v="11"/>
  </r>
  <r>
    <x v="37"/>
    <x v="27"/>
    <x v="10"/>
    <x v="0"/>
    <x v="28"/>
    <x v="26"/>
    <x v="0"/>
    <x v="0"/>
    <x v="40"/>
    <x v="36"/>
    <x v="24"/>
    <x v="35"/>
    <x v="0"/>
    <x v="2"/>
    <x v="13"/>
    <x v="4"/>
    <x v="0"/>
    <x v="0"/>
    <x v="0"/>
    <x v="0"/>
    <x v="1"/>
    <x v="0"/>
    <x v="0"/>
    <x v="0"/>
    <x v="0"/>
    <x v="5"/>
    <x v="8"/>
  </r>
  <r>
    <x v="38"/>
    <x v="30"/>
    <x v="12"/>
    <x v="0"/>
    <x v="29"/>
    <x v="27"/>
    <x v="0"/>
    <x v="2"/>
    <x v="23"/>
    <x v="15"/>
    <x v="0"/>
    <x v="0"/>
    <x v="4"/>
    <x v="1"/>
    <x v="8"/>
    <x v="3"/>
    <x v="1"/>
    <x v="0"/>
    <x v="0"/>
    <x v="0"/>
    <x v="1"/>
    <x v="0"/>
    <x v="0"/>
    <x v="0"/>
    <x v="0"/>
    <x v="4"/>
    <x v="10"/>
  </r>
  <r>
    <x v="39"/>
    <x v="31"/>
    <x v="8"/>
    <x v="0"/>
    <x v="6"/>
    <x v="28"/>
    <x v="0"/>
    <x v="2"/>
    <x v="23"/>
    <x v="15"/>
    <x v="0"/>
    <x v="0"/>
    <x v="4"/>
    <x v="1"/>
    <x v="8"/>
    <x v="3"/>
    <x v="1"/>
    <x v="0"/>
    <x v="0"/>
    <x v="0"/>
    <x v="1"/>
    <x v="0"/>
    <x v="0"/>
    <x v="0"/>
    <x v="0"/>
    <x v="4"/>
    <x v="1"/>
  </r>
  <r>
    <x v="40"/>
    <x v="32"/>
    <x v="8"/>
    <x v="0"/>
    <x v="30"/>
    <x v="29"/>
    <x v="0"/>
    <x v="1"/>
    <x v="41"/>
    <x v="37"/>
    <x v="25"/>
    <x v="36"/>
    <x v="5"/>
    <x v="2"/>
    <x v="14"/>
    <x v="3"/>
    <x v="1"/>
    <x v="0"/>
    <x v="0"/>
    <x v="0"/>
    <x v="1"/>
    <x v="0"/>
    <x v="0"/>
    <x v="0"/>
    <x v="0"/>
    <x v="4"/>
    <x v="1"/>
  </r>
  <r>
    <x v="41"/>
    <x v="9"/>
    <x v="14"/>
    <x v="0"/>
    <x v="31"/>
    <x v="30"/>
    <x v="0"/>
    <x v="1"/>
    <x v="42"/>
    <x v="38"/>
    <x v="26"/>
    <x v="37"/>
    <x v="0"/>
    <x v="2"/>
    <x v="12"/>
    <x v="3"/>
    <x v="1"/>
    <x v="0"/>
    <x v="0"/>
    <x v="0"/>
    <x v="1"/>
    <x v="0"/>
    <x v="0"/>
    <x v="0"/>
    <x v="0"/>
    <x v="4"/>
    <x v="12"/>
  </r>
  <r>
    <x v="42"/>
    <x v="11"/>
    <x v="13"/>
    <x v="0"/>
    <x v="32"/>
    <x v="31"/>
    <x v="0"/>
    <x v="7"/>
    <x v="43"/>
    <x v="39"/>
    <x v="27"/>
    <x v="38"/>
    <x v="0"/>
    <x v="2"/>
    <x v="15"/>
    <x v="3"/>
    <x v="1"/>
    <x v="0"/>
    <x v="0"/>
    <x v="0"/>
    <x v="1"/>
    <x v="0"/>
    <x v="0"/>
    <x v="0"/>
    <x v="0"/>
    <x v="4"/>
    <x v="11"/>
  </r>
  <r>
    <x v="43"/>
    <x v="24"/>
    <x v="13"/>
    <x v="0"/>
    <x v="32"/>
    <x v="32"/>
    <x v="0"/>
    <x v="1"/>
    <x v="44"/>
    <x v="40"/>
    <x v="28"/>
    <x v="38"/>
    <x v="0"/>
    <x v="2"/>
    <x v="15"/>
    <x v="3"/>
    <x v="1"/>
    <x v="0"/>
    <x v="0"/>
    <x v="0"/>
    <x v="1"/>
    <x v="0"/>
    <x v="0"/>
    <x v="0"/>
    <x v="0"/>
    <x v="4"/>
    <x v="11"/>
  </r>
  <r>
    <x v="21"/>
    <x v="33"/>
    <x v="14"/>
    <x v="0"/>
    <x v="33"/>
    <x v="33"/>
    <x v="0"/>
    <x v="1"/>
    <x v="45"/>
    <x v="41"/>
    <x v="28"/>
    <x v="39"/>
    <x v="0"/>
    <x v="2"/>
    <x v="15"/>
    <x v="3"/>
    <x v="1"/>
    <x v="0"/>
    <x v="0"/>
    <x v="0"/>
    <x v="1"/>
    <x v="0"/>
    <x v="0"/>
    <x v="0"/>
    <x v="0"/>
    <x v="4"/>
    <x v="12"/>
  </r>
  <r>
    <x v="44"/>
    <x v="34"/>
    <x v="15"/>
    <x v="0"/>
    <x v="34"/>
    <x v="34"/>
    <x v="0"/>
    <x v="1"/>
    <x v="46"/>
    <x v="42"/>
    <x v="29"/>
    <x v="40"/>
    <x v="0"/>
    <x v="2"/>
    <x v="15"/>
    <x v="3"/>
    <x v="1"/>
    <x v="0"/>
    <x v="0"/>
    <x v="0"/>
    <x v="1"/>
    <x v="0"/>
    <x v="0"/>
    <x v="0"/>
    <x v="0"/>
    <x v="4"/>
    <x v="13"/>
  </r>
  <r>
    <x v="45"/>
    <x v="35"/>
    <x v="16"/>
    <x v="0"/>
    <x v="35"/>
    <x v="35"/>
    <x v="0"/>
    <x v="1"/>
    <x v="47"/>
    <x v="43"/>
    <x v="30"/>
    <x v="41"/>
    <x v="0"/>
    <x v="2"/>
    <x v="15"/>
    <x v="3"/>
    <x v="1"/>
    <x v="0"/>
    <x v="0"/>
    <x v="0"/>
    <x v="1"/>
    <x v="0"/>
    <x v="0"/>
    <x v="0"/>
    <x v="0"/>
    <x v="6"/>
    <x v="14"/>
  </r>
  <r>
    <x v="46"/>
    <x v="36"/>
    <x v="17"/>
    <x v="0"/>
    <x v="36"/>
    <x v="36"/>
    <x v="0"/>
    <x v="0"/>
    <x v="48"/>
    <x v="44"/>
    <x v="31"/>
    <x v="42"/>
    <x v="2"/>
    <x v="1"/>
    <x v="8"/>
    <x v="3"/>
    <x v="1"/>
    <x v="0"/>
    <x v="0"/>
    <x v="0"/>
    <x v="1"/>
    <x v="0"/>
    <x v="0"/>
    <x v="0"/>
    <x v="0"/>
    <x v="7"/>
    <x v="12"/>
  </r>
  <r>
    <x v="47"/>
    <x v="37"/>
    <x v="18"/>
    <x v="0"/>
    <x v="37"/>
    <x v="37"/>
    <x v="0"/>
    <x v="1"/>
    <x v="49"/>
    <x v="45"/>
    <x v="32"/>
    <x v="43"/>
    <x v="6"/>
    <x v="1"/>
    <x v="8"/>
    <x v="3"/>
    <x v="1"/>
    <x v="0"/>
    <x v="0"/>
    <x v="0"/>
    <x v="1"/>
    <x v="0"/>
    <x v="0"/>
    <x v="0"/>
    <x v="0"/>
    <x v="4"/>
    <x v="2"/>
  </r>
  <r>
    <x v="48"/>
    <x v="38"/>
    <x v="19"/>
    <x v="0"/>
    <x v="38"/>
    <x v="38"/>
    <x v="0"/>
    <x v="0"/>
    <x v="50"/>
    <x v="46"/>
    <x v="17"/>
    <x v="44"/>
    <x v="2"/>
    <x v="2"/>
    <x v="16"/>
    <x v="3"/>
    <x v="1"/>
    <x v="0"/>
    <x v="0"/>
    <x v="0"/>
    <x v="1"/>
    <x v="0"/>
    <x v="0"/>
    <x v="0"/>
    <x v="0"/>
    <x v="4"/>
    <x v="6"/>
  </r>
  <r>
    <x v="49"/>
    <x v="9"/>
    <x v="19"/>
    <x v="0"/>
    <x v="39"/>
    <x v="39"/>
    <x v="0"/>
    <x v="0"/>
    <x v="51"/>
    <x v="47"/>
    <x v="33"/>
    <x v="45"/>
    <x v="2"/>
    <x v="2"/>
    <x v="17"/>
    <x v="3"/>
    <x v="1"/>
    <x v="0"/>
    <x v="0"/>
    <x v="0"/>
    <x v="1"/>
    <x v="0"/>
    <x v="0"/>
    <x v="0"/>
    <x v="0"/>
    <x v="4"/>
    <x v="6"/>
  </r>
  <r>
    <x v="50"/>
    <x v="9"/>
    <x v="19"/>
    <x v="0"/>
    <x v="39"/>
    <x v="40"/>
    <x v="0"/>
    <x v="0"/>
    <x v="52"/>
    <x v="48"/>
    <x v="33"/>
    <x v="46"/>
    <x v="2"/>
    <x v="2"/>
    <x v="17"/>
    <x v="3"/>
    <x v="1"/>
    <x v="0"/>
    <x v="0"/>
    <x v="0"/>
    <x v="1"/>
    <x v="0"/>
    <x v="0"/>
    <x v="0"/>
    <x v="0"/>
    <x v="4"/>
    <x v="6"/>
  </r>
  <r>
    <x v="51"/>
    <x v="9"/>
    <x v="19"/>
    <x v="0"/>
    <x v="39"/>
    <x v="41"/>
    <x v="0"/>
    <x v="1"/>
    <x v="53"/>
    <x v="49"/>
    <x v="33"/>
    <x v="47"/>
    <x v="2"/>
    <x v="2"/>
    <x v="17"/>
    <x v="3"/>
    <x v="1"/>
    <x v="0"/>
    <x v="0"/>
    <x v="0"/>
    <x v="1"/>
    <x v="0"/>
    <x v="0"/>
    <x v="0"/>
    <x v="0"/>
    <x v="4"/>
    <x v="6"/>
  </r>
  <r>
    <x v="52"/>
    <x v="9"/>
    <x v="19"/>
    <x v="0"/>
    <x v="39"/>
    <x v="42"/>
    <x v="0"/>
    <x v="1"/>
    <x v="54"/>
    <x v="50"/>
    <x v="34"/>
    <x v="48"/>
    <x v="2"/>
    <x v="2"/>
    <x v="17"/>
    <x v="3"/>
    <x v="1"/>
    <x v="0"/>
    <x v="0"/>
    <x v="0"/>
    <x v="1"/>
    <x v="0"/>
    <x v="0"/>
    <x v="0"/>
    <x v="0"/>
    <x v="4"/>
    <x v="6"/>
  </r>
  <r>
    <x v="53"/>
    <x v="9"/>
    <x v="19"/>
    <x v="0"/>
    <x v="39"/>
    <x v="43"/>
    <x v="0"/>
    <x v="0"/>
    <x v="55"/>
    <x v="51"/>
    <x v="35"/>
    <x v="49"/>
    <x v="2"/>
    <x v="2"/>
    <x v="17"/>
    <x v="3"/>
    <x v="1"/>
    <x v="0"/>
    <x v="0"/>
    <x v="0"/>
    <x v="1"/>
    <x v="0"/>
    <x v="0"/>
    <x v="0"/>
    <x v="0"/>
    <x v="4"/>
    <x v="6"/>
  </r>
  <r>
    <x v="54"/>
    <x v="39"/>
    <x v="19"/>
    <x v="0"/>
    <x v="40"/>
    <x v="44"/>
    <x v="0"/>
    <x v="1"/>
    <x v="56"/>
    <x v="52"/>
    <x v="36"/>
    <x v="50"/>
    <x v="3"/>
    <x v="2"/>
    <x v="6"/>
    <x v="3"/>
    <x v="1"/>
    <x v="0"/>
    <x v="0"/>
    <x v="0"/>
    <x v="1"/>
    <x v="0"/>
    <x v="0"/>
    <x v="0"/>
    <x v="0"/>
    <x v="4"/>
    <x v="6"/>
  </r>
  <r>
    <x v="55"/>
    <x v="40"/>
    <x v="19"/>
    <x v="0"/>
    <x v="41"/>
    <x v="45"/>
    <x v="0"/>
    <x v="1"/>
    <x v="57"/>
    <x v="53"/>
    <x v="37"/>
    <x v="51"/>
    <x v="3"/>
    <x v="2"/>
    <x v="6"/>
    <x v="3"/>
    <x v="1"/>
    <x v="0"/>
    <x v="0"/>
    <x v="0"/>
    <x v="1"/>
    <x v="0"/>
    <x v="0"/>
    <x v="0"/>
    <x v="0"/>
    <x v="4"/>
    <x v="6"/>
  </r>
  <r>
    <x v="56"/>
    <x v="41"/>
    <x v="20"/>
    <x v="0"/>
    <x v="42"/>
    <x v="46"/>
    <x v="0"/>
    <x v="1"/>
    <x v="58"/>
    <x v="54"/>
    <x v="38"/>
    <x v="52"/>
    <x v="2"/>
    <x v="2"/>
    <x v="4"/>
    <x v="2"/>
    <x v="0"/>
    <x v="0"/>
    <x v="0"/>
    <x v="0"/>
    <x v="1"/>
    <x v="0"/>
    <x v="0"/>
    <x v="0"/>
    <x v="0"/>
    <x v="4"/>
    <x v="14"/>
  </r>
  <r>
    <x v="57"/>
    <x v="32"/>
    <x v="20"/>
    <x v="0"/>
    <x v="43"/>
    <x v="47"/>
    <x v="0"/>
    <x v="1"/>
    <x v="59"/>
    <x v="55"/>
    <x v="39"/>
    <x v="53"/>
    <x v="0"/>
    <x v="2"/>
    <x v="15"/>
    <x v="3"/>
    <x v="1"/>
    <x v="0"/>
    <x v="0"/>
    <x v="0"/>
    <x v="1"/>
    <x v="0"/>
    <x v="0"/>
    <x v="0"/>
    <x v="0"/>
    <x v="4"/>
    <x v="14"/>
  </r>
  <r>
    <x v="58"/>
    <x v="29"/>
    <x v="20"/>
    <x v="0"/>
    <x v="44"/>
    <x v="48"/>
    <x v="0"/>
    <x v="1"/>
    <x v="60"/>
    <x v="56"/>
    <x v="40"/>
    <x v="54"/>
    <x v="0"/>
    <x v="2"/>
    <x v="15"/>
    <x v="3"/>
    <x v="1"/>
    <x v="0"/>
    <x v="0"/>
    <x v="0"/>
    <x v="1"/>
    <x v="0"/>
    <x v="0"/>
    <x v="0"/>
    <x v="0"/>
    <x v="4"/>
    <x v="14"/>
  </r>
  <r>
    <x v="59"/>
    <x v="42"/>
    <x v="21"/>
    <x v="0"/>
    <x v="45"/>
    <x v="49"/>
    <x v="0"/>
    <x v="1"/>
    <x v="61"/>
    <x v="57"/>
    <x v="41"/>
    <x v="55"/>
    <x v="2"/>
    <x v="2"/>
    <x v="10"/>
    <x v="3"/>
    <x v="1"/>
    <x v="0"/>
    <x v="0"/>
    <x v="0"/>
    <x v="1"/>
    <x v="0"/>
    <x v="0"/>
    <x v="0"/>
    <x v="0"/>
    <x v="4"/>
    <x v="15"/>
  </r>
  <r>
    <x v="60"/>
    <x v="43"/>
    <x v="21"/>
    <x v="0"/>
    <x v="46"/>
    <x v="50"/>
    <x v="0"/>
    <x v="0"/>
    <x v="62"/>
    <x v="58"/>
    <x v="42"/>
    <x v="56"/>
    <x v="0"/>
    <x v="2"/>
    <x v="18"/>
    <x v="3"/>
    <x v="1"/>
    <x v="0"/>
    <x v="0"/>
    <x v="0"/>
    <x v="1"/>
    <x v="0"/>
    <x v="0"/>
    <x v="0"/>
    <x v="0"/>
    <x v="4"/>
    <x v="15"/>
  </r>
  <r>
    <x v="61"/>
    <x v="44"/>
    <x v="21"/>
    <x v="0"/>
    <x v="47"/>
    <x v="51"/>
    <x v="0"/>
    <x v="1"/>
    <x v="63"/>
    <x v="59"/>
    <x v="43"/>
    <x v="57"/>
    <x v="0"/>
    <x v="2"/>
    <x v="18"/>
    <x v="3"/>
    <x v="1"/>
    <x v="0"/>
    <x v="0"/>
    <x v="0"/>
    <x v="1"/>
    <x v="0"/>
    <x v="0"/>
    <x v="0"/>
    <x v="0"/>
    <x v="4"/>
    <x v="15"/>
  </r>
  <r>
    <x v="1"/>
    <x v="45"/>
    <x v="22"/>
    <x v="0"/>
    <x v="11"/>
    <x v="52"/>
    <x v="0"/>
    <x v="8"/>
    <x v="64"/>
    <x v="60"/>
    <x v="7"/>
    <x v="58"/>
    <x v="2"/>
    <x v="2"/>
    <x v="3"/>
    <x v="3"/>
    <x v="1"/>
    <x v="0"/>
    <x v="0"/>
    <x v="0"/>
    <x v="1"/>
    <x v="0"/>
    <x v="0"/>
    <x v="0"/>
    <x v="0"/>
    <x v="4"/>
    <x v="16"/>
  </r>
  <r>
    <x v="62"/>
    <x v="46"/>
    <x v="22"/>
    <x v="0"/>
    <x v="48"/>
    <x v="53"/>
    <x v="0"/>
    <x v="1"/>
    <x v="65"/>
    <x v="61"/>
    <x v="44"/>
    <x v="59"/>
    <x v="5"/>
    <x v="2"/>
    <x v="14"/>
    <x v="3"/>
    <x v="1"/>
    <x v="0"/>
    <x v="0"/>
    <x v="0"/>
    <x v="1"/>
    <x v="0"/>
    <x v="0"/>
    <x v="0"/>
    <x v="0"/>
    <x v="4"/>
    <x v="16"/>
  </r>
  <r>
    <x v="63"/>
    <x v="47"/>
    <x v="23"/>
    <x v="0"/>
    <x v="49"/>
    <x v="54"/>
    <x v="0"/>
    <x v="1"/>
    <x v="66"/>
    <x v="62"/>
    <x v="45"/>
    <x v="57"/>
    <x v="0"/>
    <x v="2"/>
    <x v="15"/>
    <x v="3"/>
    <x v="1"/>
    <x v="0"/>
    <x v="0"/>
    <x v="0"/>
    <x v="1"/>
    <x v="0"/>
    <x v="0"/>
    <x v="0"/>
    <x v="0"/>
    <x v="4"/>
    <x v="17"/>
  </r>
  <r>
    <x v="64"/>
    <x v="48"/>
    <x v="9"/>
    <x v="0"/>
    <x v="16"/>
    <x v="55"/>
    <x v="0"/>
    <x v="1"/>
    <x v="67"/>
    <x v="63"/>
    <x v="33"/>
    <x v="60"/>
    <x v="2"/>
    <x v="2"/>
    <x v="5"/>
    <x v="3"/>
    <x v="1"/>
    <x v="0"/>
    <x v="0"/>
    <x v="0"/>
    <x v="1"/>
    <x v="0"/>
    <x v="0"/>
    <x v="0"/>
    <x v="0"/>
    <x v="4"/>
    <x v="7"/>
  </r>
  <r>
    <x v="65"/>
    <x v="49"/>
    <x v="24"/>
    <x v="0"/>
    <x v="50"/>
    <x v="56"/>
    <x v="0"/>
    <x v="1"/>
    <x v="68"/>
    <x v="64"/>
    <x v="46"/>
    <x v="61"/>
    <x v="2"/>
    <x v="2"/>
    <x v="16"/>
    <x v="3"/>
    <x v="1"/>
    <x v="0"/>
    <x v="0"/>
    <x v="0"/>
    <x v="1"/>
    <x v="0"/>
    <x v="0"/>
    <x v="0"/>
    <x v="0"/>
    <x v="4"/>
    <x v="18"/>
  </r>
  <r>
    <x v="66"/>
    <x v="41"/>
    <x v="25"/>
    <x v="0"/>
    <x v="51"/>
    <x v="57"/>
    <x v="0"/>
    <x v="1"/>
    <x v="69"/>
    <x v="65"/>
    <x v="47"/>
    <x v="62"/>
    <x v="2"/>
    <x v="2"/>
    <x v="5"/>
    <x v="3"/>
    <x v="1"/>
    <x v="0"/>
    <x v="0"/>
    <x v="0"/>
    <x v="1"/>
    <x v="0"/>
    <x v="0"/>
    <x v="1"/>
    <x v="1"/>
    <x v="8"/>
    <x v="19"/>
  </r>
  <r>
    <x v="67"/>
    <x v="48"/>
    <x v="9"/>
    <x v="0"/>
    <x v="52"/>
    <x v="58"/>
    <x v="0"/>
    <x v="1"/>
    <x v="70"/>
    <x v="66"/>
    <x v="48"/>
    <x v="63"/>
    <x v="5"/>
    <x v="2"/>
    <x v="14"/>
    <x v="3"/>
    <x v="1"/>
    <x v="0"/>
    <x v="0"/>
    <x v="0"/>
    <x v="1"/>
    <x v="0"/>
    <x v="0"/>
    <x v="0"/>
    <x v="0"/>
    <x v="4"/>
    <x v="7"/>
  </r>
  <r>
    <x v="68"/>
    <x v="50"/>
    <x v="26"/>
    <x v="0"/>
    <x v="53"/>
    <x v="59"/>
    <x v="0"/>
    <x v="3"/>
    <x v="71"/>
    <x v="67"/>
    <x v="49"/>
    <x v="64"/>
    <x v="3"/>
    <x v="2"/>
    <x v="19"/>
    <x v="3"/>
    <x v="1"/>
    <x v="0"/>
    <x v="0"/>
    <x v="0"/>
    <x v="1"/>
    <x v="0"/>
    <x v="0"/>
    <x v="0"/>
    <x v="0"/>
    <x v="4"/>
    <x v="20"/>
  </r>
  <r>
    <x v="69"/>
    <x v="51"/>
    <x v="27"/>
    <x v="0"/>
    <x v="54"/>
    <x v="60"/>
    <x v="0"/>
    <x v="1"/>
    <x v="72"/>
    <x v="68"/>
    <x v="50"/>
    <x v="65"/>
    <x v="2"/>
    <x v="2"/>
    <x v="20"/>
    <x v="3"/>
    <x v="1"/>
    <x v="0"/>
    <x v="0"/>
    <x v="0"/>
    <x v="1"/>
    <x v="0"/>
    <x v="0"/>
    <x v="1"/>
    <x v="1"/>
    <x v="8"/>
    <x v="0"/>
  </r>
  <r>
    <x v="1"/>
    <x v="52"/>
    <x v="28"/>
    <x v="0"/>
    <x v="55"/>
    <x v="61"/>
    <x v="0"/>
    <x v="1"/>
    <x v="73"/>
    <x v="69"/>
    <x v="51"/>
    <x v="66"/>
    <x v="1"/>
    <x v="2"/>
    <x v="21"/>
    <x v="3"/>
    <x v="1"/>
    <x v="0"/>
    <x v="0"/>
    <x v="0"/>
    <x v="1"/>
    <x v="0"/>
    <x v="0"/>
    <x v="1"/>
    <x v="1"/>
    <x v="8"/>
    <x v="21"/>
  </r>
  <r>
    <x v="70"/>
    <x v="53"/>
    <x v="29"/>
    <x v="0"/>
    <x v="56"/>
    <x v="62"/>
    <x v="0"/>
    <x v="0"/>
    <x v="74"/>
    <x v="70"/>
    <x v="52"/>
    <x v="67"/>
    <x v="2"/>
    <x v="2"/>
    <x v="10"/>
    <x v="3"/>
    <x v="1"/>
    <x v="0"/>
    <x v="0"/>
    <x v="0"/>
    <x v="1"/>
    <x v="0"/>
    <x v="0"/>
    <x v="2"/>
    <x v="1"/>
    <x v="8"/>
    <x v="22"/>
  </r>
  <r>
    <x v="1"/>
    <x v="54"/>
    <x v="30"/>
    <x v="0"/>
    <x v="57"/>
    <x v="63"/>
    <x v="0"/>
    <x v="1"/>
    <x v="75"/>
    <x v="71"/>
    <x v="53"/>
    <x v="68"/>
    <x v="3"/>
    <x v="2"/>
    <x v="19"/>
    <x v="3"/>
    <x v="1"/>
    <x v="0"/>
    <x v="0"/>
    <x v="0"/>
    <x v="1"/>
    <x v="0"/>
    <x v="0"/>
    <x v="1"/>
    <x v="1"/>
    <x v="8"/>
    <x v="1"/>
  </r>
  <r>
    <x v="71"/>
    <x v="55"/>
    <x v="23"/>
    <x v="0"/>
    <x v="24"/>
    <x v="64"/>
    <x v="0"/>
    <x v="7"/>
    <x v="76"/>
    <x v="72"/>
    <x v="54"/>
    <x v="69"/>
    <x v="2"/>
    <x v="2"/>
    <x v="5"/>
    <x v="3"/>
    <x v="1"/>
    <x v="0"/>
    <x v="0"/>
    <x v="0"/>
    <x v="1"/>
    <x v="0"/>
    <x v="0"/>
    <x v="0"/>
    <x v="0"/>
    <x v="4"/>
    <x v="17"/>
  </r>
  <r>
    <x v="72"/>
    <x v="56"/>
    <x v="31"/>
    <x v="0"/>
    <x v="58"/>
    <x v="65"/>
    <x v="0"/>
    <x v="1"/>
    <x v="77"/>
    <x v="73"/>
    <x v="55"/>
    <x v="70"/>
    <x v="0"/>
    <x v="2"/>
    <x v="18"/>
    <x v="3"/>
    <x v="1"/>
    <x v="0"/>
    <x v="0"/>
    <x v="0"/>
    <x v="1"/>
    <x v="0"/>
    <x v="0"/>
    <x v="1"/>
    <x v="1"/>
    <x v="9"/>
    <x v="19"/>
  </r>
  <r>
    <x v="73"/>
    <x v="57"/>
    <x v="29"/>
    <x v="0"/>
    <x v="39"/>
    <x v="66"/>
    <x v="0"/>
    <x v="1"/>
    <x v="78"/>
    <x v="74"/>
    <x v="33"/>
    <x v="71"/>
    <x v="2"/>
    <x v="2"/>
    <x v="17"/>
    <x v="3"/>
    <x v="1"/>
    <x v="0"/>
    <x v="0"/>
    <x v="0"/>
    <x v="1"/>
    <x v="0"/>
    <x v="0"/>
    <x v="1"/>
    <x v="1"/>
    <x v="8"/>
    <x v="22"/>
  </r>
  <r>
    <x v="74"/>
    <x v="57"/>
    <x v="29"/>
    <x v="0"/>
    <x v="39"/>
    <x v="67"/>
    <x v="0"/>
    <x v="1"/>
    <x v="79"/>
    <x v="75"/>
    <x v="56"/>
    <x v="72"/>
    <x v="2"/>
    <x v="2"/>
    <x v="17"/>
    <x v="3"/>
    <x v="1"/>
    <x v="0"/>
    <x v="0"/>
    <x v="0"/>
    <x v="1"/>
    <x v="0"/>
    <x v="0"/>
    <x v="1"/>
    <x v="1"/>
    <x v="8"/>
    <x v="22"/>
  </r>
  <r>
    <x v="75"/>
    <x v="57"/>
    <x v="29"/>
    <x v="0"/>
    <x v="39"/>
    <x v="68"/>
    <x v="0"/>
    <x v="1"/>
    <x v="80"/>
    <x v="76"/>
    <x v="57"/>
    <x v="73"/>
    <x v="2"/>
    <x v="2"/>
    <x v="17"/>
    <x v="3"/>
    <x v="1"/>
    <x v="0"/>
    <x v="0"/>
    <x v="0"/>
    <x v="1"/>
    <x v="0"/>
    <x v="0"/>
    <x v="1"/>
    <x v="1"/>
    <x v="8"/>
    <x v="22"/>
  </r>
  <r>
    <x v="76"/>
    <x v="58"/>
    <x v="32"/>
    <x v="0"/>
    <x v="59"/>
    <x v="69"/>
    <x v="0"/>
    <x v="1"/>
    <x v="81"/>
    <x v="77"/>
    <x v="51"/>
    <x v="74"/>
    <x v="1"/>
    <x v="2"/>
    <x v="1"/>
    <x v="3"/>
    <x v="1"/>
    <x v="0"/>
    <x v="0"/>
    <x v="0"/>
    <x v="1"/>
    <x v="0"/>
    <x v="0"/>
    <x v="1"/>
    <x v="1"/>
    <x v="8"/>
    <x v="23"/>
  </r>
  <r>
    <x v="77"/>
    <x v="59"/>
    <x v="33"/>
    <x v="0"/>
    <x v="60"/>
    <x v="70"/>
    <x v="0"/>
    <x v="1"/>
    <x v="82"/>
    <x v="78"/>
    <x v="51"/>
    <x v="75"/>
    <x v="1"/>
    <x v="2"/>
    <x v="21"/>
    <x v="3"/>
    <x v="1"/>
    <x v="0"/>
    <x v="0"/>
    <x v="0"/>
    <x v="1"/>
    <x v="0"/>
    <x v="0"/>
    <x v="1"/>
    <x v="1"/>
    <x v="8"/>
    <x v="10"/>
  </r>
  <r>
    <x v="78"/>
    <x v="60"/>
    <x v="33"/>
    <x v="0"/>
    <x v="43"/>
    <x v="71"/>
    <x v="0"/>
    <x v="1"/>
    <x v="83"/>
    <x v="79"/>
    <x v="58"/>
    <x v="76"/>
    <x v="0"/>
    <x v="2"/>
    <x v="15"/>
    <x v="3"/>
    <x v="1"/>
    <x v="0"/>
    <x v="0"/>
    <x v="0"/>
    <x v="1"/>
    <x v="0"/>
    <x v="0"/>
    <x v="1"/>
    <x v="1"/>
    <x v="8"/>
    <x v="10"/>
  </r>
  <r>
    <x v="79"/>
    <x v="61"/>
    <x v="33"/>
    <x v="0"/>
    <x v="61"/>
    <x v="72"/>
    <x v="0"/>
    <x v="1"/>
    <x v="84"/>
    <x v="80"/>
    <x v="59"/>
    <x v="77"/>
    <x v="0"/>
    <x v="2"/>
    <x v="15"/>
    <x v="3"/>
    <x v="1"/>
    <x v="0"/>
    <x v="0"/>
    <x v="0"/>
    <x v="1"/>
    <x v="0"/>
    <x v="0"/>
    <x v="1"/>
    <x v="1"/>
    <x v="8"/>
    <x v="10"/>
  </r>
  <r>
    <x v="80"/>
    <x v="62"/>
    <x v="32"/>
    <x v="0"/>
    <x v="62"/>
    <x v="73"/>
    <x v="0"/>
    <x v="1"/>
    <x v="85"/>
    <x v="81"/>
    <x v="60"/>
    <x v="78"/>
    <x v="1"/>
    <x v="2"/>
    <x v="22"/>
    <x v="3"/>
    <x v="1"/>
    <x v="0"/>
    <x v="0"/>
    <x v="0"/>
    <x v="1"/>
    <x v="0"/>
    <x v="0"/>
    <x v="1"/>
    <x v="1"/>
    <x v="8"/>
    <x v="23"/>
  </r>
  <r>
    <x v="81"/>
    <x v="63"/>
    <x v="34"/>
    <x v="0"/>
    <x v="63"/>
    <x v="74"/>
    <x v="0"/>
    <x v="1"/>
    <x v="86"/>
    <x v="82"/>
    <x v="0"/>
    <x v="79"/>
    <x v="2"/>
    <x v="2"/>
    <x v="10"/>
    <x v="3"/>
    <x v="1"/>
    <x v="0"/>
    <x v="0"/>
    <x v="0"/>
    <x v="1"/>
    <x v="0"/>
    <x v="0"/>
    <x v="1"/>
    <x v="1"/>
    <x v="8"/>
    <x v="6"/>
  </r>
  <r>
    <x v="82"/>
    <x v="64"/>
    <x v="33"/>
    <x v="0"/>
    <x v="64"/>
    <x v="75"/>
    <x v="0"/>
    <x v="0"/>
    <x v="87"/>
    <x v="83"/>
    <x v="61"/>
    <x v="80"/>
    <x v="1"/>
    <x v="2"/>
    <x v="22"/>
    <x v="3"/>
    <x v="1"/>
    <x v="0"/>
    <x v="0"/>
    <x v="0"/>
    <x v="1"/>
    <x v="0"/>
    <x v="0"/>
    <x v="2"/>
    <x v="1"/>
    <x v="8"/>
    <x v="10"/>
  </r>
  <r>
    <x v="83"/>
    <x v="65"/>
    <x v="35"/>
    <x v="0"/>
    <x v="65"/>
    <x v="76"/>
    <x v="0"/>
    <x v="0"/>
    <x v="88"/>
    <x v="84"/>
    <x v="62"/>
    <x v="81"/>
    <x v="2"/>
    <x v="2"/>
    <x v="3"/>
    <x v="3"/>
    <x v="1"/>
    <x v="0"/>
    <x v="0"/>
    <x v="0"/>
    <x v="1"/>
    <x v="0"/>
    <x v="0"/>
    <x v="2"/>
    <x v="1"/>
    <x v="8"/>
    <x v="12"/>
  </r>
  <r>
    <x v="84"/>
    <x v="66"/>
    <x v="34"/>
    <x v="0"/>
    <x v="39"/>
    <x v="77"/>
    <x v="0"/>
    <x v="1"/>
    <x v="89"/>
    <x v="85"/>
    <x v="57"/>
    <x v="82"/>
    <x v="2"/>
    <x v="2"/>
    <x v="17"/>
    <x v="3"/>
    <x v="1"/>
    <x v="0"/>
    <x v="0"/>
    <x v="0"/>
    <x v="1"/>
    <x v="0"/>
    <x v="0"/>
    <x v="1"/>
    <x v="1"/>
    <x v="8"/>
    <x v="6"/>
  </r>
  <r>
    <x v="85"/>
    <x v="66"/>
    <x v="34"/>
    <x v="0"/>
    <x v="39"/>
    <x v="78"/>
    <x v="0"/>
    <x v="0"/>
    <x v="90"/>
    <x v="86"/>
    <x v="57"/>
    <x v="83"/>
    <x v="2"/>
    <x v="2"/>
    <x v="17"/>
    <x v="3"/>
    <x v="1"/>
    <x v="0"/>
    <x v="0"/>
    <x v="0"/>
    <x v="1"/>
    <x v="0"/>
    <x v="0"/>
    <x v="2"/>
    <x v="1"/>
    <x v="8"/>
    <x v="6"/>
  </r>
  <r>
    <x v="86"/>
    <x v="64"/>
    <x v="36"/>
    <x v="0"/>
    <x v="66"/>
    <x v="79"/>
    <x v="0"/>
    <x v="1"/>
    <x v="91"/>
    <x v="87"/>
    <x v="63"/>
    <x v="84"/>
    <x v="2"/>
    <x v="2"/>
    <x v="16"/>
    <x v="3"/>
    <x v="1"/>
    <x v="0"/>
    <x v="0"/>
    <x v="0"/>
    <x v="1"/>
    <x v="0"/>
    <x v="0"/>
    <x v="1"/>
    <x v="1"/>
    <x v="8"/>
    <x v="5"/>
  </r>
  <r>
    <x v="87"/>
    <x v="67"/>
    <x v="36"/>
    <x v="0"/>
    <x v="67"/>
    <x v="80"/>
    <x v="0"/>
    <x v="9"/>
    <x v="92"/>
    <x v="88"/>
    <x v="64"/>
    <x v="85"/>
    <x v="3"/>
    <x v="2"/>
    <x v="7"/>
    <x v="3"/>
    <x v="1"/>
    <x v="0"/>
    <x v="0"/>
    <x v="0"/>
    <x v="1"/>
    <x v="0"/>
    <x v="0"/>
    <x v="1"/>
    <x v="1"/>
    <x v="8"/>
    <x v="5"/>
  </r>
  <r>
    <x v="88"/>
    <x v="67"/>
    <x v="36"/>
    <x v="0"/>
    <x v="67"/>
    <x v="81"/>
    <x v="0"/>
    <x v="10"/>
    <x v="93"/>
    <x v="89"/>
    <x v="64"/>
    <x v="86"/>
    <x v="3"/>
    <x v="2"/>
    <x v="7"/>
    <x v="3"/>
    <x v="1"/>
    <x v="0"/>
    <x v="0"/>
    <x v="0"/>
    <x v="1"/>
    <x v="0"/>
    <x v="0"/>
    <x v="3"/>
    <x v="1"/>
    <x v="8"/>
    <x v="5"/>
  </r>
  <r>
    <x v="89"/>
    <x v="54"/>
    <x v="37"/>
    <x v="0"/>
    <x v="68"/>
    <x v="82"/>
    <x v="0"/>
    <x v="11"/>
    <x v="94"/>
    <x v="90"/>
    <x v="65"/>
    <x v="87"/>
    <x v="2"/>
    <x v="2"/>
    <x v="3"/>
    <x v="3"/>
    <x v="1"/>
    <x v="0"/>
    <x v="0"/>
    <x v="0"/>
    <x v="1"/>
    <x v="0"/>
    <x v="0"/>
    <x v="4"/>
    <x v="1"/>
    <x v="8"/>
    <x v="24"/>
  </r>
  <r>
    <x v="90"/>
    <x v="62"/>
    <x v="37"/>
    <x v="0"/>
    <x v="69"/>
    <x v="83"/>
    <x v="0"/>
    <x v="1"/>
    <x v="95"/>
    <x v="91"/>
    <x v="0"/>
    <x v="88"/>
    <x v="2"/>
    <x v="2"/>
    <x v="10"/>
    <x v="3"/>
    <x v="1"/>
    <x v="0"/>
    <x v="0"/>
    <x v="0"/>
    <x v="1"/>
    <x v="0"/>
    <x v="0"/>
    <x v="1"/>
    <x v="1"/>
    <x v="8"/>
    <x v="24"/>
  </r>
  <r>
    <x v="91"/>
    <x v="64"/>
    <x v="38"/>
    <x v="0"/>
    <x v="70"/>
    <x v="84"/>
    <x v="0"/>
    <x v="0"/>
    <x v="96"/>
    <x v="92"/>
    <x v="61"/>
    <x v="89"/>
    <x v="1"/>
    <x v="2"/>
    <x v="22"/>
    <x v="3"/>
    <x v="1"/>
    <x v="0"/>
    <x v="0"/>
    <x v="0"/>
    <x v="1"/>
    <x v="0"/>
    <x v="0"/>
    <x v="2"/>
    <x v="1"/>
    <x v="8"/>
    <x v="15"/>
  </r>
  <r>
    <x v="92"/>
    <x v="68"/>
    <x v="38"/>
    <x v="0"/>
    <x v="71"/>
    <x v="85"/>
    <x v="0"/>
    <x v="12"/>
    <x v="97"/>
    <x v="93"/>
    <x v="0"/>
    <x v="90"/>
    <x v="2"/>
    <x v="2"/>
    <x v="4"/>
    <x v="2"/>
    <x v="0"/>
    <x v="0"/>
    <x v="0"/>
    <x v="0"/>
    <x v="1"/>
    <x v="0"/>
    <x v="0"/>
    <x v="2"/>
    <x v="1"/>
    <x v="8"/>
    <x v="15"/>
  </r>
  <r>
    <x v="1"/>
    <x v="69"/>
    <x v="39"/>
    <x v="0"/>
    <x v="72"/>
    <x v="86"/>
    <x v="0"/>
    <x v="13"/>
    <x v="98"/>
    <x v="94"/>
    <x v="66"/>
    <x v="91"/>
    <x v="3"/>
    <x v="2"/>
    <x v="19"/>
    <x v="3"/>
    <x v="1"/>
    <x v="0"/>
    <x v="0"/>
    <x v="0"/>
    <x v="1"/>
    <x v="0"/>
    <x v="0"/>
    <x v="3"/>
    <x v="1"/>
    <x v="8"/>
    <x v="18"/>
  </r>
  <r>
    <x v="93"/>
    <x v="70"/>
    <x v="40"/>
    <x v="0"/>
    <x v="30"/>
    <x v="87"/>
    <x v="0"/>
    <x v="14"/>
    <x v="99"/>
    <x v="95"/>
    <x v="67"/>
    <x v="92"/>
    <x v="5"/>
    <x v="2"/>
    <x v="14"/>
    <x v="3"/>
    <x v="1"/>
    <x v="0"/>
    <x v="0"/>
    <x v="0"/>
    <x v="1"/>
    <x v="0"/>
    <x v="0"/>
    <x v="5"/>
    <x v="1"/>
    <x v="8"/>
    <x v="8"/>
  </r>
  <r>
    <x v="94"/>
    <x v="71"/>
    <x v="40"/>
    <x v="0"/>
    <x v="73"/>
    <x v="88"/>
    <x v="0"/>
    <x v="15"/>
    <x v="100"/>
    <x v="96"/>
    <x v="68"/>
    <x v="93"/>
    <x v="2"/>
    <x v="2"/>
    <x v="23"/>
    <x v="3"/>
    <x v="1"/>
    <x v="0"/>
    <x v="0"/>
    <x v="0"/>
    <x v="1"/>
    <x v="0"/>
    <x v="0"/>
    <x v="4"/>
    <x v="1"/>
    <x v="8"/>
    <x v="8"/>
  </r>
  <r>
    <x v="95"/>
    <x v="62"/>
    <x v="40"/>
    <x v="0"/>
    <x v="74"/>
    <x v="89"/>
    <x v="0"/>
    <x v="15"/>
    <x v="101"/>
    <x v="97"/>
    <x v="69"/>
    <x v="94"/>
    <x v="2"/>
    <x v="2"/>
    <x v="23"/>
    <x v="3"/>
    <x v="1"/>
    <x v="0"/>
    <x v="0"/>
    <x v="0"/>
    <x v="1"/>
    <x v="0"/>
    <x v="0"/>
    <x v="4"/>
    <x v="1"/>
    <x v="8"/>
    <x v="8"/>
  </r>
  <r>
    <x v="96"/>
    <x v="72"/>
    <x v="40"/>
    <x v="0"/>
    <x v="75"/>
    <x v="90"/>
    <x v="0"/>
    <x v="16"/>
    <x v="102"/>
    <x v="98"/>
    <x v="70"/>
    <x v="95"/>
    <x v="2"/>
    <x v="2"/>
    <x v="23"/>
    <x v="3"/>
    <x v="1"/>
    <x v="0"/>
    <x v="0"/>
    <x v="0"/>
    <x v="1"/>
    <x v="0"/>
    <x v="0"/>
    <x v="1"/>
    <x v="1"/>
    <x v="8"/>
    <x v="8"/>
  </r>
  <r>
    <x v="97"/>
    <x v="68"/>
    <x v="41"/>
    <x v="0"/>
    <x v="76"/>
    <x v="91"/>
    <x v="0"/>
    <x v="1"/>
    <x v="103"/>
    <x v="99"/>
    <x v="70"/>
    <x v="96"/>
    <x v="2"/>
    <x v="2"/>
    <x v="23"/>
    <x v="3"/>
    <x v="1"/>
    <x v="0"/>
    <x v="0"/>
    <x v="0"/>
    <x v="1"/>
    <x v="0"/>
    <x v="0"/>
    <x v="1"/>
    <x v="1"/>
    <x v="9"/>
    <x v="11"/>
  </r>
  <r>
    <x v="98"/>
    <x v="73"/>
    <x v="42"/>
    <x v="0"/>
    <x v="77"/>
    <x v="92"/>
    <x v="0"/>
    <x v="17"/>
    <x v="104"/>
    <x v="100"/>
    <x v="71"/>
    <x v="97"/>
    <x v="0"/>
    <x v="2"/>
    <x v="18"/>
    <x v="3"/>
    <x v="1"/>
    <x v="0"/>
    <x v="0"/>
    <x v="0"/>
    <x v="1"/>
    <x v="0"/>
    <x v="0"/>
    <x v="3"/>
    <x v="1"/>
    <x v="8"/>
    <x v="3"/>
  </r>
  <r>
    <x v="99"/>
    <x v="66"/>
    <x v="42"/>
    <x v="0"/>
    <x v="78"/>
    <x v="93"/>
    <x v="0"/>
    <x v="18"/>
    <x v="105"/>
    <x v="101"/>
    <x v="72"/>
    <x v="98"/>
    <x v="0"/>
    <x v="2"/>
    <x v="18"/>
    <x v="3"/>
    <x v="1"/>
    <x v="0"/>
    <x v="0"/>
    <x v="0"/>
    <x v="1"/>
    <x v="0"/>
    <x v="0"/>
    <x v="3"/>
    <x v="1"/>
    <x v="8"/>
    <x v="3"/>
  </r>
  <r>
    <x v="100"/>
    <x v="14"/>
    <x v="42"/>
    <x v="0"/>
    <x v="79"/>
    <x v="94"/>
    <x v="0"/>
    <x v="1"/>
    <x v="106"/>
    <x v="102"/>
    <x v="7"/>
    <x v="99"/>
    <x v="2"/>
    <x v="2"/>
    <x v="3"/>
    <x v="3"/>
    <x v="1"/>
    <x v="0"/>
    <x v="0"/>
    <x v="0"/>
    <x v="1"/>
    <x v="0"/>
    <x v="0"/>
    <x v="1"/>
    <x v="1"/>
    <x v="8"/>
    <x v="3"/>
  </r>
  <r>
    <x v="101"/>
    <x v="74"/>
    <x v="42"/>
    <x v="0"/>
    <x v="39"/>
    <x v="95"/>
    <x v="0"/>
    <x v="1"/>
    <x v="107"/>
    <x v="103"/>
    <x v="73"/>
    <x v="100"/>
    <x v="2"/>
    <x v="2"/>
    <x v="17"/>
    <x v="3"/>
    <x v="1"/>
    <x v="0"/>
    <x v="0"/>
    <x v="0"/>
    <x v="1"/>
    <x v="0"/>
    <x v="0"/>
    <x v="1"/>
    <x v="1"/>
    <x v="8"/>
    <x v="3"/>
  </r>
  <r>
    <x v="102"/>
    <x v="74"/>
    <x v="42"/>
    <x v="0"/>
    <x v="39"/>
    <x v="96"/>
    <x v="0"/>
    <x v="1"/>
    <x v="108"/>
    <x v="104"/>
    <x v="73"/>
    <x v="101"/>
    <x v="2"/>
    <x v="2"/>
    <x v="17"/>
    <x v="3"/>
    <x v="1"/>
    <x v="0"/>
    <x v="0"/>
    <x v="0"/>
    <x v="1"/>
    <x v="0"/>
    <x v="0"/>
    <x v="1"/>
    <x v="1"/>
    <x v="8"/>
    <x v="3"/>
  </r>
  <r>
    <x v="103"/>
    <x v="75"/>
    <x v="43"/>
    <x v="0"/>
    <x v="80"/>
    <x v="97"/>
    <x v="0"/>
    <x v="19"/>
    <x v="109"/>
    <x v="105"/>
    <x v="74"/>
    <x v="102"/>
    <x v="2"/>
    <x v="3"/>
    <x v="4"/>
    <x v="2"/>
    <x v="0"/>
    <x v="0"/>
    <x v="0"/>
    <x v="0"/>
    <x v="1"/>
    <x v="0"/>
    <x v="0"/>
    <x v="6"/>
    <x v="1"/>
    <x v="8"/>
    <x v="20"/>
  </r>
  <r>
    <x v="104"/>
    <x v="69"/>
    <x v="44"/>
    <x v="0"/>
    <x v="81"/>
    <x v="98"/>
    <x v="0"/>
    <x v="15"/>
    <x v="110"/>
    <x v="106"/>
    <x v="70"/>
    <x v="103"/>
    <x v="2"/>
    <x v="2"/>
    <x v="4"/>
    <x v="2"/>
    <x v="0"/>
    <x v="0"/>
    <x v="0"/>
    <x v="0"/>
    <x v="1"/>
    <x v="0"/>
    <x v="0"/>
    <x v="4"/>
    <x v="1"/>
    <x v="9"/>
    <x v="13"/>
  </r>
  <r>
    <x v="105"/>
    <x v="76"/>
    <x v="43"/>
    <x v="0"/>
    <x v="78"/>
    <x v="99"/>
    <x v="0"/>
    <x v="20"/>
    <x v="111"/>
    <x v="107"/>
    <x v="75"/>
    <x v="104"/>
    <x v="0"/>
    <x v="2"/>
    <x v="12"/>
    <x v="3"/>
    <x v="1"/>
    <x v="0"/>
    <x v="0"/>
    <x v="0"/>
    <x v="1"/>
    <x v="0"/>
    <x v="0"/>
    <x v="4"/>
    <x v="1"/>
    <x v="8"/>
    <x v="20"/>
  </r>
  <r>
    <x v="106"/>
    <x v="76"/>
    <x v="43"/>
    <x v="0"/>
    <x v="82"/>
    <x v="100"/>
    <x v="0"/>
    <x v="21"/>
    <x v="112"/>
    <x v="108"/>
    <x v="75"/>
    <x v="105"/>
    <x v="0"/>
    <x v="2"/>
    <x v="12"/>
    <x v="3"/>
    <x v="1"/>
    <x v="0"/>
    <x v="0"/>
    <x v="0"/>
    <x v="1"/>
    <x v="0"/>
    <x v="0"/>
    <x v="4"/>
    <x v="1"/>
    <x v="8"/>
    <x v="20"/>
  </r>
  <r>
    <x v="107"/>
    <x v="77"/>
    <x v="45"/>
    <x v="0"/>
    <x v="83"/>
    <x v="101"/>
    <x v="0"/>
    <x v="22"/>
    <x v="113"/>
    <x v="109"/>
    <x v="76"/>
    <x v="106"/>
    <x v="0"/>
    <x v="2"/>
    <x v="15"/>
    <x v="3"/>
    <x v="1"/>
    <x v="0"/>
    <x v="0"/>
    <x v="0"/>
    <x v="1"/>
    <x v="0"/>
    <x v="0"/>
    <x v="4"/>
    <x v="1"/>
    <x v="9"/>
    <x v="25"/>
  </r>
  <r>
    <x v="108"/>
    <x v="78"/>
    <x v="45"/>
    <x v="0"/>
    <x v="84"/>
    <x v="102"/>
    <x v="0"/>
    <x v="21"/>
    <x v="114"/>
    <x v="110"/>
    <x v="76"/>
    <x v="107"/>
    <x v="0"/>
    <x v="2"/>
    <x v="15"/>
    <x v="3"/>
    <x v="1"/>
    <x v="0"/>
    <x v="0"/>
    <x v="0"/>
    <x v="1"/>
    <x v="0"/>
    <x v="0"/>
    <x v="4"/>
    <x v="1"/>
    <x v="9"/>
    <x v="25"/>
  </r>
  <r>
    <x v="109"/>
    <x v="79"/>
    <x v="45"/>
    <x v="0"/>
    <x v="85"/>
    <x v="103"/>
    <x v="0"/>
    <x v="20"/>
    <x v="115"/>
    <x v="111"/>
    <x v="0"/>
    <x v="108"/>
    <x v="2"/>
    <x v="2"/>
    <x v="10"/>
    <x v="3"/>
    <x v="1"/>
    <x v="0"/>
    <x v="0"/>
    <x v="0"/>
    <x v="1"/>
    <x v="0"/>
    <x v="0"/>
    <x v="4"/>
    <x v="1"/>
    <x v="9"/>
    <x v="25"/>
  </r>
  <r>
    <x v="110"/>
    <x v="80"/>
    <x v="45"/>
    <x v="0"/>
    <x v="86"/>
    <x v="104"/>
    <x v="0"/>
    <x v="20"/>
    <x v="116"/>
    <x v="112"/>
    <x v="77"/>
    <x v="109"/>
    <x v="2"/>
    <x v="2"/>
    <x v="10"/>
    <x v="3"/>
    <x v="1"/>
    <x v="0"/>
    <x v="0"/>
    <x v="0"/>
    <x v="1"/>
    <x v="0"/>
    <x v="0"/>
    <x v="4"/>
    <x v="1"/>
    <x v="9"/>
    <x v="25"/>
  </r>
  <r>
    <x v="111"/>
    <x v="45"/>
    <x v="45"/>
    <x v="0"/>
    <x v="87"/>
    <x v="105"/>
    <x v="0"/>
    <x v="20"/>
    <x v="117"/>
    <x v="113"/>
    <x v="78"/>
    <x v="110"/>
    <x v="2"/>
    <x v="2"/>
    <x v="10"/>
    <x v="3"/>
    <x v="1"/>
    <x v="0"/>
    <x v="0"/>
    <x v="0"/>
    <x v="1"/>
    <x v="0"/>
    <x v="0"/>
    <x v="4"/>
    <x v="1"/>
    <x v="9"/>
    <x v="25"/>
  </r>
  <r>
    <x v="112"/>
    <x v="81"/>
    <x v="45"/>
    <x v="0"/>
    <x v="88"/>
    <x v="106"/>
    <x v="0"/>
    <x v="20"/>
    <x v="118"/>
    <x v="114"/>
    <x v="79"/>
    <x v="111"/>
    <x v="2"/>
    <x v="2"/>
    <x v="10"/>
    <x v="3"/>
    <x v="1"/>
    <x v="0"/>
    <x v="0"/>
    <x v="0"/>
    <x v="1"/>
    <x v="0"/>
    <x v="0"/>
    <x v="4"/>
    <x v="1"/>
    <x v="9"/>
    <x v="25"/>
  </r>
  <r>
    <x v="113"/>
    <x v="80"/>
    <x v="45"/>
    <x v="0"/>
    <x v="89"/>
    <x v="107"/>
    <x v="0"/>
    <x v="23"/>
    <x v="119"/>
    <x v="115"/>
    <x v="0"/>
    <x v="112"/>
    <x v="2"/>
    <x v="2"/>
    <x v="10"/>
    <x v="3"/>
    <x v="1"/>
    <x v="0"/>
    <x v="0"/>
    <x v="0"/>
    <x v="1"/>
    <x v="0"/>
    <x v="0"/>
    <x v="7"/>
    <x v="1"/>
    <x v="9"/>
    <x v="25"/>
  </r>
  <r>
    <x v="114"/>
    <x v="67"/>
    <x v="45"/>
    <x v="0"/>
    <x v="90"/>
    <x v="108"/>
    <x v="0"/>
    <x v="20"/>
    <x v="120"/>
    <x v="116"/>
    <x v="0"/>
    <x v="113"/>
    <x v="2"/>
    <x v="2"/>
    <x v="10"/>
    <x v="3"/>
    <x v="1"/>
    <x v="0"/>
    <x v="0"/>
    <x v="0"/>
    <x v="1"/>
    <x v="0"/>
    <x v="0"/>
    <x v="4"/>
    <x v="1"/>
    <x v="9"/>
    <x v="25"/>
  </r>
  <r>
    <x v="115"/>
    <x v="82"/>
    <x v="45"/>
    <x v="0"/>
    <x v="91"/>
    <x v="109"/>
    <x v="0"/>
    <x v="20"/>
    <x v="121"/>
    <x v="117"/>
    <x v="0"/>
    <x v="114"/>
    <x v="2"/>
    <x v="2"/>
    <x v="10"/>
    <x v="3"/>
    <x v="1"/>
    <x v="0"/>
    <x v="0"/>
    <x v="0"/>
    <x v="1"/>
    <x v="0"/>
    <x v="0"/>
    <x v="4"/>
    <x v="1"/>
    <x v="9"/>
    <x v="25"/>
  </r>
  <r>
    <x v="116"/>
    <x v="83"/>
    <x v="45"/>
    <x v="0"/>
    <x v="92"/>
    <x v="110"/>
    <x v="0"/>
    <x v="24"/>
    <x v="122"/>
    <x v="118"/>
    <x v="77"/>
    <x v="115"/>
    <x v="1"/>
    <x v="2"/>
    <x v="24"/>
    <x v="3"/>
    <x v="1"/>
    <x v="0"/>
    <x v="0"/>
    <x v="0"/>
    <x v="1"/>
    <x v="0"/>
    <x v="0"/>
    <x v="1"/>
    <x v="1"/>
    <x v="9"/>
    <x v="25"/>
  </r>
  <r>
    <x v="1"/>
    <x v="69"/>
    <x v="45"/>
    <x v="0"/>
    <x v="93"/>
    <x v="111"/>
    <x v="0"/>
    <x v="20"/>
    <x v="123"/>
    <x v="119"/>
    <x v="80"/>
    <x v="116"/>
    <x v="1"/>
    <x v="2"/>
    <x v="11"/>
    <x v="3"/>
    <x v="1"/>
    <x v="0"/>
    <x v="0"/>
    <x v="0"/>
    <x v="1"/>
    <x v="0"/>
    <x v="0"/>
    <x v="4"/>
    <x v="1"/>
    <x v="9"/>
    <x v="25"/>
  </r>
  <r>
    <x v="117"/>
    <x v="84"/>
    <x v="44"/>
    <x v="0"/>
    <x v="94"/>
    <x v="112"/>
    <x v="0"/>
    <x v="15"/>
    <x v="124"/>
    <x v="120"/>
    <x v="51"/>
    <x v="117"/>
    <x v="2"/>
    <x v="2"/>
    <x v="4"/>
    <x v="2"/>
    <x v="0"/>
    <x v="0"/>
    <x v="0"/>
    <x v="0"/>
    <x v="1"/>
    <x v="0"/>
    <x v="0"/>
    <x v="4"/>
    <x v="1"/>
    <x v="9"/>
    <x v="13"/>
  </r>
  <r>
    <x v="118"/>
    <x v="84"/>
    <x v="44"/>
    <x v="0"/>
    <x v="95"/>
    <x v="113"/>
    <x v="0"/>
    <x v="15"/>
    <x v="125"/>
    <x v="121"/>
    <x v="51"/>
    <x v="118"/>
    <x v="2"/>
    <x v="2"/>
    <x v="4"/>
    <x v="2"/>
    <x v="0"/>
    <x v="0"/>
    <x v="0"/>
    <x v="0"/>
    <x v="1"/>
    <x v="0"/>
    <x v="0"/>
    <x v="4"/>
    <x v="1"/>
    <x v="9"/>
    <x v="13"/>
  </r>
  <r>
    <x v="119"/>
    <x v="85"/>
    <x v="44"/>
    <x v="0"/>
    <x v="32"/>
    <x v="114"/>
    <x v="0"/>
    <x v="15"/>
    <x v="126"/>
    <x v="122"/>
    <x v="81"/>
    <x v="119"/>
    <x v="0"/>
    <x v="2"/>
    <x v="8"/>
    <x v="3"/>
    <x v="1"/>
    <x v="0"/>
    <x v="0"/>
    <x v="0"/>
    <x v="1"/>
    <x v="0"/>
    <x v="0"/>
    <x v="4"/>
    <x v="1"/>
    <x v="9"/>
    <x v="13"/>
  </r>
  <r>
    <x v="120"/>
    <x v="72"/>
    <x v="45"/>
    <x v="0"/>
    <x v="32"/>
    <x v="115"/>
    <x v="0"/>
    <x v="15"/>
    <x v="127"/>
    <x v="123"/>
    <x v="82"/>
    <x v="120"/>
    <x v="0"/>
    <x v="2"/>
    <x v="12"/>
    <x v="3"/>
    <x v="1"/>
    <x v="0"/>
    <x v="0"/>
    <x v="0"/>
    <x v="1"/>
    <x v="0"/>
    <x v="0"/>
    <x v="4"/>
    <x v="1"/>
    <x v="9"/>
    <x v="25"/>
  </r>
  <r>
    <x v="121"/>
    <x v="55"/>
    <x v="45"/>
    <x v="0"/>
    <x v="96"/>
    <x v="116"/>
    <x v="0"/>
    <x v="25"/>
    <x v="128"/>
    <x v="124"/>
    <x v="83"/>
    <x v="121"/>
    <x v="0"/>
    <x v="2"/>
    <x v="12"/>
    <x v="3"/>
    <x v="1"/>
    <x v="0"/>
    <x v="0"/>
    <x v="0"/>
    <x v="1"/>
    <x v="0"/>
    <x v="0"/>
    <x v="4"/>
    <x v="1"/>
    <x v="9"/>
    <x v="25"/>
  </r>
  <r>
    <x v="122"/>
    <x v="80"/>
    <x v="46"/>
    <x v="0"/>
    <x v="97"/>
    <x v="117"/>
    <x v="0"/>
    <x v="15"/>
    <x v="129"/>
    <x v="125"/>
    <x v="0"/>
    <x v="122"/>
    <x v="2"/>
    <x v="2"/>
    <x v="4"/>
    <x v="2"/>
    <x v="0"/>
    <x v="0"/>
    <x v="0"/>
    <x v="0"/>
    <x v="1"/>
    <x v="0"/>
    <x v="0"/>
    <x v="4"/>
    <x v="1"/>
    <x v="9"/>
    <x v="0"/>
  </r>
  <r>
    <x v="123"/>
    <x v="86"/>
    <x v="46"/>
    <x v="0"/>
    <x v="98"/>
    <x v="118"/>
    <x v="0"/>
    <x v="15"/>
    <x v="130"/>
    <x v="126"/>
    <x v="0"/>
    <x v="123"/>
    <x v="2"/>
    <x v="2"/>
    <x v="4"/>
    <x v="2"/>
    <x v="0"/>
    <x v="0"/>
    <x v="0"/>
    <x v="0"/>
    <x v="1"/>
    <x v="0"/>
    <x v="0"/>
    <x v="4"/>
    <x v="1"/>
    <x v="9"/>
    <x v="0"/>
  </r>
  <r>
    <x v="124"/>
    <x v="87"/>
    <x v="47"/>
    <x v="0"/>
    <x v="99"/>
    <x v="119"/>
    <x v="0"/>
    <x v="1"/>
    <x v="131"/>
    <x v="127"/>
    <x v="84"/>
    <x v="124"/>
    <x v="1"/>
    <x v="2"/>
    <x v="22"/>
    <x v="3"/>
    <x v="1"/>
    <x v="0"/>
    <x v="0"/>
    <x v="0"/>
    <x v="1"/>
    <x v="0"/>
    <x v="0"/>
    <x v="1"/>
    <x v="1"/>
    <x v="9"/>
    <x v="26"/>
  </r>
  <r>
    <x v="125"/>
    <x v="88"/>
    <x v="47"/>
    <x v="0"/>
    <x v="100"/>
    <x v="120"/>
    <x v="0"/>
    <x v="1"/>
    <x v="132"/>
    <x v="128"/>
    <x v="61"/>
    <x v="125"/>
    <x v="1"/>
    <x v="2"/>
    <x v="22"/>
    <x v="3"/>
    <x v="1"/>
    <x v="0"/>
    <x v="0"/>
    <x v="0"/>
    <x v="1"/>
    <x v="0"/>
    <x v="0"/>
    <x v="1"/>
    <x v="1"/>
    <x v="9"/>
    <x v="26"/>
  </r>
  <r>
    <x v="126"/>
    <x v="89"/>
    <x v="47"/>
    <x v="0"/>
    <x v="101"/>
    <x v="121"/>
    <x v="0"/>
    <x v="1"/>
    <x v="133"/>
    <x v="129"/>
    <x v="73"/>
    <x v="126"/>
    <x v="2"/>
    <x v="2"/>
    <x v="16"/>
    <x v="3"/>
    <x v="1"/>
    <x v="0"/>
    <x v="0"/>
    <x v="0"/>
    <x v="1"/>
    <x v="0"/>
    <x v="0"/>
    <x v="1"/>
    <x v="1"/>
    <x v="9"/>
    <x v="26"/>
  </r>
  <r>
    <x v="127"/>
    <x v="83"/>
    <x v="47"/>
    <x v="0"/>
    <x v="102"/>
    <x v="122"/>
    <x v="0"/>
    <x v="1"/>
    <x v="134"/>
    <x v="130"/>
    <x v="70"/>
    <x v="127"/>
    <x v="2"/>
    <x v="2"/>
    <x v="16"/>
    <x v="3"/>
    <x v="1"/>
    <x v="0"/>
    <x v="0"/>
    <x v="0"/>
    <x v="1"/>
    <x v="0"/>
    <x v="0"/>
    <x v="1"/>
    <x v="1"/>
    <x v="9"/>
    <x v="26"/>
  </r>
  <r>
    <x v="128"/>
    <x v="62"/>
    <x v="48"/>
    <x v="0"/>
    <x v="103"/>
    <x v="123"/>
    <x v="0"/>
    <x v="26"/>
    <x v="135"/>
    <x v="131"/>
    <x v="65"/>
    <x v="128"/>
    <x v="2"/>
    <x v="2"/>
    <x v="3"/>
    <x v="3"/>
    <x v="1"/>
    <x v="0"/>
    <x v="0"/>
    <x v="0"/>
    <x v="1"/>
    <x v="0"/>
    <x v="0"/>
    <x v="4"/>
    <x v="1"/>
    <x v="9"/>
    <x v="1"/>
  </r>
  <r>
    <x v="129"/>
    <x v="90"/>
    <x v="48"/>
    <x v="0"/>
    <x v="104"/>
    <x v="124"/>
    <x v="0"/>
    <x v="21"/>
    <x v="136"/>
    <x v="132"/>
    <x v="85"/>
    <x v="129"/>
    <x v="0"/>
    <x v="2"/>
    <x v="12"/>
    <x v="3"/>
    <x v="1"/>
    <x v="0"/>
    <x v="0"/>
    <x v="0"/>
    <x v="1"/>
    <x v="0"/>
    <x v="0"/>
    <x v="4"/>
    <x v="1"/>
    <x v="9"/>
    <x v="1"/>
  </r>
  <r>
    <x v="130"/>
    <x v="90"/>
    <x v="48"/>
    <x v="0"/>
    <x v="32"/>
    <x v="125"/>
    <x v="0"/>
    <x v="21"/>
    <x v="137"/>
    <x v="133"/>
    <x v="86"/>
    <x v="130"/>
    <x v="0"/>
    <x v="2"/>
    <x v="12"/>
    <x v="3"/>
    <x v="1"/>
    <x v="0"/>
    <x v="0"/>
    <x v="0"/>
    <x v="1"/>
    <x v="0"/>
    <x v="0"/>
    <x v="4"/>
    <x v="1"/>
    <x v="9"/>
    <x v="1"/>
  </r>
  <r>
    <x v="131"/>
    <x v="71"/>
    <x v="48"/>
    <x v="0"/>
    <x v="105"/>
    <x v="126"/>
    <x v="0"/>
    <x v="16"/>
    <x v="138"/>
    <x v="134"/>
    <x v="87"/>
    <x v="131"/>
    <x v="0"/>
    <x v="2"/>
    <x v="15"/>
    <x v="3"/>
    <x v="1"/>
    <x v="0"/>
    <x v="0"/>
    <x v="0"/>
    <x v="1"/>
    <x v="0"/>
    <x v="0"/>
    <x v="1"/>
    <x v="1"/>
    <x v="9"/>
    <x v="1"/>
  </r>
  <r>
    <x v="132"/>
    <x v="91"/>
    <x v="41"/>
    <x v="0"/>
    <x v="106"/>
    <x v="127"/>
    <x v="0"/>
    <x v="16"/>
    <x v="139"/>
    <x v="135"/>
    <x v="0"/>
    <x v="132"/>
    <x v="2"/>
    <x v="2"/>
    <x v="10"/>
    <x v="3"/>
    <x v="1"/>
    <x v="0"/>
    <x v="0"/>
    <x v="0"/>
    <x v="1"/>
    <x v="0"/>
    <x v="0"/>
    <x v="1"/>
    <x v="1"/>
    <x v="9"/>
    <x v="11"/>
  </r>
  <r>
    <x v="133"/>
    <x v="92"/>
    <x v="41"/>
    <x v="0"/>
    <x v="107"/>
    <x v="128"/>
    <x v="0"/>
    <x v="16"/>
    <x v="140"/>
    <x v="136"/>
    <x v="0"/>
    <x v="133"/>
    <x v="2"/>
    <x v="2"/>
    <x v="10"/>
    <x v="3"/>
    <x v="1"/>
    <x v="0"/>
    <x v="0"/>
    <x v="0"/>
    <x v="1"/>
    <x v="0"/>
    <x v="0"/>
    <x v="1"/>
    <x v="1"/>
    <x v="9"/>
    <x v="11"/>
  </r>
  <r>
    <x v="134"/>
    <x v="78"/>
    <x v="48"/>
    <x v="0"/>
    <x v="105"/>
    <x v="129"/>
    <x v="0"/>
    <x v="21"/>
    <x v="141"/>
    <x v="137"/>
    <x v="76"/>
    <x v="134"/>
    <x v="0"/>
    <x v="2"/>
    <x v="15"/>
    <x v="3"/>
    <x v="1"/>
    <x v="0"/>
    <x v="0"/>
    <x v="0"/>
    <x v="1"/>
    <x v="0"/>
    <x v="0"/>
    <x v="4"/>
    <x v="1"/>
    <x v="9"/>
    <x v="1"/>
  </r>
  <r>
    <x v="135"/>
    <x v="93"/>
    <x v="48"/>
    <x v="0"/>
    <x v="105"/>
    <x v="130"/>
    <x v="0"/>
    <x v="21"/>
    <x v="142"/>
    <x v="134"/>
    <x v="75"/>
    <x v="134"/>
    <x v="0"/>
    <x v="2"/>
    <x v="15"/>
    <x v="3"/>
    <x v="1"/>
    <x v="0"/>
    <x v="0"/>
    <x v="0"/>
    <x v="1"/>
    <x v="0"/>
    <x v="0"/>
    <x v="4"/>
    <x v="1"/>
    <x v="9"/>
    <x v="1"/>
  </r>
  <r>
    <x v="97"/>
    <x v="94"/>
    <x v="41"/>
    <x v="0"/>
    <x v="108"/>
    <x v="131"/>
    <x v="0"/>
    <x v="1"/>
    <x v="143"/>
    <x v="138"/>
    <x v="73"/>
    <x v="135"/>
    <x v="2"/>
    <x v="2"/>
    <x v="23"/>
    <x v="3"/>
    <x v="1"/>
    <x v="0"/>
    <x v="0"/>
    <x v="0"/>
    <x v="1"/>
    <x v="0"/>
    <x v="0"/>
    <x v="1"/>
    <x v="1"/>
    <x v="9"/>
    <x v="11"/>
  </r>
  <r>
    <x v="136"/>
    <x v="89"/>
    <x v="40"/>
    <x v="0"/>
    <x v="109"/>
    <x v="132"/>
    <x v="0"/>
    <x v="27"/>
    <x v="144"/>
    <x v="139"/>
    <x v="0"/>
    <x v="136"/>
    <x v="2"/>
    <x v="2"/>
    <x v="23"/>
    <x v="3"/>
    <x v="1"/>
    <x v="0"/>
    <x v="0"/>
    <x v="0"/>
    <x v="1"/>
    <x v="0"/>
    <x v="0"/>
    <x v="2"/>
    <x v="1"/>
    <x v="8"/>
    <x v="8"/>
  </r>
  <r>
    <x v="137"/>
    <x v="89"/>
    <x v="41"/>
    <x v="0"/>
    <x v="110"/>
    <x v="133"/>
    <x v="0"/>
    <x v="15"/>
    <x v="145"/>
    <x v="140"/>
    <x v="0"/>
    <x v="137"/>
    <x v="2"/>
    <x v="2"/>
    <x v="20"/>
    <x v="3"/>
    <x v="1"/>
    <x v="0"/>
    <x v="0"/>
    <x v="0"/>
    <x v="1"/>
    <x v="0"/>
    <x v="0"/>
    <x v="4"/>
    <x v="1"/>
    <x v="9"/>
    <x v="11"/>
  </r>
  <r>
    <x v="138"/>
    <x v="87"/>
    <x v="41"/>
    <x v="0"/>
    <x v="17"/>
    <x v="134"/>
    <x v="0"/>
    <x v="1"/>
    <x v="146"/>
    <x v="141"/>
    <x v="88"/>
    <x v="138"/>
    <x v="2"/>
    <x v="2"/>
    <x v="17"/>
    <x v="3"/>
    <x v="1"/>
    <x v="0"/>
    <x v="0"/>
    <x v="0"/>
    <x v="1"/>
    <x v="0"/>
    <x v="0"/>
    <x v="1"/>
    <x v="1"/>
    <x v="9"/>
    <x v="11"/>
  </r>
  <r>
    <x v="139"/>
    <x v="87"/>
    <x v="41"/>
    <x v="0"/>
    <x v="17"/>
    <x v="135"/>
    <x v="0"/>
    <x v="1"/>
    <x v="147"/>
    <x v="142"/>
    <x v="73"/>
    <x v="139"/>
    <x v="2"/>
    <x v="2"/>
    <x v="17"/>
    <x v="3"/>
    <x v="1"/>
    <x v="0"/>
    <x v="0"/>
    <x v="0"/>
    <x v="1"/>
    <x v="0"/>
    <x v="0"/>
    <x v="1"/>
    <x v="1"/>
    <x v="9"/>
    <x v="11"/>
  </r>
  <r>
    <x v="140"/>
    <x v="78"/>
    <x v="41"/>
    <x v="0"/>
    <x v="111"/>
    <x v="136"/>
    <x v="0"/>
    <x v="28"/>
    <x v="148"/>
    <x v="143"/>
    <x v="64"/>
    <x v="140"/>
    <x v="3"/>
    <x v="2"/>
    <x v="7"/>
    <x v="3"/>
    <x v="1"/>
    <x v="0"/>
    <x v="0"/>
    <x v="0"/>
    <x v="1"/>
    <x v="0"/>
    <x v="0"/>
    <x v="1"/>
    <x v="1"/>
    <x v="9"/>
    <x v="11"/>
  </r>
  <r>
    <x v="141"/>
    <x v="74"/>
    <x v="41"/>
    <x v="0"/>
    <x v="111"/>
    <x v="137"/>
    <x v="0"/>
    <x v="28"/>
    <x v="149"/>
    <x v="144"/>
    <x v="64"/>
    <x v="141"/>
    <x v="3"/>
    <x v="2"/>
    <x v="7"/>
    <x v="3"/>
    <x v="1"/>
    <x v="0"/>
    <x v="0"/>
    <x v="0"/>
    <x v="1"/>
    <x v="0"/>
    <x v="0"/>
    <x v="1"/>
    <x v="1"/>
    <x v="9"/>
    <x v="11"/>
  </r>
  <r>
    <x v="142"/>
    <x v="87"/>
    <x v="41"/>
    <x v="0"/>
    <x v="39"/>
    <x v="138"/>
    <x v="0"/>
    <x v="1"/>
    <x v="150"/>
    <x v="145"/>
    <x v="73"/>
    <x v="142"/>
    <x v="2"/>
    <x v="2"/>
    <x v="17"/>
    <x v="3"/>
    <x v="1"/>
    <x v="0"/>
    <x v="0"/>
    <x v="0"/>
    <x v="1"/>
    <x v="0"/>
    <x v="0"/>
    <x v="1"/>
    <x v="1"/>
    <x v="9"/>
    <x v="11"/>
  </r>
  <r>
    <x v="143"/>
    <x v="95"/>
    <x v="49"/>
    <x v="0"/>
    <x v="112"/>
    <x v="139"/>
    <x v="0"/>
    <x v="15"/>
    <x v="151"/>
    <x v="146"/>
    <x v="0"/>
    <x v="143"/>
    <x v="2"/>
    <x v="2"/>
    <x v="10"/>
    <x v="3"/>
    <x v="1"/>
    <x v="0"/>
    <x v="0"/>
    <x v="0"/>
    <x v="1"/>
    <x v="0"/>
    <x v="0"/>
    <x v="4"/>
    <x v="1"/>
    <x v="9"/>
    <x v="4"/>
  </r>
  <r>
    <x v="144"/>
    <x v="96"/>
    <x v="49"/>
    <x v="0"/>
    <x v="113"/>
    <x v="140"/>
    <x v="0"/>
    <x v="29"/>
    <x v="152"/>
    <x v="147"/>
    <x v="89"/>
    <x v="144"/>
    <x v="5"/>
    <x v="2"/>
    <x v="14"/>
    <x v="3"/>
    <x v="1"/>
    <x v="0"/>
    <x v="0"/>
    <x v="0"/>
    <x v="1"/>
    <x v="0"/>
    <x v="0"/>
    <x v="4"/>
    <x v="1"/>
    <x v="9"/>
    <x v="4"/>
  </r>
  <r>
    <x v="145"/>
    <x v="97"/>
    <x v="49"/>
    <x v="0"/>
    <x v="114"/>
    <x v="141"/>
    <x v="0"/>
    <x v="28"/>
    <x v="153"/>
    <x v="148"/>
    <x v="90"/>
    <x v="145"/>
    <x v="1"/>
    <x v="2"/>
    <x v="24"/>
    <x v="3"/>
    <x v="1"/>
    <x v="0"/>
    <x v="0"/>
    <x v="0"/>
    <x v="1"/>
    <x v="0"/>
    <x v="0"/>
    <x v="1"/>
    <x v="1"/>
    <x v="9"/>
    <x v="4"/>
  </r>
  <r>
    <x v="146"/>
    <x v="98"/>
    <x v="50"/>
    <x v="0"/>
    <x v="115"/>
    <x v="142"/>
    <x v="0"/>
    <x v="28"/>
    <x v="154"/>
    <x v="149"/>
    <x v="91"/>
    <x v="146"/>
    <x v="2"/>
    <x v="2"/>
    <x v="20"/>
    <x v="3"/>
    <x v="1"/>
    <x v="0"/>
    <x v="0"/>
    <x v="0"/>
    <x v="1"/>
    <x v="0"/>
    <x v="0"/>
    <x v="1"/>
    <x v="1"/>
    <x v="9"/>
    <x v="18"/>
  </r>
  <r>
    <x v="147"/>
    <x v="97"/>
    <x v="51"/>
    <x v="0"/>
    <x v="39"/>
    <x v="143"/>
    <x v="0"/>
    <x v="1"/>
    <x v="155"/>
    <x v="150"/>
    <x v="73"/>
    <x v="147"/>
    <x v="2"/>
    <x v="2"/>
    <x v="17"/>
    <x v="3"/>
    <x v="1"/>
    <x v="0"/>
    <x v="0"/>
    <x v="0"/>
    <x v="1"/>
    <x v="0"/>
    <x v="0"/>
    <x v="1"/>
    <x v="1"/>
    <x v="9"/>
    <x v="16"/>
  </r>
  <r>
    <x v="148"/>
    <x v="97"/>
    <x v="51"/>
    <x v="0"/>
    <x v="39"/>
    <x v="143"/>
    <x v="0"/>
    <x v="1"/>
    <x v="156"/>
    <x v="151"/>
    <x v="73"/>
    <x v="148"/>
    <x v="2"/>
    <x v="2"/>
    <x v="17"/>
    <x v="3"/>
    <x v="1"/>
    <x v="0"/>
    <x v="0"/>
    <x v="0"/>
    <x v="1"/>
    <x v="0"/>
    <x v="0"/>
    <x v="1"/>
    <x v="1"/>
    <x v="9"/>
    <x v="16"/>
  </r>
  <r>
    <x v="149"/>
    <x v="76"/>
    <x v="52"/>
    <x v="0"/>
    <x v="116"/>
    <x v="144"/>
    <x v="0"/>
    <x v="28"/>
    <x v="157"/>
    <x v="152"/>
    <x v="92"/>
    <x v="149"/>
    <x v="2"/>
    <x v="2"/>
    <x v="3"/>
    <x v="3"/>
    <x v="1"/>
    <x v="0"/>
    <x v="0"/>
    <x v="0"/>
    <x v="1"/>
    <x v="0"/>
    <x v="0"/>
    <x v="1"/>
    <x v="1"/>
    <x v="9"/>
    <x v="17"/>
  </r>
  <r>
    <x v="150"/>
    <x v="92"/>
    <x v="50"/>
    <x v="0"/>
    <x v="117"/>
    <x v="145"/>
    <x v="0"/>
    <x v="17"/>
    <x v="158"/>
    <x v="153"/>
    <x v="79"/>
    <x v="150"/>
    <x v="2"/>
    <x v="2"/>
    <x v="10"/>
    <x v="3"/>
    <x v="1"/>
    <x v="0"/>
    <x v="0"/>
    <x v="0"/>
    <x v="1"/>
    <x v="0"/>
    <x v="0"/>
    <x v="3"/>
    <x v="1"/>
    <x v="9"/>
    <x v="18"/>
  </r>
  <r>
    <x v="151"/>
    <x v="99"/>
    <x v="50"/>
    <x v="0"/>
    <x v="118"/>
    <x v="146"/>
    <x v="0"/>
    <x v="17"/>
    <x v="159"/>
    <x v="154"/>
    <x v="93"/>
    <x v="151"/>
    <x v="0"/>
    <x v="2"/>
    <x v="18"/>
    <x v="3"/>
    <x v="1"/>
    <x v="0"/>
    <x v="0"/>
    <x v="0"/>
    <x v="1"/>
    <x v="0"/>
    <x v="0"/>
    <x v="3"/>
    <x v="1"/>
    <x v="9"/>
    <x v="18"/>
  </r>
  <r>
    <x v="152"/>
    <x v="49"/>
    <x v="50"/>
    <x v="0"/>
    <x v="119"/>
    <x v="147"/>
    <x v="0"/>
    <x v="17"/>
    <x v="160"/>
    <x v="155"/>
    <x v="57"/>
    <x v="152"/>
    <x v="2"/>
    <x v="2"/>
    <x v="10"/>
    <x v="3"/>
    <x v="1"/>
    <x v="0"/>
    <x v="0"/>
    <x v="0"/>
    <x v="1"/>
    <x v="0"/>
    <x v="0"/>
    <x v="3"/>
    <x v="1"/>
    <x v="9"/>
    <x v="18"/>
  </r>
  <r>
    <x v="153"/>
    <x v="100"/>
    <x v="50"/>
    <x v="0"/>
    <x v="120"/>
    <x v="148"/>
    <x v="0"/>
    <x v="15"/>
    <x v="161"/>
    <x v="156"/>
    <x v="94"/>
    <x v="153"/>
    <x v="1"/>
    <x v="2"/>
    <x v="21"/>
    <x v="3"/>
    <x v="1"/>
    <x v="0"/>
    <x v="0"/>
    <x v="0"/>
    <x v="1"/>
    <x v="0"/>
    <x v="0"/>
    <x v="4"/>
    <x v="1"/>
    <x v="9"/>
    <x v="18"/>
  </r>
  <r>
    <x v="154"/>
    <x v="96"/>
    <x v="53"/>
    <x v="0"/>
    <x v="121"/>
    <x v="149"/>
    <x v="0"/>
    <x v="28"/>
    <x v="162"/>
    <x v="157"/>
    <x v="95"/>
    <x v="154"/>
    <x v="2"/>
    <x v="2"/>
    <x v="10"/>
    <x v="3"/>
    <x v="1"/>
    <x v="0"/>
    <x v="0"/>
    <x v="0"/>
    <x v="1"/>
    <x v="0"/>
    <x v="0"/>
    <x v="1"/>
    <x v="1"/>
    <x v="9"/>
    <x v="3"/>
  </r>
  <r>
    <x v="155"/>
    <x v="96"/>
    <x v="53"/>
    <x v="0"/>
    <x v="122"/>
    <x v="150"/>
    <x v="0"/>
    <x v="15"/>
    <x v="163"/>
    <x v="158"/>
    <x v="0"/>
    <x v="155"/>
    <x v="2"/>
    <x v="2"/>
    <x v="10"/>
    <x v="3"/>
    <x v="1"/>
    <x v="0"/>
    <x v="0"/>
    <x v="0"/>
    <x v="1"/>
    <x v="0"/>
    <x v="0"/>
    <x v="4"/>
    <x v="1"/>
    <x v="9"/>
    <x v="3"/>
  </r>
  <r>
    <x v="156"/>
    <x v="90"/>
    <x v="54"/>
    <x v="0"/>
    <x v="83"/>
    <x v="151"/>
    <x v="0"/>
    <x v="15"/>
    <x v="164"/>
    <x v="159"/>
    <x v="96"/>
    <x v="156"/>
    <x v="0"/>
    <x v="2"/>
    <x v="15"/>
    <x v="3"/>
    <x v="1"/>
    <x v="0"/>
    <x v="0"/>
    <x v="0"/>
    <x v="1"/>
    <x v="0"/>
    <x v="0"/>
    <x v="4"/>
    <x v="1"/>
    <x v="10"/>
    <x v="25"/>
  </r>
  <r>
    <x v="157"/>
    <x v="83"/>
    <x v="54"/>
    <x v="0"/>
    <x v="123"/>
    <x v="152"/>
    <x v="0"/>
    <x v="28"/>
    <x v="165"/>
    <x v="160"/>
    <x v="0"/>
    <x v="157"/>
    <x v="2"/>
    <x v="2"/>
    <x v="4"/>
    <x v="3"/>
    <x v="1"/>
    <x v="0"/>
    <x v="0"/>
    <x v="0"/>
    <x v="1"/>
    <x v="0"/>
    <x v="0"/>
    <x v="1"/>
    <x v="1"/>
    <x v="10"/>
    <x v="25"/>
  </r>
  <r>
    <x v="158"/>
    <x v="101"/>
    <x v="54"/>
    <x v="0"/>
    <x v="124"/>
    <x v="153"/>
    <x v="0"/>
    <x v="15"/>
    <x v="166"/>
    <x v="161"/>
    <x v="97"/>
    <x v="158"/>
    <x v="2"/>
    <x v="2"/>
    <x v="16"/>
    <x v="3"/>
    <x v="1"/>
    <x v="0"/>
    <x v="0"/>
    <x v="0"/>
    <x v="1"/>
    <x v="0"/>
    <x v="0"/>
    <x v="4"/>
    <x v="1"/>
    <x v="10"/>
    <x v="25"/>
  </r>
  <r>
    <x v="159"/>
    <x v="69"/>
    <x v="54"/>
    <x v="0"/>
    <x v="125"/>
    <x v="154"/>
    <x v="0"/>
    <x v="30"/>
    <x v="167"/>
    <x v="162"/>
    <x v="70"/>
    <x v="159"/>
    <x v="2"/>
    <x v="2"/>
    <x v="16"/>
    <x v="3"/>
    <x v="1"/>
    <x v="0"/>
    <x v="0"/>
    <x v="0"/>
    <x v="1"/>
    <x v="0"/>
    <x v="0"/>
    <x v="4"/>
    <x v="1"/>
    <x v="10"/>
    <x v="25"/>
  </r>
  <r>
    <x v="160"/>
    <x v="102"/>
    <x v="54"/>
    <x v="0"/>
    <x v="126"/>
    <x v="155"/>
    <x v="0"/>
    <x v="15"/>
    <x v="168"/>
    <x v="163"/>
    <x v="98"/>
    <x v="160"/>
    <x v="0"/>
    <x v="2"/>
    <x v="18"/>
    <x v="3"/>
    <x v="1"/>
    <x v="0"/>
    <x v="0"/>
    <x v="0"/>
    <x v="1"/>
    <x v="0"/>
    <x v="0"/>
    <x v="4"/>
    <x v="1"/>
    <x v="10"/>
    <x v="25"/>
  </r>
  <r>
    <x v="161"/>
    <x v="103"/>
    <x v="54"/>
    <x v="0"/>
    <x v="127"/>
    <x v="156"/>
    <x v="0"/>
    <x v="15"/>
    <x v="169"/>
    <x v="164"/>
    <x v="99"/>
    <x v="161"/>
    <x v="0"/>
    <x v="2"/>
    <x v="18"/>
    <x v="3"/>
    <x v="1"/>
    <x v="0"/>
    <x v="0"/>
    <x v="0"/>
    <x v="1"/>
    <x v="0"/>
    <x v="0"/>
    <x v="4"/>
    <x v="1"/>
    <x v="10"/>
    <x v="25"/>
  </r>
  <r>
    <x v="162"/>
    <x v="104"/>
    <x v="55"/>
    <x v="0"/>
    <x v="128"/>
    <x v="157"/>
    <x v="0"/>
    <x v="23"/>
    <x v="170"/>
    <x v="165"/>
    <x v="0"/>
    <x v="162"/>
    <x v="2"/>
    <x v="3"/>
    <x v="10"/>
    <x v="3"/>
    <x v="1"/>
    <x v="0"/>
    <x v="0"/>
    <x v="0"/>
    <x v="1"/>
    <x v="0"/>
    <x v="0"/>
    <x v="7"/>
    <x v="1"/>
    <x v="10"/>
    <x v="13"/>
  </r>
  <r>
    <x v="163"/>
    <x v="105"/>
    <x v="55"/>
    <x v="0"/>
    <x v="129"/>
    <x v="158"/>
    <x v="0"/>
    <x v="23"/>
    <x v="171"/>
    <x v="166"/>
    <x v="0"/>
    <x v="163"/>
    <x v="2"/>
    <x v="3"/>
    <x v="10"/>
    <x v="3"/>
    <x v="1"/>
    <x v="0"/>
    <x v="0"/>
    <x v="0"/>
    <x v="1"/>
    <x v="0"/>
    <x v="0"/>
    <x v="7"/>
    <x v="1"/>
    <x v="10"/>
    <x v="13"/>
  </r>
  <r>
    <x v="164"/>
    <x v="106"/>
    <x v="55"/>
    <x v="0"/>
    <x v="130"/>
    <x v="159"/>
    <x v="0"/>
    <x v="27"/>
    <x v="172"/>
    <x v="167"/>
    <x v="0"/>
    <x v="164"/>
    <x v="0"/>
    <x v="2"/>
    <x v="18"/>
    <x v="3"/>
    <x v="1"/>
    <x v="0"/>
    <x v="0"/>
    <x v="0"/>
    <x v="1"/>
    <x v="0"/>
    <x v="0"/>
    <x v="2"/>
    <x v="1"/>
    <x v="10"/>
    <x v="13"/>
  </r>
  <r>
    <x v="165"/>
    <x v="87"/>
    <x v="56"/>
    <x v="0"/>
    <x v="131"/>
    <x v="160"/>
    <x v="0"/>
    <x v="31"/>
    <x v="173"/>
    <x v="168"/>
    <x v="64"/>
    <x v="165"/>
    <x v="3"/>
    <x v="2"/>
    <x v="7"/>
    <x v="3"/>
    <x v="1"/>
    <x v="0"/>
    <x v="0"/>
    <x v="0"/>
    <x v="1"/>
    <x v="0"/>
    <x v="0"/>
    <x v="1"/>
    <x v="1"/>
    <x v="10"/>
    <x v="27"/>
  </r>
  <r>
    <x v="166"/>
    <x v="87"/>
    <x v="56"/>
    <x v="0"/>
    <x v="132"/>
    <x v="161"/>
    <x v="0"/>
    <x v="32"/>
    <x v="174"/>
    <x v="169"/>
    <x v="100"/>
    <x v="166"/>
    <x v="3"/>
    <x v="2"/>
    <x v="7"/>
    <x v="3"/>
    <x v="1"/>
    <x v="0"/>
    <x v="0"/>
    <x v="0"/>
    <x v="1"/>
    <x v="0"/>
    <x v="0"/>
    <x v="3"/>
    <x v="1"/>
    <x v="10"/>
    <x v="27"/>
  </r>
  <r>
    <x v="167"/>
    <x v="87"/>
    <x v="56"/>
    <x v="0"/>
    <x v="132"/>
    <x v="162"/>
    <x v="0"/>
    <x v="33"/>
    <x v="175"/>
    <x v="170"/>
    <x v="100"/>
    <x v="167"/>
    <x v="3"/>
    <x v="2"/>
    <x v="7"/>
    <x v="3"/>
    <x v="1"/>
    <x v="0"/>
    <x v="0"/>
    <x v="0"/>
    <x v="1"/>
    <x v="0"/>
    <x v="0"/>
    <x v="4"/>
    <x v="1"/>
    <x v="10"/>
    <x v="27"/>
  </r>
  <r>
    <x v="168"/>
    <x v="95"/>
    <x v="56"/>
    <x v="0"/>
    <x v="133"/>
    <x v="163"/>
    <x v="0"/>
    <x v="28"/>
    <x v="176"/>
    <x v="171"/>
    <x v="101"/>
    <x v="168"/>
    <x v="1"/>
    <x v="2"/>
    <x v="21"/>
    <x v="3"/>
    <x v="1"/>
    <x v="0"/>
    <x v="0"/>
    <x v="0"/>
    <x v="1"/>
    <x v="0"/>
    <x v="0"/>
    <x v="1"/>
    <x v="1"/>
    <x v="10"/>
    <x v="27"/>
  </r>
  <r>
    <x v="169"/>
    <x v="87"/>
    <x v="57"/>
    <x v="0"/>
    <x v="132"/>
    <x v="164"/>
    <x v="0"/>
    <x v="14"/>
    <x v="177"/>
    <x v="172"/>
    <x v="100"/>
    <x v="169"/>
    <x v="3"/>
    <x v="2"/>
    <x v="7"/>
    <x v="3"/>
    <x v="1"/>
    <x v="0"/>
    <x v="0"/>
    <x v="0"/>
    <x v="1"/>
    <x v="0"/>
    <x v="0"/>
    <x v="5"/>
    <x v="1"/>
    <x v="10"/>
    <x v="0"/>
  </r>
  <r>
    <x v="170"/>
    <x v="87"/>
    <x v="57"/>
    <x v="0"/>
    <x v="132"/>
    <x v="165"/>
    <x v="0"/>
    <x v="15"/>
    <x v="178"/>
    <x v="173"/>
    <x v="100"/>
    <x v="170"/>
    <x v="3"/>
    <x v="2"/>
    <x v="7"/>
    <x v="3"/>
    <x v="1"/>
    <x v="0"/>
    <x v="0"/>
    <x v="0"/>
    <x v="1"/>
    <x v="0"/>
    <x v="0"/>
    <x v="4"/>
    <x v="1"/>
    <x v="10"/>
    <x v="0"/>
  </r>
  <r>
    <x v="171"/>
    <x v="107"/>
    <x v="57"/>
    <x v="0"/>
    <x v="134"/>
    <x v="166"/>
    <x v="0"/>
    <x v="28"/>
    <x v="179"/>
    <x v="174"/>
    <x v="102"/>
    <x v="171"/>
    <x v="3"/>
    <x v="2"/>
    <x v="6"/>
    <x v="3"/>
    <x v="1"/>
    <x v="0"/>
    <x v="0"/>
    <x v="0"/>
    <x v="1"/>
    <x v="0"/>
    <x v="0"/>
    <x v="1"/>
    <x v="1"/>
    <x v="10"/>
    <x v="0"/>
  </r>
  <r>
    <x v="172"/>
    <x v="87"/>
    <x v="57"/>
    <x v="0"/>
    <x v="135"/>
    <x v="167"/>
    <x v="0"/>
    <x v="15"/>
    <x v="180"/>
    <x v="175"/>
    <x v="103"/>
    <x v="172"/>
    <x v="2"/>
    <x v="2"/>
    <x v="23"/>
    <x v="3"/>
    <x v="1"/>
    <x v="0"/>
    <x v="0"/>
    <x v="0"/>
    <x v="1"/>
    <x v="0"/>
    <x v="0"/>
    <x v="4"/>
    <x v="1"/>
    <x v="10"/>
    <x v="0"/>
  </r>
  <r>
    <x v="173"/>
    <x v="107"/>
    <x v="57"/>
    <x v="0"/>
    <x v="136"/>
    <x v="168"/>
    <x v="0"/>
    <x v="15"/>
    <x v="181"/>
    <x v="176"/>
    <x v="0"/>
    <x v="173"/>
    <x v="3"/>
    <x v="2"/>
    <x v="6"/>
    <x v="3"/>
    <x v="1"/>
    <x v="0"/>
    <x v="0"/>
    <x v="0"/>
    <x v="1"/>
    <x v="0"/>
    <x v="0"/>
    <x v="4"/>
    <x v="1"/>
    <x v="10"/>
    <x v="0"/>
  </r>
  <r>
    <x v="174"/>
    <x v="108"/>
    <x v="58"/>
    <x v="0"/>
    <x v="137"/>
    <x v="169"/>
    <x v="0"/>
    <x v="28"/>
    <x v="182"/>
    <x v="177"/>
    <x v="101"/>
    <x v="174"/>
    <x v="1"/>
    <x v="2"/>
    <x v="11"/>
    <x v="3"/>
    <x v="1"/>
    <x v="0"/>
    <x v="0"/>
    <x v="0"/>
    <x v="1"/>
    <x v="0"/>
    <x v="0"/>
    <x v="1"/>
    <x v="1"/>
    <x v="10"/>
    <x v="1"/>
  </r>
  <r>
    <x v="175"/>
    <x v="97"/>
    <x v="58"/>
    <x v="0"/>
    <x v="138"/>
    <x v="170"/>
    <x v="0"/>
    <x v="25"/>
    <x v="183"/>
    <x v="178"/>
    <x v="75"/>
    <x v="175"/>
    <x v="0"/>
    <x v="2"/>
    <x v="12"/>
    <x v="3"/>
    <x v="1"/>
    <x v="0"/>
    <x v="0"/>
    <x v="0"/>
    <x v="1"/>
    <x v="0"/>
    <x v="0"/>
    <x v="4"/>
    <x v="1"/>
    <x v="10"/>
    <x v="1"/>
  </r>
  <r>
    <x v="176"/>
    <x v="105"/>
    <x v="58"/>
    <x v="0"/>
    <x v="139"/>
    <x v="171"/>
    <x v="0"/>
    <x v="15"/>
    <x v="184"/>
    <x v="179"/>
    <x v="104"/>
    <x v="176"/>
    <x v="2"/>
    <x v="2"/>
    <x v="4"/>
    <x v="3"/>
    <x v="1"/>
    <x v="0"/>
    <x v="0"/>
    <x v="0"/>
    <x v="1"/>
    <x v="0"/>
    <x v="0"/>
    <x v="4"/>
    <x v="1"/>
    <x v="10"/>
    <x v="1"/>
  </r>
  <r>
    <x v="177"/>
    <x v="74"/>
    <x v="59"/>
    <x v="0"/>
    <x v="140"/>
    <x v="172"/>
    <x v="0"/>
    <x v="1"/>
    <x v="185"/>
    <x v="180"/>
    <x v="61"/>
    <x v="177"/>
    <x v="1"/>
    <x v="2"/>
    <x v="22"/>
    <x v="3"/>
    <x v="1"/>
    <x v="0"/>
    <x v="0"/>
    <x v="0"/>
    <x v="1"/>
    <x v="0"/>
    <x v="0"/>
    <x v="1"/>
    <x v="1"/>
    <x v="10"/>
    <x v="26"/>
  </r>
  <r>
    <x v="178"/>
    <x v="88"/>
    <x v="60"/>
    <x v="0"/>
    <x v="141"/>
    <x v="173"/>
    <x v="0"/>
    <x v="28"/>
    <x v="186"/>
    <x v="181"/>
    <x v="101"/>
    <x v="178"/>
    <x v="1"/>
    <x v="2"/>
    <x v="21"/>
    <x v="3"/>
    <x v="1"/>
    <x v="0"/>
    <x v="0"/>
    <x v="0"/>
    <x v="1"/>
    <x v="0"/>
    <x v="0"/>
    <x v="1"/>
    <x v="1"/>
    <x v="10"/>
    <x v="4"/>
  </r>
  <r>
    <x v="179"/>
    <x v="62"/>
    <x v="60"/>
    <x v="0"/>
    <x v="141"/>
    <x v="174"/>
    <x v="0"/>
    <x v="28"/>
    <x v="187"/>
    <x v="182"/>
    <x v="105"/>
    <x v="179"/>
    <x v="1"/>
    <x v="2"/>
    <x v="21"/>
    <x v="3"/>
    <x v="1"/>
    <x v="0"/>
    <x v="0"/>
    <x v="0"/>
    <x v="1"/>
    <x v="0"/>
    <x v="0"/>
    <x v="1"/>
    <x v="1"/>
    <x v="10"/>
    <x v="4"/>
  </r>
  <r>
    <x v="180"/>
    <x v="109"/>
    <x v="60"/>
    <x v="0"/>
    <x v="142"/>
    <x v="175"/>
    <x v="0"/>
    <x v="28"/>
    <x v="188"/>
    <x v="183"/>
    <x v="0"/>
    <x v="180"/>
    <x v="2"/>
    <x v="2"/>
    <x v="20"/>
    <x v="3"/>
    <x v="1"/>
    <x v="0"/>
    <x v="0"/>
    <x v="0"/>
    <x v="1"/>
    <x v="0"/>
    <x v="0"/>
    <x v="1"/>
    <x v="1"/>
    <x v="10"/>
    <x v="4"/>
  </r>
  <r>
    <x v="1"/>
    <x v="110"/>
    <x v="60"/>
    <x v="0"/>
    <x v="143"/>
    <x v="176"/>
    <x v="0"/>
    <x v="34"/>
    <x v="189"/>
    <x v="184"/>
    <x v="0"/>
    <x v="181"/>
    <x v="2"/>
    <x v="2"/>
    <x v="20"/>
    <x v="3"/>
    <x v="1"/>
    <x v="0"/>
    <x v="0"/>
    <x v="0"/>
    <x v="1"/>
    <x v="0"/>
    <x v="0"/>
    <x v="2"/>
    <x v="1"/>
    <x v="10"/>
    <x v="4"/>
  </r>
  <r>
    <x v="181"/>
    <x v="111"/>
    <x v="60"/>
    <x v="0"/>
    <x v="144"/>
    <x v="177"/>
    <x v="0"/>
    <x v="15"/>
    <x v="190"/>
    <x v="185"/>
    <x v="0"/>
    <x v="182"/>
    <x v="2"/>
    <x v="2"/>
    <x v="10"/>
    <x v="3"/>
    <x v="1"/>
    <x v="0"/>
    <x v="0"/>
    <x v="0"/>
    <x v="1"/>
    <x v="0"/>
    <x v="0"/>
    <x v="4"/>
    <x v="1"/>
    <x v="10"/>
    <x v="4"/>
  </r>
  <r>
    <x v="182"/>
    <x v="112"/>
    <x v="60"/>
    <x v="0"/>
    <x v="145"/>
    <x v="178"/>
    <x v="0"/>
    <x v="25"/>
    <x v="191"/>
    <x v="186"/>
    <x v="0"/>
    <x v="183"/>
    <x v="2"/>
    <x v="2"/>
    <x v="10"/>
    <x v="3"/>
    <x v="1"/>
    <x v="0"/>
    <x v="0"/>
    <x v="0"/>
    <x v="1"/>
    <x v="0"/>
    <x v="0"/>
    <x v="4"/>
    <x v="1"/>
    <x v="10"/>
    <x v="4"/>
  </r>
  <r>
    <x v="183"/>
    <x v="113"/>
    <x v="60"/>
    <x v="0"/>
    <x v="146"/>
    <x v="179"/>
    <x v="0"/>
    <x v="15"/>
    <x v="192"/>
    <x v="187"/>
    <x v="0"/>
    <x v="184"/>
    <x v="3"/>
    <x v="2"/>
    <x v="6"/>
    <x v="3"/>
    <x v="1"/>
    <x v="0"/>
    <x v="0"/>
    <x v="0"/>
    <x v="1"/>
    <x v="0"/>
    <x v="0"/>
    <x v="4"/>
    <x v="1"/>
    <x v="10"/>
    <x v="4"/>
  </r>
  <r>
    <x v="183"/>
    <x v="93"/>
    <x v="60"/>
    <x v="0"/>
    <x v="147"/>
    <x v="180"/>
    <x v="0"/>
    <x v="25"/>
    <x v="193"/>
    <x v="188"/>
    <x v="0"/>
    <x v="184"/>
    <x v="3"/>
    <x v="2"/>
    <x v="6"/>
    <x v="3"/>
    <x v="1"/>
    <x v="0"/>
    <x v="0"/>
    <x v="0"/>
    <x v="1"/>
    <x v="0"/>
    <x v="0"/>
    <x v="4"/>
    <x v="1"/>
    <x v="10"/>
    <x v="4"/>
  </r>
  <r>
    <x v="184"/>
    <x v="109"/>
    <x v="61"/>
    <x v="0"/>
    <x v="148"/>
    <x v="181"/>
    <x v="0"/>
    <x v="15"/>
    <x v="194"/>
    <x v="189"/>
    <x v="106"/>
    <x v="185"/>
    <x v="2"/>
    <x v="2"/>
    <x v="3"/>
    <x v="3"/>
    <x v="1"/>
    <x v="0"/>
    <x v="0"/>
    <x v="0"/>
    <x v="1"/>
    <x v="0"/>
    <x v="0"/>
    <x v="4"/>
    <x v="1"/>
    <x v="10"/>
    <x v="19"/>
  </r>
  <r>
    <x v="185"/>
    <x v="109"/>
    <x v="61"/>
    <x v="0"/>
    <x v="149"/>
    <x v="182"/>
    <x v="0"/>
    <x v="35"/>
    <x v="195"/>
    <x v="190"/>
    <x v="92"/>
    <x v="186"/>
    <x v="2"/>
    <x v="2"/>
    <x v="3"/>
    <x v="3"/>
    <x v="1"/>
    <x v="0"/>
    <x v="0"/>
    <x v="0"/>
    <x v="1"/>
    <x v="0"/>
    <x v="0"/>
    <x v="1"/>
    <x v="1"/>
    <x v="10"/>
    <x v="19"/>
  </r>
  <r>
    <x v="186"/>
    <x v="114"/>
    <x v="62"/>
    <x v="0"/>
    <x v="150"/>
    <x v="183"/>
    <x v="0"/>
    <x v="28"/>
    <x v="196"/>
    <x v="191"/>
    <x v="0"/>
    <x v="187"/>
    <x v="5"/>
    <x v="2"/>
    <x v="14"/>
    <x v="3"/>
    <x v="1"/>
    <x v="0"/>
    <x v="0"/>
    <x v="0"/>
    <x v="1"/>
    <x v="0"/>
    <x v="0"/>
    <x v="1"/>
    <x v="1"/>
    <x v="10"/>
    <x v="23"/>
  </r>
  <r>
    <x v="187"/>
    <x v="104"/>
    <x v="62"/>
    <x v="0"/>
    <x v="83"/>
    <x v="184"/>
    <x v="0"/>
    <x v="15"/>
    <x v="197"/>
    <x v="192"/>
    <x v="107"/>
    <x v="188"/>
    <x v="0"/>
    <x v="2"/>
    <x v="15"/>
    <x v="3"/>
    <x v="1"/>
    <x v="0"/>
    <x v="0"/>
    <x v="0"/>
    <x v="1"/>
    <x v="0"/>
    <x v="0"/>
    <x v="4"/>
    <x v="1"/>
    <x v="10"/>
    <x v="23"/>
  </r>
  <r>
    <x v="188"/>
    <x v="108"/>
    <x v="62"/>
    <x v="0"/>
    <x v="151"/>
    <x v="185"/>
    <x v="0"/>
    <x v="28"/>
    <x v="198"/>
    <x v="193"/>
    <x v="108"/>
    <x v="189"/>
    <x v="0"/>
    <x v="2"/>
    <x v="25"/>
    <x v="3"/>
    <x v="1"/>
    <x v="0"/>
    <x v="0"/>
    <x v="0"/>
    <x v="1"/>
    <x v="0"/>
    <x v="0"/>
    <x v="1"/>
    <x v="1"/>
    <x v="10"/>
    <x v="23"/>
  </r>
  <r>
    <x v="189"/>
    <x v="83"/>
    <x v="62"/>
    <x v="0"/>
    <x v="152"/>
    <x v="186"/>
    <x v="0"/>
    <x v="36"/>
    <x v="199"/>
    <x v="194"/>
    <x v="108"/>
    <x v="190"/>
    <x v="0"/>
    <x v="2"/>
    <x v="25"/>
    <x v="3"/>
    <x v="1"/>
    <x v="0"/>
    <x v="0"/>
    <x v="0"/>
    <x v="1"/>
    <x v="0"/>
    <x v="0"/>
    <x v="1"/>
    <x v="1"/>
    <x v="10"/>
    <x v="23"/>
  </r>
  <r>
    <x v="190"/>
    <x v="115"/>
    <x v="62"/>
    <x v="0"/>
    <x v="153"/>
    <x v="187"/>
    <x v="1"/>
    <x v="28"/>
    <x v="200"/>
    <x v="195"/>
    <x v="0"/>
    <x v="191"/>
    <x v="1"/>
    <x v="2"/>
    <x v="22"/>
    <x v="3"/>
    <x v="1"/>
    <x v="0"/>
    <x v="0"/>
    <x v="0"/>
    <x v="1"/>
    <x v="0"/>
    <x v="0"/>
    <x v="1"/>
    <x v="1"/>
    <x v="10"/>
    <x v="23"/>
  </r>
  <r>
    <x v="191"/>
    <x v="116"/>
    <x v="63"/>
    <x v="0"/>
    <x v="154"/>
    <x v="188"/>
    <x v="1"/>
    <x v="28"/>
    <x v="201"/>
    <x v="196"/>
    <x v="0"/>
    <x v="192"/>
    <x v="1"/>
    <x v="2"/>
    <x v="24"/>
    <x v="3"/>
    <x v="1"/>
    <x v="0"/>
    <x v="0"/>
    <x v="0"/>
    <x v="1"/>
    <x v="0"/>
    <x v="0"/>
    <x v="1"/>
    <x v="1"/>
    <x v="10"/>
    <x v="12"/>
  </r>
  <r>
    <x v="192"/>
    <x v="89"/>
    <x v="63"/>
    <x v="0"/>
    <x v="155"/>
    <x v="189"/>
    <x v="1"/>
    <x v="17"/>
    <x v="202"/>
    <x v="197"/>
    <x v="109"/>
    <x v="193"/>
    <x v="3"/>
    <x v="2"/>
    <x v="6"/>
    <x v="3"/>
    <x v="1"/>
    <x v="0"/>
    <x v="0"/>
    <x v="0"/>
    <x v="1"/>
    <x v="0"/>
    <x v="0"/>
    <x v="3"/>
    <x v="1"/>
    <x v="10"/>
    <x v="12"/>
  </r>
  <r>
    <x v="192"/>
    <x v="94"/>
    <x v="63"/>
    <x v="0"/>
    <x v="156"/>
    <x v="190"/>
    <x v="0"/>
    <x v="37"/>
    <x v="203"/>
    <x v="198"/>
    <x v="110"/>
    <x v="193"/>
    <x v="3"/>
    <x v="2"/>
    <x v="6"/>
    <x v="3"/>
    <x v="1"/>
    <x v="0"/>
    <x v="0"/>
    <x v="0"/>
    <x v="1"/>
    <x v="0"/>
    <x v="0"/>
    <x v="4"/>
    <x v="1"/>
    <x v="10"/>
    <x v="12"/>
  </r>
  <r>
    <x v="193"/>
    <x v="117"/>
    <x v="64"/>
    <x v="0"/>
    <x v="157"/>
    <x v="191"/>
    <x v="0"/>
    <x v="32"/>
    <x v="204"/>
    <x v="199"/>
    <x v="111"/>
    <x v="194"/>
    <x v="2"/>
    <x v="2"/>
    <x v="3"/>
    <x v="3"/>
    <x v="1"/>
    <x v="0"/>
    <x v="0"/>
    <x v="0"/>
    <x v="1"/>
    <x v="0"/>
    <x v="0"/>
    <x v="3"/>
    <x v="1"/>
    <x v="10"/>
    <x v="28"/>
  </r>
  <r>
    <x v="194"/>
    <x v="69"/>
    <x v="64"/>
    <x v="0"/>
    <x v="158"/>
    <x v="192"/>
    <x v="0"/>
    <x v="15"/>
    <x v="205"/>
    <x v="200"/>
    <x v="112"/>
    <x v="195"/>
    <x v="2"/>
    <x v="2"/>
    <x v="3"/>
    <x v="3"/>
    <x v="1"/>
    <x v="0"/>
    <x v="0"/>
    <x v="0"/>
    <x v="1"/>
    <x v="0"/>
    <x v="0"/>
    <x v="4"/>
    <x v="1"/>
    <x v="10"/>
    <x v="28"/>
  </r>
  <r>
    <x v="195"/>
    <x v="118"/>
    <x v="64"/>
    <x v="0"/>
    <x v="159"/>
    <x v="193"/>
    <x v="0"/>
    <x v="15"/>
    <x v="206"/>
    <x v="201"/>
    <x v="112"/>
    <x v="196"/>
    <x v="2"/>
    <x v="2"/>
    <x v="3"/>
    <x v="3"/>
    <x v="1"/>
    <x v="0"/>
    <x v="0"/>
    <x v="0"/>
    <x v="1"/>
    <x v="0"/>
    <x v="0"/>
    <x v="4"/>
    <x v="1"/>
    <x v="10"/>
    <x v="28"/>
  </r>
  <r>
    <x v="196"/>
    <x v="119"/>
    <x v="65"/>
    <x v="0"/>
    <x v="160"/>
    <x v="194"/>
    <x v="0"/>
    <x v="38"/>
    <x v="207"/>
    <x v="202"/>
    <x v="95"/>
    <x v="197"/>
    <x v="2"/>
    <x v="2"/>
    <x v="5"/>
    <x v="3"/>
    <x v="1"/>
    <x v="0"/>
    <x v="0"/>
    <x v="0"/>
    <x v="1"/>
    <x v="0"/>
    <x v="0"/>
    <x v="4"/>
    <x v="1"/>
    <x v="10"/>
    <x v="6"/>
  </r>
  <r>
    <x v="197"/>
    <x v="120"/>
    <x v="66"/>
    <x v="0"/>
    <x v="161"/>
    <x v="195"/>
    <x v="0"/>
    <x v="19"/>
    <x v="208"/>
    <x v="15"/>
    <x v="0"/>
    <x v="198"/>
    <x v="2"/>
    <x v="3"/>
    <x v="4"/>
    <x v="3"/>
    <x v="1"/>
    <x v="0"/>
    <x v="0"/>
    <x v="0"/>
    <x v="1"/>
    <x v="0"/>
    <x v="0"/>
    <x v="6"/>
    <x v="1"/>
    <x v="10"/>
    <x v="5"/>
  </r>
  <r>
    <x v="198"/>
    <x v="121"/>
    <x v="67"/>
    <x v="0"/>
    <x v="17"/>
    <x v="196"/>
    <x v="0"/>
    <x v="1"/>
    <x v="209"/>
    <x v="203"/>
    <x v="95"/>
    <x v="199"/>
    <x v="2"/>
    <x v="2"/>
    <x v="17"/>
    <x v="3"/>
    <x v="1"/>
    <x v="0"/>
    <x v="0"/>
    <x v="0"/>
    <x v="1"/>
    <x v="0"/>
    <x v="0"/>
    <x v="1"/>
    <x v="1"/>
    <x v="10"/>
    <x v="10"/>
  </r>
  <r>
    <x v="199"/>
    <x v="122"/>
    <x v="60"/>
    <x v="0"/>
    <x v="162"/>
    <x v="197"/>
    <x v="0"/>
    <x v="1"/>
    <x v="210"/>
    <x v="204"/>
    <x v="113"/>
    <x v="200"/>
    <x v="2"/>
    <x v="2"/>
    <x v="17"/>
    <x v="3"/>
    <x v="1"/>
    <x v="0"/>
    <x v="0"/>
    <x v="0"/>
    <x v="1"/>
    <x v="0"/>
    <x v="0"/>
    <x v="1"/>
    <x v="1"/>
    <x v="10"/>
    <x v="4"/>
  </r>
  <r>
    <x v="200"/>
    <x v="115"/>
    <x v="66"/>
    <x v="0"/>
    <x v="163"/>
    <x v="198"/>
    <x v="0"/>
    <x v="39"/>
    <x v="211"/>
    <x v="205"/>
    <x v="0"/>
    <x v="201"/>
    <x v="1"/>
    <x v="3"/>
    <x v="1"/>
    <x v="3"/>
    <x v="1"/>
    <x v="0"/>
    <x v="0"/>
    <x v="0"/>
    <x v="1"/>
    <x v="0"/>
    <x v="0"/>
    <x v="2"/>
    <x v="1"/>
    <x v="10"/>
    <x v="5"/>
  </r>
  <r>
    <x v="201"/>
    <x v="110"/>
    <x v="66"/>
    <x v="0"/>
    <x v="164"/>
    <x v="199"/>
    <x v="0"/>
    <x v="15"/>
    <x v="212"/>
    <x v="206"/>
    <x v="114"/>
    <x v="202"/>
    <x v="1"/>
    <x v="3"/>
    <x v="1"/>
    <x v="3"/>
    <x v="1"/>
    <x v="0"/>
    <x v="0"/>
    <x v="0"/>
    <x v="1"/>
    <x v="0"/>
    <x v="0"/>
    <x v="4"/>
    <x v="1"/>
    <x v="10"/>
    <x v="5"/>
  </r>
  <r>
    <x v="202"/>
    <x v="111"/>
    <x v="66"/>
    <x v="0"/>
    <x v="165"/>
    <x v="200"/>
    <x v="0"/>
    <x v="28"/>
    <x v="213"/>
    <x v="207"/>
    <x v="115"/>
    <x v="203"/>
    <x v="1"/>
    <x v="3"/>
    <x v="1"/>
    <x v="3"/>
    <x v="1"/>
    <x v="0"/>
    <x v="0"/>
    <x v="0"/>
    <x v="1"/>
    <x v="0"/>
    <x v="0"/>
    <x v="1"/>
    <x v="1"/>
    <x v="10"/>
    <x v="5"/>
  </r>
  <r>
    <x v="203"/>
    <x v="97"/>
    <x v="68"/>
    <x v="0"/>
    <x v="166"/>
    <x v="201"/>
    <x v="0"/>
    <x v="40"/>
    <x v="214"/>
    <x v="208"/>
    <x v="108"/>
    <x v="204"/>
    <x v="0"/>
    <x v="3"/>
    <x v="15"/>
    <x v="3"/>
    <x v="1"/>
    <x v="0"/>
    <x v="0"/>
    <x v="0"/>
    <x v="1"/>
    <x v="0"/>
    <x v="0"/>
    <x v="4"/>
    <x v="1"/>
    <x v="10"/>
    <x v="15"/>
  </r>
  <r>
    <x v="204"/>
    <x v="123"/>
    <x v="69"/>
    <x v="0"/>
    <x v="167"/>
    <x v="202"/>
    <x v="0"/>
    <x v="28"/>
    <x v="215"/>
    <x v="209"/>
    <x v="116"/>
    <x v="205"/>
    <x v="0"/>
    <x v="2"/>
    <x v="12"/>
    <x v="3"/>
    <x v="1"/>
    <x v="0"/>
    <x v="0"/>
    <x v="0"/>
    <x v="1"/>
    <x v="0"/>
    <x v="0"/>
    <x v="1"/>
    <x v="1"/>
    <x v="10"/>
    <x v="16"/>
  </r>
  <r>
    <x v="205"/>
    <x v="97"/>
    <x v="69"/>
    <x v="0"/>
    <x v="168"/>
    <x v="203"/>
    <x v="0"/>
    <x v="33"/>
    <x v="216"/>
    <x v="210"/>
    <x v="106"/>
    <x v="206"/>
    <x v="2"/>
    <x v="2"/>
    <x v="3"/>
    <x v="3"/>
    <x v="1"/>
    <x v="0"/>
    <x v="0"/>
    <x v="0"/>
    <x v="1"/>
    <x v="0"/>
    <x v="0"/>
    <x v="4"/>
    <x v="1"/>
    <x v="10"/>
    <x v="16"/>
  </r>
  <r>
    <x v="206"/>
    <x v="101"/>
    <x v="69"/>
    <x v="0"/>
    <x v="169"/>
    <x v="204"/>
    <x v="0"/>
    <x v="28"/>
    <x v="217"/>
    <x v="211"/>
    <x v="106"/>
    <x v="207"/>
    <x v="2"/>
    <x v="2"/>
    <x v="3"/>
    <x v="3"/>
    <x v="1"/>
    <x v="0"/>
    <x v="0"/>
    <x v="0"/>
    <x v="1"/>
    <x v="0"/>
    <x v="0"/>
    <x v="1"/>
    <x v="1"/>
    <x v="10"/>
    <x v="16"/>
  </r>
  <r>
    <x v="207"/>
    <x v="124"/>
    <x v="70"/>
    <x v="0"/>
    <x v="126"/>
    <x v="205"/>
    <x v="2"/>
    <x v="29"/>
    <x v="218"/>
    <x v="212"/>
    <x v="96"/>
    <x v="208"/>
    <x v="0"/>
    <x v="2"/>
    <x v="18"/>
    <x v="3"/>
    <x v="1"/>
    <x v="0"/>
    <x v="0"/>
    <x v="0"/>
    <x v="1"/>
    <x v="0"/>
    <x v="0"/>
    <x v="4"/>
    <x v="1"/>
    <x v="10"/>
    <x v="17"/>
  </r>
  <r>
    <x v="208"/>
    <x v="125"/>
    <x v="71"/>
    <x v="0"/>
    <x v="170"/>
    <x v="206"/>
    <x v="0"/>
    <x v="15"/>
    <x v="219"/>
    <x v="213"/>
    <x v="95"/>
    <x v="209"/>
    <x v="2"/>
    <x v="2"/>
    <x v="4"/>
    <x v="3"/>
    <x v="1"/>
    <x v="0"/>
    <x v="0"/>
    <x v="0"/>
    <x v="1"/>
    <x v="0"/>
    <x v="0"/>
    <x v="4"/>
    <x v="1"/>
    <x v="10"/>
    <x v="18"/>
  </r>
  <r>
    <x v="209"/>
    <x v="121"/>
    <x v="71"/>
    <x v="0"/>
    <x v="83"/>
    <x v="207"/>
    <x v="2"/>
    <x v="15"/>
    <x v="220"/>
    <x v="214"/>
    <x v="107"/>
    <x v="210"/>
    <x v="0"/>
    <x v="2"/>
    <x v="15"/>
    <x v="3"/>
    <x v="1"/>
    <x v="0"/>
    <x v="0"/>
    <x v="0"/>
    <x v="1"/>
    <x v="0"/>
    <x v="0"/>
    <x v="4"/>
    <x v="1"/>
    <x v="10"/>
    <x v="18"/>
  </r>
  <r>
    <x v="107"/>
    <x v="120"/>
    <x v="71"/>
    <x v="0"/>
    <x v="105"/>
    <x v="208"/>
    <x v="0"/>
    <x v="15"/>
    <x v="221"/>
    <x v="215"/>
    <x v="108"/>
    <x v="211"/>
    <x v="0"/>
    <x v="2"/>
    <x v="18"/>
    <x v="3"/>
    <x v="1"/>
    <x v="0"/>
    <x v="0"/>
    <x v="0"/>
    <x v="1"/>
    <x v="0"/>
    <x v="0"/>
    <x v="4"/>
    <x v="1"/>
    <x v="10"/>
    <x v="18"/>
  </r>
  <r>
    <x v="210"/>
    <x v="126"/>
    <x v="71"/>
    <x v="0"/>
    <x v="171"/>
    <x v="209"/>
    <x v="0"/>
    <x v="41"/>
    <x v="222"/>
    <x v="216"/>
    <x v="117"/>
    <x v="212"/>
    <x v="0"/>
    <x v="2"/>
    <x v="18"/>
    <x v="3"/>
    <x v="1"/>
    <x v="0"/>
    <x v="0"/>
    <x v="0"/>
    <x v="1"/>
    <x v="0"/>
    <x v="0"/>
    <x v="1"/>
    <x v="1"/>
    <x v="10"/>
    <x v="18"/>
  </r>
  <r>
    <x v="211"/>
    <x v="115"/>
    <x v="71"/>
    <x v="0"/>
    <x v="172"/>
    <x v="210"/>
    <x v="0"/>
    <x v="17"/>
    <x v="223"/>
    <x v="217"/>
    <x v="118"/>
    <x v="213"/>
    <x v="2"/>
    <x v="2"/>
    <x v="5"/>
    <x v="3"/>
    <x v="1"/>
    <x v="0"/>
    <x v="0"/>
    <x v="0"/>
    <x v="1"/>
    <x v="0"/>
    <x v="0"/>
    <x v="3"/>
    <x v="1"/>
    <x v="10"/>
    <x v="18"/>
  </r>
  <r>
    <x v="212"/>
    <x v="105"/>
    <x v="71"/>
    <x v="0"/>
    <x v="173"/>
    <x v="211"/>
    <x v="0"/>
    <x v="42"/>
    <x v="224"/>
    <x v="218"/>
    <x v="108"/>
    <x v="214"/>
    <x v="0"/>
    <x v="2"/>
    <x v="18"/>
    <x v="3"/>
    <x v="1"/>
    <x v="0"/>
    <x v="0"/>
    <x v="0"/>
    <x v="1"/>
    <x v="0"/>
    <x v="0"/>
    <x v="1"/>
    <x v="1"/>
    <x v="10"/>
    <x v="18"/>
  </r>
  <r>
    <x v="1"/>
    <x v="115"/>
    <x v="71"/>
    <x v="0"/>
    <x v="174"/>
    <x v="212"/>
    <x v="0"/>
    <x v="43"/>
    <x v="225"/>
    <x v="219"/>
    <x v="118"/>
    <x v="215"/>
    <x v="2"/>
    <x v="2"/>
    <x v="5"/>
    <x v="3"/>
    <x v="1"/>
    <x v="0"/>
    <x v="0"/>
    <x v="0"/>
    <x v="1"/>
    <x v="0"/>
    <x v="0"/>
    <x v="3"/>
    <x v="1"/>
    <x v="10"/>
    <x v="18"/>
  </r>
  <r>
    <x v="213"/>
    <x v="125"/>
    <x v="72"/>
    <x v="0"/>
    <x v="175"/>
    <x v="213"/>
    <x v="0"/>
    <x v="44"/>
    <x v="226"/>
    <x v="220"/>
    <x v="119"/>
    <x v="216"/>
    <x v="2"/>
    <x v="2"/>
    <x v="16"/>
    <x v="3"/>
    <x v="1"/>
    <x v="0"/>
    <x v="0"/>
    <x v="0"/>
    <x v="1"/>
    <x v="0"/>
    <x v="0"/>
    <x v="4"/>
    <x v="1"/>
    <x v="10"/>
    <x v="8"/>
  </r>
  <r>
    <x v="214"/>
    <x v="112"/>
    <x v="72"/>
    <x v="0"/>
    <x v="176"/>
    <x v="214"/>
    <x v="0"/>
    <x v="17"/>
    <x v="227"/>
    <x v="221"/>
    <x v="91"/>
    <x v="217"/>
    <x v="2"/>
    <x v="2"/>
    <x v="16"/>
    <x v="3"/>
    <x v="1"/>
    <x v="0"/>
    <x v="0"/>
    <x v="0"/>
    <x v="1"/>
    <x v="0"/>
    <x v="0"/>
    <x v="3"/>
    <x v="1"/>
    <x v="10"/>
    <x v="8"/>
  </r>
  <r>
    <x v="215"/>
    <x v="122"/>
    <x v="72"/>
    <x v="0"/>
    <x v="32"/>
    <x v="215"/>
    <x v="2"/>
    <x v="16"/>
    <x v="228"/>
    <x v="222"/>
    <x v="108"/>
    <x v="218"/>
    <x v="0"/>
    <x v="2"/>
    <x v="15"/>
    <x v="3"/>
    <x v="1"/>
    <x v="0"/>
    <x v="0"/>
    <x v="0"/>
    <x v="1"/>
    <x v="0"/>
    <x v="0"/>
    <x v="1"/>
    <x v="1"/>
    <x v="10"/>
    <x v="8"/>
  </r>
  <r>
    <x v="216"/>
    <x v="127"/>
    <x v="73"/>
    <x v="0"/>
    <x v="177"/>
    <x v="216"/>
    <x v="0"/>
    <x v="28"/>
    <x v="229"/>
    <x v="223"/>
    <x v="120"/>
    <x v="219"/>
    <x v="2"/>
    <x v="2"/>
    <x v="10"/>
    <x v="3"/>
    <x v="1"/>
    <x v="0"/>
    <x v="0"/>
    <x v="0"/>
    <x v="1"/>
    <x v="0"/>
    <x v="0"/>
    <x v="1"/>
    <x v="1"/>
    <x v="11"/>
    <x v="13"/>
  </r>
  <r>
    <x v="217"/>
    <x v="74"/>
    <x v="73"/>
    <x v="0"/>
    <x v="178"/>
    <x v="217"/>
    <x v="0"/>
    <x v="45"/>
    <x v="23"/>
    <x v="15"/>
    <x v="121"/>
    <x v="220"/>
    <x v="2"/>
    <x v="3"/>
    <x v="10"/>
    <x v="3"/>
    <x v="1"/>
    <x v="0"/>
    <x v="0"/>
    <x v="0"/>
    <x v="1"/>
    <x v="0"/>
    <x v="0"/>
    <x v="7"/>
    <x v="1"/>
    <x v="11"/>
    <x v="13"/>
  </r>
  <r>
    <x v="218"/>
    <x v="121"/>
    <x v="73"/>
    <x v="0"/>
    <x v="179"/>
    <x v="218"/>
    <x v="0"/>
    <x v="7"/>
    <x v="230"/>
    <x v="224"/>
    <x v="113"/>
    <x v="221"/>
    <x v="2"/>
    <x v="3"/>
    <x v="10"/>
    <x v="3"/>
    <x v="1"/>
    <x v="0"/>
    <x v="0"/>
    <x v="0"/>
    <x v="1"/>
    <x v="0"/>
    <x v="0"/>
    <x v="7"/>
    <x v="1"/>
    <x v="11"/>
    <x v="13"/>
  </r>
  <r>
    <x v="219"/>
    <x v="128"/>
    <x v="73"/>
    <x v="0"/>
    <x v="180"/>
    <x v="219"/>
    <x v="0"/>
    <x v="21"/>
    <x v="231"/>
    <x v="225"/>
    <x v="116"/>
    <x v="222"/>
    <x v="0"/>
    <x v="2"/>
    <x v="12"/>
    <x v="3"/>
    <x v="1"/>
    <x v="0"/>
    <x v="0"/>
    <x v="0"/>
    <x v="1"/>
    <x v="0"/>
    <x v="0"/>
    <x v="4"/>
    <x v="1"/>
    <x v="11"/>
    <x v="13"/>
  </r>
  <r>
    <x v="220"/>
    <x v="128"/>
    <x v="73"/>
    <x v="0"/>
    <x v="181"/>
    <x v="220"/>
    <x v="0"/>
    <x v="21"/>
    <x v="232"/>
    <x v="226"/>
    <x v="116"/>
    <x v="223"/>
    <x v="0"/>
    <x v="2"/>
    <x v="12"/>
    <x v="3"/>
    <x v="1"/>
    <x v="0"/>
    <x v="0"/>
    <x v="0"/>
    <x v="1"/>
    <x v="0"/>
    <x v="0"/>
    <x v="4"/>
    <x v="1"/>
    <x v="11"/>
    <x v="13"/>
  </r>
  <r>
    <x v="221"/>
    <x v="129"/>
    <x v="74"/>
    <x v="0"/>
    <x v="182"/>
    <x v="221"/>
    <x v="0"/>
    <x v="21"/>
    <x v="233"/>
    <x v="227"/>
    <x v="122"/>
    <x v="224"/>
    <x v="2"/>
    <x v="2"/>
    <x v="20"/>
    <x v="3"/>
    <x v="1"/>
    <x v="0"/>
    <x v="0"/>
    <x v="0"/>
    <x v="1"/>
    <x v="0"/>
    <x v="0"/>
    <x v="4"/>
    <x v="1"/>
    <x v="11"/>
    <x v="21"/>
  </r>
  <r>
    <x v="222"/>
    <x v="130"/>
    <x v="75"/>
    <x v="0"/>
    <x v="183"/>
    <x v="222"/>
    <x v="0"/>
    <x v="7"/>
    <x v="234"/>
    <x v="228"/>
    <x v="0"/>
    <x v="225"/>
    <x v="2"/>
    <x v="2"/>
    <x v="4"/>
    <x v="3"/>
    <x v="1"/>
    <x v="0"/>
    <x v="0"/>
    <x v="0"/>
    <x v="1"/>
    <x v="0"/>
    <x v="0"/>
    <x v="6"/>
    <x v="1"/>
    <x v="11"/>
    <x v="22"/>
  </r>
  <r>
    <x v="223"/>
    <x v="121"/>
    <x v="76"/>
    <x v="0"/>
    <x v="184"/>
    <x v="223"/>
    <x v="0"/>
    <x v="46"/>
    <x v="235"/>
    <x v="229"/>
    <x v="0"/>
    <x v="226"/>
    <x v="0"/>
    <x v="2"/>
    <x v="25"/>
    <x v="3"/>
    <x v="1"/>
    <x v="0"/>
    <x v="0"/>
    <x v="0"/>
    <x v="1"/>
    <x v="0"/>
    <x v="0"/>
    <x v="1"/>
    <x v="1"/>
    <x v="11"/>
    <x v="9"/>
  </r>
  <r>
    <x v="224"/>
    <x v="131"/>
    <x v="76"/>
    <x v="0"/>
    <x v="185"/>
    <x v="224"/>
    <x v="0"/>
    <x v="46"/>
    <x v="236"/>
    <x v="230"/>
    <x v="0"/>
    <x v="227"/>
    <x v="0"/>
    <x v="2"/>
    <x v="25"/>
    <x v="3"/>
    <x v="1"/>
    <x v="0"/>
    <x v="0"/>
    <x v="0"/>
    <x v="1"/>
    <x v="0"/>
    <x v="0"/>
    <x v="1"/>
    <x v="1"/>
    <x v="11"/>
    <x v="9"/>
  </r>
  <r>
    <x v="225"/>
    <x v="132"/>
    <x v="77"/>
    <x v="0"/>
    <x v="186"/>
    <x v="225"/>
    <x v="0"/>
    <x v="21"/>
    <x v="237"/>
    <x v="231"/>
    <x v="123"/>
    <x v="228"/>
    <x v="0"/>
    <x v="2"/>
    <x v="18"/>
    <x v="3"/>
    <x v="1"/>
    <x v="0"/>
    <x v="0"/>
    <x v="0"/>
    <x v="1"/>
    <x v="0"/>
    <x v="0"/>
    <x v="4"/>
    <x v="1"/>
    <x v="11"/>
    <x v="10"/>
  </r>
  <r>
    <x v="226"/>
    <x v="132"/>
    <x v="77"/>
    <x v="0"/>
    <x v="151"/>
    <x v="226"/>
    <x v="0"/>
    <x v="46"/>
    <x v="238"/>
    <x v="232"/>
    <x v="0"/>
    <x v="229"/>
    <x v="0"/>
    <x v="2"/>
    <x v="25"/>
    <x v="3"/>
    <x v="1"/>
    <x v="0"/>
    <x v="0"/>
    <x v="0"/>
    <x v="1"/>
    <x v="0"/>
    <x v="0"/>
    <x v="1"/>
    <x v="1"/>
    <x v="11"/>
    <x v="10"/>
  </r>
  <r>
    <x v="227"/>
    <x v="133"/>
    <x v="78"/>
    <x v="0"/>
    <x v="187"/>
    <x v="227"/>
    <x v="0"/>
    <x v="46"/>
    <x v="239"/>
    <x v="233"/>
    <x v="124"/>
    <x v="230"/>
    <x v="2"/>
    <x v="2"/>
    <x v="4"/>
    <x v="3"/>
    <x v="1"/>
    <x v="0"/>
    <x v="0"/>
    <x v="0"/>
    <x v="1"/>
    <x v="0"/>
    <x v="0"/>
    <x v="1"/>
    <x v="1"/>
    <x v="11"/>
    <x v="12"/>
  </r>
  <r>
    <x v="228"/>
    <x v="126"/>
    <x v="79"/>
    <x v="0"/>
    <x v="188"/>
    <x v="228"/>
    <x v="0"/>
    <x v="46"/>
    <x v="240"/>
    <x v="234"/>
    <x v="0"/>
    <x v="231"/>
    <x v="0"/>
    <x v="2"/>
    <x v="25"/>
    <x v="3"/>
    <x v="1"/>
    <x v="0"/>
    <x v="0"/>
    <x v="0"/>
    <x v="1"/>
    <x v="0"/>
    <x v="0"/>
    <x v="1"/>
    <x v="1"/>
    <x v="11"/>
    <x v="5"/>
  </r>
  <r>
    <x v="229"/>
    <x v="134"/>
    <x v="79"/>
    <x v="0"/>
    <x v="151"/>
    <x v="229"/>
    <x v="0"/>
    <x v="46"/>
    <x v="241"/>
    <x v="235"/>
    <x v="0"/>
    <x v="232"/>
    <x v="0"/>
    <x v="2"/>
    <x v="25"/>
    <x v="3"/>
    <x v="1"/>
    <x v="0"/>
    <x v="0"/>
    <x v="0"/>
    <x v="1"/>
    <x v="0"/>
    <x v="0"/>
    <x v="1"/>
    <x v="1"/>
    <x v="11"/>
    <x v="5"/>
  </r>
  <r>
    <x v="230"/>
    <x v="86"/>
    <x v="80"/>
    <x v="0"/>
    <x v="189"/>
    <x v="230"/>
    <x v="0"/>
    <x v="47"/>
    <x v="242"/>
    <x v="236"/>
    <x v="0"/>
    <x v="233"/>
    <x v="0"/>
    <x v="2"/>
    <x v="18"/>
    <x v="3"/>
    <x v="1"/>
    <x v="0"/>
    <x v="0"/>
    <x v="0"/>
    <x v="1"/>
    <x v="0"/>
    <x v="0"/>
    <x v="3"/>
    <x v="1"/>
    <x v="11"/>
    <x v="24"/>
  </r>
  <r>
    <x v="231"/>
    <x v="135"/>
    <x v="81"/>
    <x v="0"/>
    <x v="190"/>
    <x v="231"/>
    <x v="2"/>
    <x v="47"/>
    <x v="243"/>
    <x v="237"/>
    <x v="125"/>
    <x v="234"/>
    <x v="1"/>
    <x v="2"/>
    <x v="22"/>
    <x v="3"/>
    <x v="1"/>
    <x v="0"/>
    <x v="0"/>
    <x v="0"/>
    <x v="1"/>
    <x v="0"/>
    <x v="0"/>
    <x v="3"/>
    <x v="1"/>
    <x v="11"/>
    <x v="15"/>
  </r>
  <r>
    <x v="232"/>
    <x v="127"/>
    <x v="82"/>
    <x v="0"/>
    <x v="191"/>
    <x v="232"/>
    <x v="3"/>
    <x v="46"/>
    <x v="244"/>
    <x v="238"/>
    <x v="126"/>
    <x v="235"/>
    <x v="2"/>
    <x v="4"/>
    <x v="3"/>
    <x v="3"/>
    <x v="1"/>
    <x v="0"/>
    <x v="0"/>
    <x v="0"/>
    <x v="1"/>
    <x v="0"/>
    <x v="0"/>
    <x v="1"/>
    <x v="1"/>
    <x v="11"/>
    <x v="3"/>
  </r>
  <r>
    <x v="233"/>
    <x v="136"/>
    <x v="83"/>
    <x v="0"/>
    <x v="192"/>
    <x v="233"/>
    <x v="0"/>
    <x v="21"/>
    <x v="245"/>
    <x v="239"/>
    <x v="127"/>
    <x v="236"/>
    <x v="2"/>
    <x v="4"/>
    <x v="3"/>
    <x v="3"/>
    <x v="1"/>
    <x v="0"/>
    <x v="0"/>
    <x v="0"/>
    <x v="1"/>
    <x v="0"/>
    <x v="0"/>
    <x v="4"/>
    <x v="1"/>
    <x v="0"/>
    <x v="26"/>
  </r>
  <r>
    <x v="234"/>
    <x v="137"/>
    <x v="84"/>
    <x v="0"/>
    <x v="193"/>
    <x v="234"/>
    <x v="0"/>
    <x v="48"/>
    <x v="246"/>
    <x v="240"/>
    <x v="0"/>
    <x v="237"/>
    <x v="2"/>
    <x v="2"/>
    <x v="4"/>
    <x v="3"/>
    <x v="1"/>
    <x v="0"/>
    <x v="0"/>
    <x v="0"/>
    <x v="1"/>
    <x v="0"/>
    <x v="0"/>
    <x v="2"/>
    <x v="1"/>
    <x v="0"/>
    <x v="22"/>
  </r>
  <r>
    <x v="235"/>
    <x v="138"/>
    <x v="84"/>
    <x v="0"/>
    <x v="194"/>
    <x v="235"/>
    <x v="0"/>
    <x v="24"/>
    <x v="247"/>
    <x v="241"/>
    <x v="0"/>
    <x v="238"/>
    <x v="2"/>
    <x v="2"/>
    <x v="4"/>
    <x v="3"/>
    <x v="1"/>
    <x v="0"/>
    <x v="0"/>
    <x v="0"/>
    <x v="1"/>
    <x v="0"/>
    <x v="0"/>
    <x v="1"/>
    <x v="1"/>
    <x v="0"/>
    <x v="22"/>
  </r>
  <r>
    <x v="236"/>
    <x v="139"/>
    <x v="84"/>
    <x v="0"/>
    <x v="195"/>
    <x v="236"/>
    <x v="0"/>
    <x v="24"/>
    <x v="248"/>
    <x v="15"/>
    <x v="128"/>
    <x v="239"/>
    <x v="3"/>
    <x v="2"/>
    <x v="6"/>
    <x v="3"/>
    <x v="1"/>
    <x v="0"/>
    <x v="0"/>
    <x v="0"/>
    <x v="1"/>
    <x v="0"/>
    <x v="0"/>
    <x v="1"/>
    <x v="1"/>
    <x v="0"/>
    <x v="22"/>
  </r>
  <r>
    <x v="237"/>
    <x v="140"/>
    <x v="84"/>
    <x v="0"/>
    <x v="196"/>
    <x v="237"/>
    <x v="0"/>
    <x v="24"/>
    <x v="249"/>
    <x v="15"/>
    <x v="129"/>
    <x v="240"/>
    <x v="3"/>
    <x v="2"/>
    <x v="6"/>
    <x v="3"/>
    <x v="1"/>
    <x v="0"/>
    <x v="0"/>
    <x v="0"/>
    <x v="1"/>
    <x v="0"/>
    <x v="0"/>
    <x v="1"/>
    <x v="1"/>
    <x v="0"/>
    <x v="22"/>
  </r>
  <r>
    <x v="238"/>
    <x v="108"/>
    <x v="85"/>
    <x v="0"/>
    <x v="197"/>
    <x v="238"/>
    <x v="0"/>
    <x v="24"/>
    <x v="250"/>
    <x v="15"/>
    <x v="0"/>
    <x v="241"/>
    <x v="2"/>
    <x v="2"/>
    <x v="3"/>
    <x v="3"/>
    <x v="1"/>
    <x v="0"/>
    <x v="0"/>
    <x v="0"/>
    <x v="1"/>
    <x v="0"/>
    <x v="0"/>
    <x v="1"/>
    <x v="1"/>
    <x v="0"/>
    <x v="1"/>
  </r>
  <r>
    <x v="239"/>
    <x v="141"/>
    <x v="86"/>
    <x v="0"/>
    <x v="198"/>
    <x v="239"/>
    <x v="0"/>
    <x v="49"/>
    <x v="251"/>
    <x v="66"/>
    <x v="130"/>
    <x v="242"/>
    <x v="3"/>
    <x v="2"/>
    <x v="26"/>
    <x v="3"/>
    <x v="1"/>
    <x v="0"/>
    <x v="0"/>
    <x v="0"/>
    <x v="1"/>
    <x v="0"/>
    <x v="0"/>
    <x v="1"/>
    <x v="1"/>
    <x v="0"/>
    <x v="4"/>
  </r>
  <r>
    <x v="240"/>
    <x v="142"/>
    <x v="87"/>
    <x v="0"/>
    <x v="32"/>
    <x v="240"/>
    <x v="0"/>
    <x v="21"/>
    <x v="252"/>
    <x v="242"/>
    <x v="131"/>
    <x v="243"/>
    <x v="0"/>
    <x v="2"/>
    <x v="12"/>
    <x v="3"/>
    <x v="1"/>
    <x v="0"/>
    <x v="0"/>
    <x v="0"/>
    <x v="1"/>
    <x v="0"/>
    <x v="0"/>
    <x v="4"/>
    <x v="1"/>
    <x v="0"/>
    <x v="9"/>
  </r>
  <r>
    <x v="241"/>
    <x v="143"/>
    <x v="87"/>
    <x v="0"/>
    <x v="199"/>
    <x v="241"/>
    <x v="0"/>
    <x v="21"/>
    <x v="253"/>
    <x v="243"/>
    <x v="132"/>
    <x v="244"/>
    <x v="0"/>
    <x v="2"/>
    <x v="12"/>
    <x v="3"/>
    <x v="1"/>
    <x v="0"/>
    <x v="0"/>
    <x v="0"/>
    <x v="1"/>
    <x v="0"/>
    <x v="0"/>
    <x v="4"/>
    <x v="1"/>
    <x v="0"/>
    <x v="9"/>
  </r>
  <r>
    <x v="242"/>
    <x v="144"/>
    <x v="87"/>
    <x v="0"/>
    <x v="200"/>
    <x v="242"/>
    <x v="0"/>
    <x v="50"/>
    <x v="254"/>
    <x v="244"/>
    <x v="132"/>
    <x v="245"/>
    <x v="0"/>
    <x v="2"/>
    <x v="12"/>
    <x v="3"/>
    <x v="1"/>
    <x v="0"/>
    <x v="0"/>
    <x v="0"/>
    <x v="1"/>
    <x v="0"/>
    <x v="0"/>
    <x v="4"/>
    <x v="1"/>
    <x v="0"/>
    <x v="9"/>
  </r>
  <r>
    <x v="243"/>
    <x v="141"/>
    <x v="88"/>
    <x v="0"/>
    <x v="201"/>
    <x v="243"/>
    <x v="0"/>
    <x v="51"/>
    <x v="255"/>
    <x v="245"/>
    <x v="133"/>
    <x v="246"/>
    <x v="2"/>
    <x v="2"/>
    <x v="4"/>
    <x v="3"/>
    <x v="1"/>
    <x v="0"/>
    <x v="0"/>
    <x v="0"/>
    <x v="1"/>
    <x v="0"/>
    <x v="0"/>
    <x v="8"/>
    <x v="1"/>
    <x v="0"/>
    <x v="10"/>
  </r>
  <r>
    <x v="244"/>
    <x v="145"/>
    <x v="88"/>
    <x v="0"/>
    <x v="202"/>
    <x v="244"/>
    <x v="0"/>
    <x v="28"/>
    <x v="256"/>
    <x v="246"/>
    <x v="134"/>
    <x v="247"/>
    <x v="3"/>
    <x v="2"/>
    <x v="26"/>
    <x v="3"/>
    <x v="1"/>
    <x v="0"/>
    <x v="0"/>
    <x v="0"/>
    <x v="1"/>
    <x v="0"/>
    <x v="0"/>
    <x v="1"/>
    <x v="1"/>
    <x v="0"/>
    <x v="10"/>
  </r>
  <r>
    <x v="245"/>
    <x v="141"/>
    <x v="88"/>
    <x v="0"/>
    <x v="203"/>
    <x v="245"/>
    <x v="0"/>
    <x v="16"/>
    <x v="257"/>
    <x v="247"/>
    <x v="135"/>
    <x v="248"/>
    <x v="0"/>
    <x v="2"/>
    <x v="25"/>
    <x v="3"/>
    <x v="1"/>
    <x v="0"/>
    <x v="0"/>
    <x v="0"/>
    <x v="1"/>
    <x v="0"/>
    <x v="0"/>
    <x v="1"/>
    <x v="1"/>
    <x v="0"/>
    <x v="10"/>
  </r>
  <r>
    <x v="246"/>
    <x v="146"/>
    <x v="88"/>
    <x v="0"/>
    <x v="204"/>
    <x v="246"/>
    <x v="0"/>
    <x v="16"/>
    <x v="258"/>
    <x v="248"/>
    <x v="136"/>
    <x v="249"/>
    <x v="3"/>
    <x v="2"/>
    <x v="6"/>
    <x v="3"/>
    <x v="1"/>
    <x v="0"/>
    <x v="0"/>
    <x v="0"/>
    <x v="1"/>
    <x v="0"/>
    <x v="0"/>
    <x v="1"/>
    <x v="1"/>
    <x v="0"/>
    <x v="10"/>
  </r>
  <r>
    <x v="247"/>
    <x v="147"/>
    <x v="89"/>
    <x v="0"/>
    <x v="186"/>
    <x v="247"/>
    <x v="0"/>
    <x v="15"/>
    <x v="259"/>
    <x v="249"/>
    <x v="137"/>
    <x v="250"/>
    <x v="0"/>
    <x v="2"/>
    <x v="18"/>
    <x v="3"/>
    <x v="1"/>
    <x v="0"/>
    <x v="0"/>
    <x v="0"/>
    <x v="1"/>
    <x v="0"/>
    <x v="0"/>
    <x v="4"/>
    <x v="1"/>
    <x v="0"/>
    <x v="2"/>
  </r>
  <r>
    <x v="248"/>
    <x v="147"/>
    <x v="89"/>
    <x v="0"/>
    <x v="126"/>
    <x v="248"/>
    <x v="0"/>
    <x v="15"/>
    <x v="260"/>
    <x v="250"/>
    <x v="123"/>
    <x v="251"/>
    <x v="0"/>
    <x v="2"/>
    <x v="18"/>
    <x v="3"/>
    <x v="1"/>
    <x v="0"/>
    <x v="0"/>
    <x v="0"/>
    <x v="1"/>
    <x v="0"/>
    <x v="0"/>
    <x v="4"/>
    <x v="1"/>
    <x v="0"/>
    <x v="2"/>
  </r>
  <r>
    <x v="249"/>
    <x v="148"/>
    <x v="89"/>
    <x v="0"/>
    <x v="205"/>
    <x v="249"/>
    <x v="0"/>
    <x v="52"/>
    <x v="261"/>
    <x v="251"/>
    <x v="138"/>
    <x v="252"/>
    <x v="1"/>
    <x v="2"/>
    <x v="1"/>
    <x v="3"/>
    <x v="1"/>
    <x v="0"/>
    <x v="0"/>
    <x v="0"/>
    <x v="1"/>
    <x v="0"/>
    <x v="0"/>
    <x v="2"/>
    <x v="1"/>
    <x v="0"/>
    <x v="2"/>
  </r>
  <r>
    <x v="250"/>
    <x v="149"/>
    <x v="89"/>
    <x v="0"/>
    <x v="206"/>
    <x v="250"/>
    <x v="0"/>
    <x v="15"/>
    <x v="262"/>
    <x v="252"/>
    <x v="139"/>
    <x v="253"/>
    <x v="2"/>
    <x v="2"/>
    <x v="10"/>
    <x v="3"/>
    <x v="1"/>
    <x v="0"/>
    <x v="0"/>
    <x v="0"/>
    <x v="1"/>
    <x v="0"/>
    <x v="0"/>
    <x v="4"/>
    <x v="1"/>
    <x v="0"/>
    <x v="2"/>
  </r>
  <r>
    <x v="251"/>
    <x v="150"/>
    <x v="90"/>
    <x v="0"/>
    <x v="207"/>
    <x v="251"/>
    <x v="0"/>
    <x v="28"/>
    <x v="263"/>
    <x v="253"/>
    <x v="140"/>
    <x v="254"/>
    <x v="3"/>
    <x v="2"/>
    <x v="7"/>
    <x v="3"/>
    <x v="1"/>
    <x v="0"/>
    <x v="0"/>
    <x v="0"/>
    <x v="1"/>
    <x v="0"/>
    <x v="0"/>
    <x v="1"/>
    <x v="1"/>
    <x v="0"/>
    <x v="5"/>
  </r>
  <r>
    <x v="252"/>
    <x v="138"/>
    <x v="91"/>
    <x v="0"/>
    <x v="208"/>
    <x v="252"/>
    <x v="0"/>
    <x v="15"/>
    <x v="264"/>
    <x v="254"/>
    <x v="141"/>
    <x v="255"/>
    <x v="2"/>
    <x v="2"/>
    <x v="5"/>
    <x v="3"/>
    <x v="1"/>
    <x v="0"/>
    <x v="0"/>
    <x v="0"/>
    <x v="1"/>
    <x v="0"/>
    <x v="0"/>
    <x v="4"/>
    <x v="1"/>
    <x v="0"/>
    <x v="24"/>
  </r>
  <r>
    <x v="253"/>
    <x v="151"/>
    <x v="91"/>
    <x v="0"/>
    <x v="152"/>
    <x v="253"/>
    <x v="0"/>
    <x v="25"/>
    <x v="265"/>
    <x v="255"/>
    <x v="96"/>
    <x v="256"/>
    <x v="0"/>
    <x v="2"/>
    <x v="25"/>
    <x v="3"/>
    <x v="1"/>
    <x v="0"/>
    <x v="0"/>
    <x v="0"/>
    <x v="1"/>
    <x v="0"/>
    <x v="0"/>
    <x v="4"/>
    <x v="1"/>
    <x v="0"/>
    <x v="24"/>
  </r>
  <r>
    <x v="254"/>
    <x v="138"/>
    <x v="92"/>
    <x v="0"/>
    <x v="209"/>
    <x v="254"/>
    <x v="0"/>
    <x v="53"/>
    <x v="266"/>
    <x v="256"/>
    <x v="142"/>
    <x v="257"/>
    <x v="2"/>
    <x v="2"/>
    <x v="5"/>
    <x v="3"/>
    <x v="1"/>
    <x v="0"/>
    <x v="0"/>
    <x v="0"/>
    <x v="1"/>
    <x v="0"/>
    <x v="0"/>
    <x v="2"/>
    <x v="1"/>
    <x v="0"/>
    <x v="14"/>
  </r>
  <r>
    <x v="255"/>
    <x v="142"/>
    <x v="92"/>
    <x v="0"/>
    <x v="209"/>
    <x v="255"/>
    <x v="0"/>
    <x v="53"/>
    <x v="267"/>
    <x v="257"/>
    <x v="143"/>
    <x v="258"/>
    <x v="2"/>
    <x v="2"/>
    <x v="5"/>
    <x v="3"/>
    <x v="1"/>
    <x v="0"/>
    <x v="0"/>
    <x v="0"/>
    <x v="1"/>
    <x v="0"/>
    <x v="0"/>
    <x v="2"/>
    <x v="1"/>
    <x v="0"/>
    <x v="14"/>
  </r>
  <r>
    <x v="256"/>
    <x v="152"/>
    <x v="92"/>
    <x v="0"/>
    <x v="209"/>
    <x v="256"/>
    <x v="0"/>
    <x v="53"/>
    <x v="268"/>
    <x v="15"/>
    <x v="144"/>
    <x v="259"/>
    <x v="2"/>
    <x v="2"/>
    <x v="5"/>
    <x v="3"/>
    <x v="1"/>
    <x v="0"/>
    <x v="0"/>
    <x v="0"/>
    <x v="1"/>
    <x v="0"/>
    <x v="0"/>
    <x v="9"/>
    <x v="1"/>
    <x v="0"/>
    <x v="14"/>
  </r>
  <r>
    <x v="257"/>
    <x v="153"/>
    <x v="92"/>
    <x v="0"/>
    <x v="209"/>
    <x v="257"/>
    <x v="0"/>
    <x v="53"/>
    <x v="269"/>
    <x v="15"/>
    <x v="145"/>
    <x v="260"/>
    <x v="2"/>
    <x v="3"/>
    <x v="5"/>
    <x v="3"/>
    <x v="1"/>
    <x v="0"/>
    <x v="0"/>
    <x v="0"/>
    <x v="1"/>
    <x v="0"/>
    <x v="0"/>
    <x v="2"/>
    <x v="1"/>
    <x v="0"/>
    <x v="14"/>
  </r>
  <r>
    <x v="258"/>
    <x v="146"/>
    <x v="93"/>
    <x v="0"/>
    <x v="210"/>
    <x v="258"/>
    <x v="0"/>
    <x v="53"/>
    <x v="270"/>
    <x v="258"/>
    <x v="0"/>
    <x v="261"/>
    <x v="1"/>
    <x v="2"/>
    <x v="11"/>
    <x v="3"/>
    <x v="1"/>
    <x v="0"/>
    <x v="0"/>
    <x v="0"/>
    <x v="1"/>
    <x v="0"/>
    <x v="0"/>
    <x v="2"/>
    <x v="1"/>
    <x v="0"/>
    <x v="17"/>
  </r>
  <r>
    <x v="259"/>
    <x v="154"/>
    <x v="93"/>
    <x v="0"/>
    <x v="211"/>
    <x v="259"/>
    <x v="0"/>
    <x v="53"/>
    <x v="271"/>
    <x v="259"/>
    <x v="146"/>
    <x v="262"/>
    <x v="1"/>
    <x v="2"/>
    <x v="22"/>
    <x v="3"/>
    <x v="1"/>
    <x v="0"/>
    <x v="0"/>
    <x v="0"/>
    <x v="1"/>
    <x v="0"/>
    <x v="0"/>
    <x v="4"/>
    <x v="1"/>
    <x v="0"/>
    <x v="17"/>
  </r>
  <r>
    <x v="260"/>
    <x v="155"/>
    <x v="93"/>
    <x v="0"/>
    <x v="212"/>
    <x v="260"/>
    <x v="0"/>
    <x v="28"/>
    <x v="272"/>
    <x v="260"/>
    <x v="140"/>
    <x v="263"/>
    <x v="3"/>
    <x v="2"/>
    <x v="7"/>
    <x v="3"/>
    <x v="1"/>
    <x v="0"/>
    <x v="0"/>
    <x v="0"/>
    <x v="1"/>
    <x v="0"/>
    <x v="0"/>
    <x v="1"/>
    <x v="1"/>
    <x v="0"/>
    <x v="17"/>
  </r>
  <r>
    <x v="261"/>
    <x v="105"/>
    <x v="94"/>
    <x v="0"/>
    <x v="213"/>
    <x v="261"/>
    <x v="0"/>
    <x v="17"/>
    <x v="273"/>
    <x v="261"/>
    <x v="122"/>
    <x v="264"/>
    <x v="2"/>
    <x v="2"/>
    <x v="10"/>
    <x v="3"/>
    <x v="1"/>
    <x v="0"/>
    <x v="0"/>
    <x v="0"/>
    <x v="1"/>
    <x v="0"/>
    <x v="0"/>
    <x v="3"/>
    <x v="1"/>
    <x v="0"/>
    <x v="18"/>
  </r>
  <r>
    <x v="262"/>
    <x v="150"/>
    <x v="94"/>
    <x v="0"/>
    <x v="32"/>
    <x v="262"/>
    <x v="0"/>
    <x v="54"/>
    <x v="274"/>
    <x v="262"/>
    <x v="131"/>
    <x v="265"/>
    <x v="0"/>
    <x v="2"/>
    <x v="12"/>
    <x v="3"/>
    <x v="1"/>
    <x v="0"/>
    <x v="0"/>
    <x v="0"/>
    <x v="1"/>
    <x v="0"/>
    <x v="0"/>
    <x v="4"/>
    <x v="1"/>
    <x v="0"/>
    <x v="18"/>
  </r>
  <r>
    <x v="263"/>
    <x v="150"/>
    <x v="94"/>
    <x v="0"/>
    <x v="214"/>
    <x v="263"/>
    <x v="0"/>
    <x v="55"/>
    <x v="275"/>
    <x v="263"/>
    <x v="24"/>
    <x v="266"/>
    <x v="0"/>
    <x v="2"/>
    <x v="12"/>
    <x v="3"/>
    <x v="1"/>
    <x v="0"/>
    <x v="0"/>
    <x v="0"/>
    <x v="1"/>
    <x v="0"/>
    <x v="0"/>
    <x v="1"/>
    <x v="1"/>
    <x v="0"/>
    <x v="18"/>
  </r>
  <r>
    <x v="264"/>
    <x v="155"/>
    <x v="94"/>
    <x v="0"/>
    <x v="215"/>
    <x v="264"/>
    <x v="0"/>
    <x v="17"/>
    <x v="276"/>
    <x v="264"/>
    <x v="24"/>
    <x v="267"/>
    <x v="5"/>
    <x v="2"/>
    <x v="14"/>
    <x v="3"/>
    <x v="1"/>
    <x v="0"/>
    <x v="0"/>
    <x v="0"/>
    <x v="1"/>
    <x v="0"/>
    <x v="0"/>
    <x v="3"/>
    <x v="1"/>
    <x v="0"/>
    <x v="18"/>
  </r>
  <r>
    <x v="265"/>
    <x v="143"/>
    <x v="86"/>
    <x v="0"/>
    <x v="32"/>
    <x v="265"/>
    <x v="0"/>
    <x v="56"/>
    <x v="277"/>
    <x v="265"/>
    <x v="147"/>
    <x v="268"/>
    <x v="0"/>
    <x v="2"/>
    <x v="15"/>
    <x v="3"/>
    <x v="1"/>
    <x v="0"/>
    <x v="0"/>
    <x v="0"/>
    <x v="1"/>
    <x v="0"/>
    <x v="0"/>
    <x v="4"/>
    <x v="1"/>
    <x v="0"/>
    <x v="4"/>
  </r>
  <r>
    <x v="266"/>
    <x v="156"/>
    <x v="95"/>
    <x v="0"/>
    <x v="83"/>
    <x v="266"/>
    <x v="0"/>
    <x v="56"/>
    <x v="278"/>
    <x v="266"/>
    <x v="148"/>
    <x v="269"/>
    <x v="0"/>
    <x v="2"/>
    <x v="15"/>
    <x v="3"/>
    <x v="1"/>
    <x v="0"/>
    <x v="0"/>
    <x v="0"/>
    <x v="1"/>
    <x v="0"/>
    <x v="0"/>
    <x v="4"/>
    <x v="1"/>
    <x v="0"/>
    <x v="19"/>
  </r>
  <r>
    <x v="267"/>
    <x v="157"/>
    <x v="93"/>
    <x v="0"/>
    <x v="216"/>
    <x v="267"/>
    <x v="0"/>
    <x v="25"/>
    <x v="279"/>
    <x v="267"/>
    <x v="132"/>
    <x v="270"/>
    <x v="0"/>
    <x v="2"/>
    <x v="13"/>
    <x v="3"/>
    <x v="1"/>
    <x v="0"/>
    <x v="0"/>
    <x v="0"/>
    <x v="1"/>
    <x v="0"/>
    <x v="0"/>
    <x v="4"/>
    <x v="1"/>
    <x v="0"/>
    <x v="17"/>
  </r>
  <r>
    <x v="268"/>
    <x v="158"/>
    <x v="94"/>
    <x v="0"/>
    <x v="83"/>
    <x v="268"/>
    <x v="0"/>
    <x v="56"/>
    <x v="280"/>
    <x v="268"/>
    <x v="149"/>
    <x v="271"/>
    <x v="0"/>
    <x v="2"/>
    <x v="15"/>
    <x v="3"/>
    <x v="1"/>
    <x v="0"/>
    <x v="0"/>
    <x v="0"/>
    <x v="1"/>
    <x v="0"/>
    <x v="0"/>
    <x v="4"/>
    <x v="1"/>
    <x v="0"/>
    <x v="18"/>
  </r>
  <r>
    <x v="269"/>
    <x v="159"/>
    <x v="94"/>
    <x v="0"/>
    <x v="151"/>
    <x v="269"/>
    <x v="0"/>
    <x v="24"/>
    <x v="281"/>
    <x v="269"/>
    <x v="135"/>
    <x v="272"/>
    <x v="0"/>
    <x v="2"/>
    <x v="25"/>
    <x v="3"/>
    <x v="1"/>
    <x v="0"/>
    <x v="0"/>
    <x v="0"/>
    <x v="1"/>
    <x v="0"/>
    <x v="0"/>
    <x v="1"/>
    <x v="1"/>
    <x v="0"/>
    <x v="18"/>
  </r>
  <r>
    <x v="270"/>
    <x v="138"/>
    <x v="94"/>
    <x v="0"/>
    <x v="217"/>
    <x v="270"/>
    <x v="0"/>
    <x v="24"/>
    <x v="282"/>
    <x v="270"/>
    <x v="135"/>
    <x v="273"/>
    <x v="0"/>
    <x v="2"/>
    <x v="25"/>
    <x v="3"/>
    <x v="1"/>
    <x v="0"/>
    <x v="0"/>
    <x v="0"/>
    <x v="1"/>
    <x v="0"/>
    <x v="0"/>
    <x v="1"/>
    <x v="1"/>
    <x v="0"/>
    <x v="18"/>
  </r>
  <r>
    <x v="271"/>
    <x v="134"/>
    <x v="94"/>
    <x v="0"/>
    <x v="218"/>
    <x v="271"/>
    <x v="2"/>
    <x v="24"/>
    <x v="283"/>
    <x v="271"/>
    <x v="107"/>
    <x v="274"/>
    <x v="0"/>
    <x v="2"/>
    <x v="25"/>
    <x v="3"/>
    <x v="1"/>
    <x v="0"/>
    <x v="0"/>
    <x v="0"/>
    <x v="1"/>
    <x v="0"/>
    <x v="0"/>
    <x v="1"/>
    <x v="1"/>
    <x v="0"/>
    <x v="18"/>
  </r>
  <r>
    <x v="272"/>
    <x v="150"/>
    <x v="94"/>
    <x v="0"/>
    <x v="219"/>
    <x v="272"/>
    <x v="2"/>
    <x v="21"/>
    <x v="284"/>
    <x v="272"/>
    <x v="135"/>
    <x v="275"/>
    <x v="0"/>
    <x v="2"/>
    <x v="18"/>
    <x v="3"/>
    <x v="1"/>
    <x v="0"/>
    <x v="0"/>
    <x v="0"/>
    <x v="1"/>
    <x v="0"/>
    <x v="0"/>
    <x v="4"/>
    <x v="1"/>
    <x v="0"/>
    <x v="18"/>
  </r>
  <r>
    <x v="273"/>
    <x v="150"/>
    <x v="94"/>
    <x v="0"/>
    <x v="220"/>
    <x v="273"/>
    <x v="2"/>
    <x v="21"/>
    <x v="285"/>
    <x v="273"/>
    <x v="24"/>
    <x v="276"/>
    <x v="0"/>
    <x v="2"/>
    <x v="18"/>
    <x v="3"/>
    <x v="1"/>
    <x v="0"/>
    <x v="0"/>
    <x v="0"/>
    <x v="1"/>
    <x v="0"/>
    <x v="0"/>
    <x v="4"/>
    <x v="1"/>
    <x v="0"/>
    <x v="18"/>
  </r>
  <r>
    <x v="274"/>
    <x v="160"/>
    <x v="94"/>
    <x v="0"/>
    <x v="221"/>
    <x v="274"/>
    <x v="0"/>
    <x v="24"/>
    <x v="286"/>
    <x v="274"/>
    <x v="135"/>
    <x v="277"/>
    <x v="0"/>
    <x v="2"/>
    <x v="25"/>
    <x v="3"/>
    <x v="1"/>
    <x v="0"/>
    <x v="0"/>
    <x v="0"/>
    <x v="1"/>
    <x v="0"/>
    <x v="0"/>
    <x v="1"/>
    <x v="1"/>
    <x v="0"/>
    <x v="18"/>
  </r>
  <r>
    <x v="275"/>
    <x v="161"/>
    <x v="94"/>
    <x v="0"/>
    <x v="222"/>
    <x v="275"/>
    <x v="0"/>
    <x v="47"/>
    <x v="287"/>
    <x v="275"/>
    <x v="0"/>
    <x v="278"/>
    <x v="2"/>
    <x v="2"/>
    <x v="5"/>
    <x v="3"/>
    <x v="1"/>
    <x v="0"/>
    <x v="0"/>
    <x v="0"/>
    <x v="1"/>
    <x v="0"/>
    <x v="0"/>
    <x v="3"/>
    <x v="1"/>
    <x v="0"/>
    <x v="18"/>
  </r>
  <r>
    <x v="1"/>
    <x v="162"/>
    <x v="96"/>
    <x v="0"/>
    <x v="223"/>
    <x v="276"/>
    <x v="0"/>
    <x v="21"/>
    <x v="288"/>
    <x v="276"/>
    <x v="150"/>
    <x v="279"/>
    <x v="1"/>
    <x v="2"/>
    <x v="11"/>
    <x v="3"/>
    <x v="1"/>
    <x v="0"/>
    <x v="0"/>
    <x v="0"/>
    <x v="1"/>
    <x v="0"/>
    <x v="0"/>
    <x v="4"/>
    <x v="1"/>
    <x v="0"/>
    <x v="8"/>
  </r>
  <r>
    <x v="276"/>
    <x v="150"/>
    <x v="96"/>
    <x v="0"/>
    <x v="126"/>
    <x v="277"/>
    <x v="2"/>
    <x v="21"/>
    <x v="289"/>
    <x v="277"/>
    <x v="135"/>
    <x v="280"/>
    <x v="0"/>
    <x v="2"/>
    <x v="18"/>
    <x v="3"/>
    <x v="1"/>
    <x v="0"/>
    <x v="0"/>
    <x v="0"/>
    <x v="1"/>
    <x v="0"/>
    <x v="0"/>
    <x v="4"/>
    <x v="1"/>
    <x v="0"/>
    <x v="8"/>
  </r>
  <r>
    <x v="277"/>
    <x v="158"/>
    <x v="97"/>
    <x v="0"/>
    <x v="224"/>
    <x v="278"/>
    <x v="0"/>
    <x v="46"/>
    <x v="290"/>
    <x v="278"/>
    <x v="151"/>
    <x v="281"/>
    <x v="2"/>
    <x v="2"/>
    <x v="3"/>
    <x v="3"/>
    <x v="1"/>
    <x v="0"/>
    <x v="0"/>
    <x v="0"/>
    <x v="1"/>
    <x v="0"/>
    <x v="0"/>
    <x v="1"/>
    <x v="1"/>
    <x v="0"/>
    <x v="3"/>
  </r>
  <r>
    <x v="264"/>
    <x v="163"/>
    <x v="97"/>
    <x v="0"/>
    <x v="215"/>
    <x v="279"/>
    <x v="2"/>
    <x v="47"/>
    <x v="291"/>
    <x v="279"/>
    <x v="0"/>
    <x v="267"/>
    <x v="5"/>
    <x v="2"/>
    <x v="14"/>
    <x v="3"/>
    <x v="1"/>
    <x v="0"/>
    <x v="0"/>
    <x v="0"/>
    <x v="1"/>
    <x v="0"/>
    <x v="0"/>
    <x v="3"/>
    <x v="1"/>
    <x v="0"/>
    <x v="3"/>
  </r>
  <r>
    <x v="278"/>
    <x v="154"/>
    <x v="98"/>
    <x v="0"/>
    <x v="225"/>
    <x v="280"/>
    <x v="2"/>
    <x v="47"/>
    <x v="292"/>
    <x v="280"/>
    <x v="152"/>
    <x v="282"/>
    <x v="1"/>
    <x v="2"/>
    <x v="22"/>
    <x v="3"/>
    <x v="1"/>
    <x v="0"/>
    <x v="0"/>
    <x v="0"/>
    <x v="1"/>
    <x v="0"/>
    <x v="0"/>
    <x v="3"/>
    <x v="1"/>
    <x v="1"/>
    <x v="25"/>
  </r>
  <r>
    <x v="279"/>
    <x v="164"/>
    <x v="99"/>
    <x v="0"/>
    <x v="226"/>
    <x v="281"/>
    <x v="0"/>
    <x v="57"/>
    <x v="293"/>
    <x v="281"/>
    <x v="153"/>
    <x v="283"/>
    <x v="3"/>
    <x v="2"/>
    <x v="26"/>
    <x v="3"/>
    <x v="1"/>
    <x v="0"/>
    <x v="0"/>
    <x v="0"/>
    <x v="1"/>
    <x v="0"/>
    <x v="0"/>
    <x v="2"/>
    <x v="1"/>
    <x v="1"/>
    <x v="13"/>
  </r>
  <r>
    <x v="280"/>
    <x v="165"/>
    <x v="100"/>
    <x v="0"/>
    <x v="227"/>
    <x v="282"/>
    <x v="0"/>
    <x v="53"/>
    <x v="294"/>
    <x v="282"/>
    <x v="91"/>
    <x v="284"/>
    <x v="2"/>
    <x v="2"/>
    <x v="10"/>
    <x v="3"/>
    <x v="1"/>
    <x v="0"/>
    <x v="0"/>
    <x v="0"/>
    <x v="1"/>
    <x v="0"/>
    <x v="0"/>
    <x v="3"/>
    <x v="1"/>
    <x v="1"/>
    <x v="0"/>
  </r>
  <r>
    <x v="281"/>
    <x v="166"/>
    <x v="101"/>
    <x v="0"/>
    <x v="228"/>
    <x v="283"/>
    <x v="0"/>
    <x v="53"/>
    <x v="295"/>
    <x v="283"/>
    <x v="0"/>
    <x v="285"/>
    <x v="2"/>
    <x v="2"/>
    <x v="10"/>
    <x v="3"/>
    <x v="1"/>
    <x v="0"/>
    <x v="0"/>
    <x v="0"/>
    <x v="1"/>
    <x v="0"/>
    <x v="0"/>
    <x v="2"/>
    <x v="1"/>
    <x v="1"/>
    <x v="22"/>
  </r>
  <r>
    <x v="282"/>
    <x v="167"/>
    <x v="102"/>
    <x v="0"/>
    <x v="229"/>
    <x v="284"/>
    <x v="0"/>
    <x v="53"/>
    <x v="296"/>
    <x v="284"/>
    <x v="131"/>
    <x v="286"/>
    <x v="0"/>
    <x v="2"/>
    <x v="2"/>
    <x v="3"/>
    <x v="1"/>
    <x v="0"/>
    <x v="0"/>
    <x v="0"/>
    <x v="1"/>
    <x v="0"/>
    <x v="0"/>
    <x v="3"/>
    <x v="1"/>
    <x v="1"/>
    <x v="11"/>
  </r>
  <r>
    <x v="283"/>
    <x v="168"/>
    <x v="102"/>
    <x v="0"/>
    <x v="230"/>
    <x v="285"/>
    <x v="0"/>
    <x v="53"/>
    <x v="297"/>
    <x v="285"/>
    <x v="131"/>
    <x v="287"/>
    <x v="0"/>
    <x v="2"/>
    <x v="2"/>
    <x v="3"/>
    <x v="1"/>
    <x v="0"/>
    <x v="0"/>
    <x v="0"/>
    <x v="1"/>
    <x v="0"/>
    <x v="0"/>
    <x v="3"/>
    <x v="1"/>
    <x v="1"/>
    <x v="11"/>
  </r>
  <r>
    <x v="284"/>
    <x v="168"/>
    <x v="102"/>
    <x v="0"/>
    <x v="231"/>
    <x v="286"/>
    <x v="0"/>
    <x v="53"/>
    <x v="298"/>
    <x v="286"/>
    <x v="131"/>
    <x v="288"/>
    <x v="0"/>
    <x v="2"/>
    <x v="2"/>
    <x v="3"/>
    <x v="1"/>
    <x v="0"/>
    <x v="0"/>
    <x v="0"/>
    <x v="1"/>
    <x v="0"/>
    <x v="0"/>
    <x v="4"/>
    <x v="1"/>
    <x v="1"/>
    <x v="11"/>
  </r>
  <r>
    <x v="285"/>
    <x v="169"/>
    <x v="103"/>
    <x v="0"/>
    <x v="232"/>
    <x v="287"/>
    <x v="0"/>
    <x v="15"/>
    <x v="299"/>
    <x v="287"/>
    <x v="154"/>
    <x v="289"/>
    <x v="2"/>
    <x v="2"/>
    <x v="10"/>
    <x v="3"/>
    <x v="1"/>
    <x v="0"/>
    <x v="0"/>
    <x v="0"/>
    <x v="1"/>
    <x v="0"/>
    <x v="0"/>
    <x v="4"/>
    <x v="1"/>
    <x v="1"/>
    <x v="19"/>
  </r>
  <r>
    <x v="286"/>
    <x v="168"/>
    <x v="97"/>
    <x v="0"/>
    <x v="233"/>
    <x v="288"/>
    <x v="0"/>
    <x v="25"/>
    <x v="300"/>
    <x v="15"/>
    <x v="155"/>
    <x v="290"/>
    <x v="3"/>
    <x v="2"/>
    <x v="6"/>
    <x v="3"/>
    <x v="1"/>
    <x v="0"/>
    <x v="0"/>
    <x v="0"/>
    <x v="1"/>
    <x v="0"/>
    <x v="0"/>
    <x v="4"/>
    <x v="1"/>
    <x v="0"/>
    <x v="3"/>
  </r>
  <r>
    <x v="287"/>
    <x v="170"/>
    <x v="103"/>
    <x v="0"/>
    <x v="234"/>
    <x v="289"/>
    <x v="0"/>
    <x v="58"/>
    <x v="301"/>
    <x v="15"/>
    <x v="156"/>
    <x v="291"/>
    <x v="3"/>
    <x v="2"/>
    <x v="27"/>
    <x v="3"/>
    <x v="1"/>
    <x v="0"/>
    <x v="0"/>
    <x v="0"/>
    <x v="1"/>
    <x v="0"/>
    <x v="0"/>
    <x v="4"/>
    <x v="1"/>
    <x v="1"/>
    <x v="19"/>
  </r>
</pivotCacheRecords>
</file>

<file path=xl/pivotCache/pivotCacheRecords2.xml><?xml version="1.0" encoding="utf-8"?>
<pivotCacheRecords xmlns="http://schemas.openxmlformats.org/spreadsheetml/2006/main" xmlns:r="http://schemas.openxmlformats.org/officeDocument/2006/relationships" count="307">
  <r>
    <x v="0"/>
    <x v="0"/>
    <x v="0"/>
    <x v="0"/>
    <x v="0"/>
    <x v="0"/>
    <x v="0"/>
    <x v="0"/>
    <x v="0"/>
    <x v="0"/>
    <x v="0"/>
    <x v="0"/>
    <x v="0"/>
    <x v="0"/>
    <x v="0"/>
    <x v="0"/>
    <x v="0"/>
    <x v="0"/>
    <x v="0"/>
    <x v="0"/>
    <x v="0"/>
    <x v="0"/>
    <x v="0"/>
    <x v="0"/>
    <x v="0"/>
    <x v="0"/>
  </r>
  <r>
    <x v="1"/>
    <x v="1"/>
    <x v="1"/>
    <x v="0"/>
    <x v="1"/>
    <x v="1"/>
    <x v="0"/>
    <x v="1"/>
    <x v="1"/>
    <x v="1"/>
    <x v="0"/>
    <x v="1"/>
    <x v="1"/>
    <x v="1"/>
    <x v="1"/>
    <x v="1"/>
    <x v="0"/>
    <x v="0"/>
    <x v="0"/>
    <x v="0"/>
    <x v="1"/>
    <x v="0"/>
    <x v="0"/>
    <x v="0"/>
    <x v="1"/>
    <x v="1"/>
  </r>
  <r>
    <x v="1"/>
    <x v="2"/>
    <x v="2"/>
    <x v="0"/>
    <x v="2"/>
    <x v="2"/>
    <x v="0"/>
    <x v="1"/>
    <x v="2"/>
    <x v="2"/>
    <x v="0"/>
    <x v="0"/>
    <x v="0"/>
    <x v="2"/>
    <x v="2"/>
    <x v="0"/>
    <x v="0"/>
    <x v="0"/>
    <x v="0"/>
    <x v="0"/>
    <x v="1"/>
    <x v="0"/>
    <x v="0"/>
    <x v="0"/>
    <x v="1"/>
    <x v="2"/>
  </r>
  <r>
    <x v="1"/>
    <x v="3"/>
    <x v="2"/>
    <x v="0"/>
    <x v="3"/>
    <x v="3"/>
    <x v="0"/>
    <x v="1"/>
    <x v="3"/>
    <x v="3"/>
    <x v="0"/>
    <x v="0"/>
    <x v="0"/>
    <x v="2"/>
    <x v="2"/>
    <x v="0"/>
    <x v="0"/>
    <x v="0"/>
    <x v="0"/>
    <x v="0"/>
    <x v="1"/>
    <x v="0"/>
    <x v="0"/>
    <x v="0"/>
    <x v="1"/>
    <x v="2"/>
  </r>
  <r>
    <x v="1"/>
    <x v="4"/>
    <x v="2"/>
    <x v="0"/>
    <x v="4"/>
    <x v="4"/>
    <x v="0"/>
    <x v="1"/>
    <x v="4"/>
    <x v="4"/>
    <x v="0"/>
    <x v="0"/>
    <x v="0"/>
    <x v="2"/>
    <x v="2"/>
    <x v="0"/>
    <x v="0"/>
    <x v="0"/>
    <x v="0"/>
    <x v="0"/>
    <x v="1"/>
    <x v="0"/>
    <x v="0"/>
    <x v="0"/>
    <x v="1"/>
    <x v="2"/>
  </r>
  <r>
    <x v="2"/>
    <x v="5"/>
    <x v="3"/>
    <x v="0"/>
    <x v="5"/>
    <x v="5"/>
    <x v="0"/>
    <x v="2"/>
    <x v="5"/>
    <x v="5"/>
    <x v="1"/>
    <x v="2"/>
    <x v="0"/>
    <x v="2"/>
    <x v="2"/>
    <x v="0"/>
    <x v="0"/>
    <x v="0"/>
    <x v="0"/>
    <x v="0"/>
    <x v="1"/>
    <x v="0"/>
    <x v="0"/>
    <x v="0"/>
    <x v="2"/>
    <x v="3"/>
  </r>
  <r>
    <x v="3"/>
    <x v="6"/>
    <x v="4"/>
    <x v="0"/>
    <x v="6"/>
    <x v="5"/>
    <x v="0"/>
    <x v="2"/>
    <x v="6"/>
    <x v="6"/>
    <x v="2"/>
    <x v="3"/>
    <x v="0"/>
    <x v="2"/>
    <x v="2"/>
    <x v="0"/>
    <x v="0"/>
    <x v="0"/>
    <x v="0"/>
    <x v="0"/>
    <x v="1"/>
    <x v="0"/>
    <x v="0"/>
    <x v="0"/>
    <x v="3"/>
    <x v="4"/>
  </r>
  <r>
    <x v="4"/>
    <x v="7"/>
    <x v="5"/>
    <x v="0"/>
    <x v="7"/>
    <x v="5"/>
    <x v="0"/>
    <x v="2"/>
    <x v="7"/>
    <x v="7"/>
    <x v="3"/>
    <x v="4"/>
    <x v="0"/>
    <x v="2"/>
    <x v="2"/>
    <x v="0"/>
    <x v="0"/>
    <x v="0"/>
    <x v="0"/>
    <x v="0"/>
    <x v="1"/>
    <x v="0"/>
    <x v="0"/>
    <x v="0"/>
    <x v="3"/>
    <x v="5"/>
  </r>
  <r>
    <x v="5"/>
    <x v="7"/>
    <x v="5"/>
    <x v="0"/>
    <x v="8"/>
    <x v="5"/>
    <x v="0"/>
    <x v="2"/>
    <x v="8"/>
    <x v="8"/>
    <x v="4"/>
    <x v="5"/>
    <x v="0"/>
    <x v="2"/>
    <x v="2"/>
    <x v="0"/>
    <x v="0"/>
    <x v="0"/>
    <x v="0"/>
    <x v="0"/>
    <x v="1"/>
    <x v="0"/>
    <x v="0"/>
    <x v="0"/>
    <x v="3"/>
    <x v="5"/>
  </r>
  <r>
    <x v="6"/>
    <x v="8"/>
    <x v="6"/>
    <x v="0"/>
    <x v="9"/>
    <x v="5"/>
    <x v="0"/>
    <x v="2"/>
    <x v="9"/>
    <x v="9"/>
    <x v="3"/>
    <x v="6"/>
    <x v="0"/>
    <x v="2"/>
    <x v="2"/>
    <x v="0"/>
    <x v="0"/>
    <x v="0"/>
    <x v="0"/>
    <x v="0"/>
    <x v="1"/>
    <x v="0"/>
    <x v="0"/>
    <x v="0"/>
    <x v="3"/>
    <x v="6"/>
  </r>
  <r>
    <x v="7"/>
    <x v="8"/>
    <x v="6"/>
    <x v="0"/>
    <x v="10"/>
    <x v="5"/>
    <x v="0"/>
    <x v="2"/>
    <x v="10"/>
    <x v="10"/>
    <x v="5"/>
    <x v="7"/>
    <x v="0"/>
    <x v="2"/>
    <x v="2"/>
    <x v="0"/>
    <x v="0"/>
    <x v="0"/>
    <x v="0"/>
    <x v="0"/>
    <x v="1"/>
    <x v="0"/>
    <x v="0"/>
    <x v="0"/>
    <x v="3"/>
    <x v="6"/>
  </r>
  <r>
    <x v="8"/>
    <x v="9"/>
    <x v="7"/>
    <x v="0"/>
    <x v="11"/>
    <x v="6"/>
    <x v="0"/>
    <x v="1"/>
    <x v="11"/>
    <x v="11"/>
    <x v="6"/>
    <x v="8"/>
    <x v="2"/>
    <x v="2"/>
    <x v="3"/>
    <x v="2"/>
    <x v="0"/>
    <x v="0"/>
    <x v="0"/>
    <x v="0"/>
    <x v="1"/>
    <x v="0"/>
    <x v="0"/>
    <x v="0"/>
    <x v="4"/>
    <x v="4"/>
  </r>
  <r>
    <x v="9"/>
    <x v="9"/>
    <x v="7"/>
    <x v="0"/>
    <x v="11"/>
    <x v="7"/>
    <x v="0"/>
    <x v="1"/>
    <x v="12"/>
    <x v="12"/>
    <x v="7"/>
    <x v="9"/>
    <x v="2"/>
    <x v="2"/>
    <x v="3"/>
    <x v="2"/>
    <x v="0"/>
    <x v="0"/>
    <x v="0"/>
    <x v="0"/>
    <x v="1"/>
    <x v="0"/>
    <x v="0"/>
    <x v="0"/>
    <x v="4"/>
    <x v="4"/>
  </r>
  <r>
    <x v="10"/>
    <x v="10"/>
    <x v="8"/>
    <x v="0"/>
    <x v="12"/>
    <x v="8"/>
    <x v="0"/>
    <x v="3"/>
    <x v="13"/>
    <x v="13"/>
    <x v="8"/>
    <x v="10"/>
    <x v="2"/>
    <x v="2"/>
    <x v="4"/>
    <x v="2"/>
    <x v="0"/>
    <x v="0"/>
    <x v="0"/>
    <x v="0"/>
    <x v="1"/>
    <x v="0"/>
    <x v="0"/>
    <x v="0"/>
    <x v="4"/>
    <x v="1"/>
  </r>
  <r>
    <x v="11"/>
    <x v="10"/>
    <x v="8"/>
    <x v="0"/>
    <x v="12"/>
    <x v="9"/>
    <x v="0"/>
    <x v="0"/>
    <x v="14"/>
    <x v="14"/>
    <x v="0"/>
    <x v="10"/>
    <x v="2"/>
    <x v="2"/>
    <x v="4"/>
    <x v="2"/>
    <x v="0"/>
    <x v="0"/>
    <x v="0"/>
    <x v="0"/>
    <x v="1"/>
    <x v="0"/>
    <x v="0"/>
    <x v="0"/>
    <x v="4"/>
    <x v="1"/>
  </r>
  <r>
    <x v="12"/>
    <x v="11"/>
    <x v="7"/>
    <x v="0"/>
    <x v="13"/>
    <x v="10"/>
    <x v="0"/>
    <x v="0"/>
    <x v="15"/>
    <x v="15"/>
    <x v="9"/>
    <x v="11"/>
    <x v="2"/>
    <x v="2"/>
    <x v="5"/>
    <x v="2"/>
    <x v="0"/>
    <x v="0"/>
    <x v="0"/>
    <x v="0"/>
    <x v="1"/>
    <x v="0"/>
    <x v="0"/>
    <x v="0"/>
    <x v="4"/>
    <x v="4"/>
  </r>
  <r>
    <x v="13"/>
    <x v="12"/>
    <x v="7"/>
    <x v="0"/>
    <x v="14"/>
    <x v="11"/>
    <x v="0"/>
    <x v="0"/>
    <x v="16"/>
    <x v="15"/>
    <x v="10"/>
    <x v="12"/>
    <x v="2"/>
    <x v="2"/>
    <x v="5"/>
    <x v="2"/>
    <x v="0"/>
    <x v="0"/>
    <x v="0"/>
    <x v="0"/>
    <x v="1"/>
    <x v="0"/>
    <x v="0"/>
    <x v="0"/>
    <x v="4"/>
    <x v="4"/>
  </r>
  <r>
    <x v="14"/>
    <x v="13"/>
    <x v="7"/>
    <x v="0"/>
    <x v="15"/>
    <x v="12"/>
    <x v="0"/>
    <x v="0"/>
    <x v="17"/>
    <x v="15"/>
    <x v="9"/>
    <x v="13"/>
    <x v="2"/>
    <x v="2"/>
    <x v="5"/>
    <x v="2"/>
    <x v="0"/>
    <x v="0"/>
    <x v="0"/>
    <x v="0"/>
    <x v="1"/>
    <x v="0"/>
    <x v="0"/>
    <x v="0"/>
    <x v="4"/>
    <x v="4"/>
  </r>
  <r>
    <x v="15"/>
    <x v="14"/>
    <x v="9"/>
    <x v="0"/>
    <x v="16"/>
    <x v="13"/>
    <x v="0"/>
    <x v="1"/>
    <x v="18"/>
    <x v="16"/>
    <x v="11"/>
    <x v="14"/>
    <x v="2"/>
    <x v="2"/>
    <x v="5"/>
    <x v="3"/>
    <x v="1"/>
    <x v="0"/>
    <x v="0"/>
    <x v="0"/>
    <x v="1"/>
    <x v="0"/>
    <x v="0"/>
    <x v="0"/>
    <x v="4"/>
    <x v="7"/>
  </r>
  <r>
    <x v="16"/>
    <x v="15"/>
    <x v="7"/>
    <x v="0"/>
    <x v="17"/>
    <x v="14"/>
    <x v="0"/>
    <x v="0"/>
    <x v="19"/>
    <x v="17"/>
    <x v="12"/>
    <x v="15"/>
    <x v="3"/>
    <x v="2"/>
    <x v="6"/>
    <x v="4"/>
    <x v="0"/>
    <x v="0"/>
    <x v="0"/>
    <x v="0"/>
    <x v="1"/>
    <x v="0"/>
    <x v="0"/>
    <x v="0"/>
    <x v="4"/>
    <x v="4"/>
  </r>
  <r>
    <x v="17"/>
    <x v="16"/>
    <x v="7"/>
    <x v="0"/>
    <x v="18"/>
    <x v="15"/>
    <x v="0"/>
    <x v="3"/>
    <x v="20"/>
    <x v="18"/>
    <x v="0"/>
    <x v="16"/>
    <x v="2"/>
    <x v="2"/>
    <x v="4"/>
    <x v="2"/>
    <x v="0"/>
    <x v="0"/>
    <x v="0"/>
    <x v="0"/>
    <x v="1"/>
    <x v="0"/>
    <x v="0"/>
    <x v="0"/>
    <x v="4"/>
    <x v="4"/>
  </r>
  <r>
    <x v="18"/>
    <x v="17"/>
    <x v="7"/>
    <x v="0"/>
    <x v="19"/>
    <x v="16"/>
    <x v="0"/>
    <x v="1"/>
    <x v="21"/>
    <x v="19"/>
    <x v="13"/>
    <x v="17"/>
    <x v="3"/>
    <x v="2"/>
    <x v="7"/>
    <x v="4"/>
    <x v="0"/>
    <x v="0"/>
    <x v="0"/>
    <x v="0"/>
    <x v="1"/>
    <x v="0"/>
    <x v="0"/>
    <x v="0"/>
    <x v="4"/>
    <x v="4"/>
  </r>
  <r>
    <x v="19"/>
    <x v="18"/>
    <x v="10"/>
    <x v="0"/>
    <x v="20"/>
    <x v="17"/>
    <x v="0"/>
    <x v="1"/>
    <x v="22"/>
    <x v="20"/>
    <x v="14"/>
    <x v="18"/>
    <x v="3"/>
    <x v="2"/>
    <x v="6"/>
    <x v="4"/>
    <x v="0"/>
    <x v="0"/>
    <x v="0"/>
    <x v="0"/>
    <x v="1"/>
    <x v="0"/>
    <x v="0"/>
    <x v="0"/>
    <x v="5"/>
    <x v="8"/>
  </r>
  <r>
    <x v="20"/>
    <x v="19"/>
    <x v="8"/>
    <x v="0"/>
    <x v="6"/>
    <x v="18"/>
    <x v="0"/>
    <x v="2"/>
    <x v="23"/>
    <x v="15"/>
    <x v="0"/>
    <x v="0"/>
    <x v="4"/>
    <x v="1"/>
    <x v="8"/>
    <x v="3"/>
    <x v="1"/>
    <x v="0"/>
    <x v="0"/>
    <x v="0"/>
    <x v="1"/>
    <x v="0"/>
    <x v="0"/>
    <x v="0"/>
    <x v="4"/>
    <x v="1"/>
  </r>
  <r>
    <x v="21"/>
    <x v="20"/>
    <x v="11"/>
    <x v="0"/>
    <x v="21"/>
    <x v="5"/>
    <x v="0"/>
    <x v="2"/>
    <x v="23"/>
    <x v="15"/>
    <x v="0"/>
    <x v="0"/>
    <x v="4"/>
    <x v="1"/>
    <x v="8"/>
    <x v="3"/>
    <x v="1"/>
    <x v="0"/>
    <x v="0"/>
    <x v="0"/>
    <x v="1"/>
    <x v="0"/>
    <x v="0"/>
    <x v="0"/>
    <x v="4"/>
    <x v="9"/>
  </r>
  <r>
    <x v="22"/>
    <x v="21"/>
    <x v="11"/>
    <x v="0"/>
    <x v="22"/>
    <x v="19"/>
    <x v="0"/>
    <x v="1"/>
    <x v="24"/>
    <x v="21"/>
    <x v="0"/>
    <x v="19"/>
    <x v="1"/>
    <x v="2"/>
    <x v="9"/>
    <x v="3"/>
    <x v="1"/>
    <x v="0"/>
    <x v="0"/>
    <x v="0"/>
    <x v="1"/>
    <x v="0"/>
    <x v="0"/>
    <x v="0"/>
    <x v="4"/>
    <x v="9"/>
  </r>
  <r>
    <x v="23"/>
    <x v="22"/>
    <x v="12"/>
    <x v="0"/>
    <x v="23"/>
    <x v="20"/>
    <x v="0"/>
    <x v="0"/>
    <x v="25"/>
    <x v="22"/>
    <x v="15"/>
    <x v="20"/>
    <x v="1"/>
    <x v="2"/>
    <x v="9"/>
    <x v="3"/>
    <x v="1"/>
    <x v="0"/>
    <x v="0"/>
    <x v="0"/>
    <x v="1"/>
    <x v="0"/>
    <x v="0"/>
    <x v="0"/>
    <x v="4"/>
    <x v="10"/>
  </r>
  <r>
    <x v="24"/>
    <x v="23"/>
    <x v="12"/>
    <x v="0"/>
    <x v="24"/>
    <x v="21"/>
    <x v="0"/>
    <x v="4"/>
    <x v="26"/>
    <x v="15"/>
    <x v="16"/>
    <x v="21"/>
    <x v="2"/>
    <x v="2"/>
    <x v="10"/>
    <x v="3"/>
    <x v="1"/>
    <x v="0"/>
    <x v="0"/>
    <x v="0"/>
    <x v="1"/>
    <x v="0"/>
    <x v="0"/>
    <x v="0"/>
    <x v="4"/>
    <x v="10"/>
  </r>
  <r>
    <x v="1"/>
    <x v="9"/>
    <x v="12"/>
    <x v="0"/>
    <x v="25"/>
    <x v="22"/>
    <x v="0"/>
    <x v="5"/>
    <x v="27"/>
    <x v="23"/>
    <x v="17"/>
    <x v="22"/>
    <x v="1"/>
    <x v="2"/>
    <x v="11"/>
    <x v="3"/>
    <x v="1"/>
    <x v="0"/>
    <x v="0"/>
    <x v="0"/>
    <x v="1"/>
    <x v="0"/>
    <x v="0"/>
    <x v="0"/>
    <x v="4"/>
    <x v="10"/>
  </r>
  <r>
    <x v="25"/>
    <x v="24"/>
    <x v="12"/>
    <x v="0"/>
    <x v="24"/>
    <x v="23"/>
    <x v="0"/>
    <x v="6"/>
    <x v="28"/>
    <x v="24"/>
    <x v="18"/>
    <x v="23"/>
    <x v="2"/>
    <x v="2"/>
    <x v="10"/>
    <x v="3"/>
    <x v="1"/>
    <x v="0"/>
    <x v="0"/>
    <x v="0"/>
    <x v="1"/>
    <x v="0"/>
    <x v="0"/>
    <x v="0"/>
    <x v="4"/>
    <x v="10"/>
  </r>
  <r>
    <x v="26"/>
    <x v="25"/>
    <x v="12"/>
    <x v="0"/>
    <x v="26"/>
    <x v="24"/>
    <x v="0"/>
    <x v="1"/>
    <x v="29"/>
    <x v="25"/>
    <x v="19"/>
    <x v="24"/>
    <x v="3"/>
    <x v="2"/>
    <x v="6"/>
    <x v="4"/>
    <x v="0"/>
    <x v="0"/>
    <x v="0"/>
    <x v="0"/>
    <x v="1"/>
    <x v="0"/>
    <x v="0"/>
    <x v="0"/>
    <x v="4"/>
    <x v="10"/>
  </r>
  <r>
    <x v="27"/>
    <x v="25"/>
    <x v="12"/>
    <x v="0"/>
    <x v="26"/>
    <x v="24"/>
    <x v="0"/>
    <x v="1"/>
    <x v="30"/>
    <x v="26"/>
    <x v="19"/>
    <x v="25"/>
    <x v="3"/>
    <x v="2"/>
    <x v="6"/>
    <x v="4"/>
    <x v="0"/>
    <x v="0"/>
    <x v="0"/>
    <x v="0"/>
    <x v="1"/>
    <x v="0"/>
    <x v="0"/>
    <x v="0"/>
    <x v="4"/>
    <x v="10"/>
  </r>
  <r>
    <x v="28"/>
    <x v="26"/>
    <x v="12"/>
    <x v="0"/>
    <x v="26"/>
    <x v="24"/>
    <x v="0"/>
    <x v="1"/>
    <x v="31"/>
    <x v="27"/>
    <x v="20"/>
    <x v="26"/>
    <x v="3"/>
    <x v="2"/>
    <x v="6"/>
    <x v="4"/>
    <x v="0"/>
    <x v="0"/>
    <x v="0"/>
    <x v="0"/>
    <x v="1"/>
    <x v="0"/>
    <x v="0"/>
    <x v="0"/>
    <x v="4"/>
    <x v="10"/>
  </r>
  <r>
    <x v="29"/>
    <x v="25"/>
    <x v="12"/>
    <x v="0"/>
    <x v="26"/>
    <x v="24"/>
    <x v="0"/>
    <x v="1"/>
    <x v="32"/>
    <x v="28"/>
    <x v="21"/>
    <x v="27"/>
    <x v="3"/>
    <x v="2"/>
    <x v="6"/>
    <x v="4"/>
    <x v="0"/>
    <x v="0"/>
    <x v="0"/>
    <x v="0"/>
    <x v="1"/>
    <x v="0"/>
    <x v="0"/>
    <x v="0"/>
    <x v="4"/>
    <x v="10"/>
  </r>
  <r>
    <x v="30"/>
    <x v="27"/>
    <x v="12"/>
    <x v="0"/>
    <x v="26"/>
    <x v="24"/>
    <x v="0"/>
    <x v="1"/>
    <x v="33"/>
    <x v="29"/>
    <x v="22"/>
    <x v="28"/>
    <x v="3"/>
    <x v="2"/>
    <x v="6"/>
    <x v="4"/>
    <x v="0"/>
    <x v="0"/>
    <x v="0"/>
    <x v="0"/>
    <x v="1"/>
    <x v="0"/>
    <x v="0"/>
    <x v="0"/>
    <x v="4"/>
    <x v="10"/>
  </r>
  <r>
    <x v="31"/>
    <x v="25"/>
    <x v="12"/>
    <x v="0"/>
    <x v="26"/>
    <x v="24"/>
    <x v="0"/>
    <x v="1"/>
    <x v="34"/>
    <x v="30"/>
    <x v="19"/>
    <x v="29"/>
    <x v="3"/>
    <x v="2"/>
    <x v="6"/>
    <x v="4"/>
    <x v="0"/>
    <x v="0"/>
    <x v="0"/>
    <x v="0"/>
    <x v="1"/>
    <x v="0"/>
    <x v="0"/>
    <x v="0"/>
    <x v="4"/>
    <x v="10"/>
  </r>
  <r>
    <x v="32"/>
    <x v="25"/>
    <x v="12"/>
    <x v="0"/>
    <x v="26"/>
    <x v="24"/>
    <x v="0"/>
    <x v="1"/>
    <x v="35"/>
    <x v="31"/>
    <x v="19"/>
    <x v="30"/>
    <x v="3"/>
    <x v="2"/>
    <x v="6"/>
    <x v="4"/>
    <x v="0"/>
    <x v="0"/>
    <x v="0"/>
    <x v="0"/>
    <x v="1"/>
    <x v="0"/>
    <x v="0"/>
    <x v="0"/>
    <x v="4"/>
    <x v="10"/>
  </r>
  <r>
    <x v="33"/>
    <x v="25"/>
    <x v="12"/>
    <x v="0"/>
    <x v="26"/>
    <x v="24"/>
    <x v="0"/>
    <x v="1"/>
    <x v="36"/>
    <x v="32"/>
    <x v="19"/>
    <x v="31"/>
    <x v="3"/>
    <x v="2"/>
    <x v="6"/>
    <x v="4"/>
    <x v="0"/>
    <x v="0"/>
    <x v="0"/>
    <x v="0"/>
    <x v="1"/>
    <x v="0"/>
    <x v="0"/>
    <x v="0"/>
    <x v="4"/>
    <x v="10"/>
  </r>
  <r>
    <x v="34"/>
    <x v="25"/>
    <x v="12"/>
    <x v="0"/>
    <x v="26"/>
    <x v="24"/>
    <x v="0"/>
    <x v="1"/>
    <x v="37"/>
    <x v="33"/>
    <x v="22"/>
    <x v="32"/>
    <x v="3"/>
    <x v="2"/>
    <x v="6"/>
    <x v="4"/>
    <x v="0"/>
    <x v="0"/>
    <x v="0"/>
    <x v="0"/>
    <x v="1"/>
    <x v="0"/>
    <x v="0"/>
    <x v="0"/>
    <x v="4"/>
    <x v="10"/>
  </r>
  <r>
    <x v="35"/>
    <x v="28"/>
    <x v="12"/>
    <x v="0"/>
    <x v="26"/>
    <x v="24"/>
    <x v="0"/>
    <x v="1"/>
    <x v="38"/>
    <x v="34"/>
    <x v="23"/>
    <x v="33"/>
    <x v="3"/>
    <x v="2"/>
    <x v="6"/>
    <x v="4"/>
    <x v="0"/>
    <x v="0"/>
    <x v="0"/>
    <x v="0"/>
    <x v="1"/>
    <x v="0"/>
    <x v="0"/>
    <x v="0"/>
    <x v="4"/>
    <x v="10"/>
  </r>
  <r>
    <x v="36"/>
    <x v="29"/>
    <x v="13"/>
    <x v="0"/>
    <x v="27"/>
    <x v="25"/>
    <x v="0"/>
    <x v="0"/>
    <x v="39"/>
    <x v="35"/>
    <x v="24"/>
    <x v="34"/>
    <x v="0"/>
    <x v="2"/>
    <x v="12"/>
    <x v="3"/>
    <x v="1"/>
    <x v="0"/>
    <x v="0"/>
    <x v="0"/>
    <x v="1"/>
    <x v="0"/>
    <x v="0"/>
    <x v="0"/>
    <x v="4"/>
    <x v="11"/>
  </r>
  <r>
    <x v="37"/>
    <x v="27"/>
    <x v="10"/>
    <x v="0"/>
    <x v="28"/>
    <x v="26"/>
    <x v="0"/>
    <x v="0"/>
    <x v="40"/>
    <x v="36"/>
    <x v="24"/>
    <x v="35"/>
    <x v="0"/>
    <x v="2"/>
    <x v="13"/>
    <x v="4"/>
    <x v="0"/>
    <x v="0"/>
    <x v="0"/>
    <x v="0"/>
    <x v="1"/>
    <x v="0"/>
    <x v="0"/>
    <x v="0"/>
    <x v="5"/>
    <x v="8"/>
  </r>
  <r>
    <x v="38"/>
    <x v="30"/>
    <x v="12"/>
    <x v="0"/>
    <x v="29"/>
    <x v="27"/>
    <x v="0"/>
    <x v="2"/>
    <x v="23"/>
    <x v="15"/>
    <x v="0"/>
    <x v="0"/>
    <x v="4"/>
    <x v="1"/>
    <x v="8"/>
    <x v="3"/>
    <x v="1"/>
    <x v="0"/>
    <x v="0"/>
    <x v="0"/>
    <x v="1"/>
    <x v="0"/>
    <x v="0"/>
    <x v="0"/>
    <x v="4"/>
    <x v="10"/>
  </r>
  <r>
    <x v="39"/>
    <x v="31"/>
    <x v="8"/>
    <x v="0"/>
    <x v="6"/>
    <x v="28"/>
    <x v="0"/>
    <x v="2"/>
    <x v="23"/>
    <x v="15"/>
    <x v="0"/>
    <x v="0"/>
    <x v="4"/>
    <x v="1"/>
    <x v="8"/>
    <x v="3"/>
    <x v="1"/>
    <x v="0"/>
    <x v="0"/>
    <x v="0"/>
    <x v="1"/>
    <x v="0"/>
    <x v="0"/>
    <x v="0"/>
    <x v="4"/>
    <x v="1"/>
  </r>
  <r>
    <x v="40"/>
    <x v="32"/>
    <x v="8"/>
    <x v="0"/>
    <x v="30"/>
    <x v="29"/>
    <x v="0"/>
    <x v="1"/>
    <x v="41"/>
    <x v="37"/>
    <x v="25"/>
    <x v="36"/>
    <x v="5"/>
    <x v="2"/>
    <x v="14"/>
    <x v="3"/>
    <x v="1"/>
    <x v="0"/>
    <x v="0"/>
    <x v="0"/>
    <x v="1"/>
    <x v="0"/>
    <x v="0"/>
    <x v="0"/>
    <x v="4"/>
    <x v="1"/>
  </r>
  <r>
    <x v="41"/>
    <x v="9"/>
    <x v="14"/>
    <x v="0"/>
    <x v="31"/>
    <x v="30"/>
    <x v="0"/>
    <x v="1"/>
    <x v="42"/>
    <x v="38"/>
    <x v="26"/>
    <x v="37"/>
    <x v="0"/>
    <x v="2"/>
    <x v="12"/>
    <x v="3"/>
    <x v="1"/>
    <x v="0"/>
    <x v="0"/>
    <x v="0"/>
    <x v="1"/>
    <x v="0"/>
    <x v="0"/>
    <x v="0"/>
    <x v="4"/>
    <x v="12"/>
  </r>
  <r>
    <x v="42"/>
    <x v="11"/>
    <x v="13"/>
    <x v="0"/>
    <x v="32"/>
    <x v="31"/>
    <x v="0"/>
    <x v="7"/>
    <x v="43"/>
    <x v="39"/>
    <x v="27"/>
    <x v="38"/>
    <x v="0"/>
    <x v="2"/>
    <x v="15"/>
    <x v="3"/>
    <x v="1"/>
    <x v="0"/>
    <x v="0"/>
    <x v="0"/>
    <x v="1"/>
    <x v="0"/>
    <x v="0"/>
    <x v="0"/>
    <x v="4"/>
    <x v="11"/>
  </r>
  <r>
    <x v="43"/>
    <x v="24"/>
    <x v="13"/>
    <x v="0"/>
    <x v="32"/>
    <x v="32"/>
    <x v="0"/>
    <x v="1"/>
    <x v="44"/>
    <x v="40"/>
    <x v="28"/>
    <x v="38"/>
    <x v="0"/>
    <x v="2"/>
    <x v="15"/>
    <x v="3"/>
    <x v="1"/>
    <x v="0"/>
    <x v="0"/>
    <x v="0"/>
    <x v="1"/>
    <x v="0"/>
    <x v="0"/>
    <x v="0"/>
    <x v="4"/>
    <x v="11"/>
  </r>
  <r>
    <x v="21"/>
    <x v="33"/>
    <x v="14"/>
    <x v="0"/>
    <x v="33"/>
    <x v="33"/>
    <x v="0"/>
    <x v="1"/>
    <x v="45"/>
    <x v="41"/>
    <x v="28"/>
    <x v="39"/>
    <x v="0"/>
    <x v="2"/>
    <x v="15"/>
    <x v="3"/>
    <x v="1"/>
    <x v="0"/>
    <x v="0"/>
    <x v="0"/>
    <x v="1"/>
    <x v="0"/>
    <x v="0"/>
    <x v="0"/>
    <x v="4"/>
    <x v="12"/>
  </r>
  <r>
    <x v="44"/>
    <x v="34"/>
    <x v="15"/>
    <x v="0"/>
    <x v="34"/>
    <x v="34"/>
    <x v="0"/>
    <x v="1"/>
    <x v="46"/>
    <x v="42"/>
    <x v="29"/>
    <x v="40"/>
    <x v="0"/>
    <x v="2"/>
    <x v="15"/>
    <x v="3"/>
    <x v="1"/>
    <x v="0"/>
    <x v="0"/>
    <x v="0"/>
    <x v="1"/>
    <x v="0"/>
    <x v="0"/>
    <x v="0"/>
    <x v="4"/>
    <x v="13"/>
  </r>
  <r>
    <x v="45"/>
    <x v="35"/>
    <x v="16"/>
    <x v="0"/>
    <x v="35"/>
    <x v="35"/>
    <x v="0"/>
    <x v="1"/>
    <x v="47"/>
    <x v="43"/>
    <x v="30"/>
    <x v="41"/>
    <x v="0"/>
    <x v="2"/>
    <x v="15"/>
    <x v="3"/>
    <x v="1"/>
    <x v="0"/>
    <x v="0"/>
    <x v="0"/>
    <x v="1"/>
    <x v="0"/>
    <x v="0"/>
    <x v="0"/>
    <x v="6"/>
    <x v="14"/>
  </r>
  <r>
    <x v="46"/>
    <x v="36"/>
    <x v="17"/>
    <x v="0"/>
    <x v="36"/>
    <x v="36"/>
    <x v="0"/>
    <x v="0"/>
    <x v="48"/>
    <x v="44"/>
    <x v="31"/>
    <x v="42"/>
    <x v="2"/>
    <x v="1"/>
    <x v="8"/>
    <x v="3"/>
    <x v="1"/>
    <x v="0"/>
    <x v="0"/>
    <x v="0"/>
    <x v="1"/>
    <x v="0"/>
    <x v="0"/>
    <x v="0"/>
    <x v="7"/>
    <x v="12"/>
  </r>
  <r>
    <x v="47"/>
    <x v="37"/>
    <x v="18"/>
    <x v="0"/>
    <x v="37"/>
    <x v="37"/>
    <x v="0"/>
    <x v="1"/>
    <x v="49"/>
    <x v="45"/>
    <x v="32"/>
    <x v="43"/>
    <x v="6"/>
    <x v="1"/>
    <x v="8"/>
    <x v="3"/>
    <x v="1"/>
    <x v="0"/>
    <x v="0"/>
    <x v="0"/>
    <x v="1"/>
    <x v="0"/>
    <x v="0"/>
    <x v="0"/>
    <x v="4"/>
    <x v="2"/>
  </r>
  <r>
    <x v="48"/>
    <x v="38"/>
    <x v="19"/>
    <x v="0"/>
    <x v="38"/>
    <x v="38"/>
    <x v="0"/>
    <x v="0"/>
    <x v="50"/>
    <x v="46"/>
    <x v="17"/>
    <x v="44"/>
    <x v="2"/>
    <x v="2"/>
    <x v="16"/>
    <x v="3"/>
    <x v="1"/>
    <x v="0"/>
    <x v="0"/>
    <x v="0"/>
    <x v="1"/>
    <x v="0"/>
    <x v="0"/>
    <x v="0"/>
    <x v="4"/>
    <x v="6"/>
  </r>
  <r>
    <x v="49"/>
    <x v="9"/>
    <x v="19"/>
    <x v="0"/>
    <x v="39"/>
    <x v="39"/>
    <x v="0"/>
    <x v="0"/>
    <x v="51"/>
    <x v="47"/>
    <x v="33"/>
    <x v="45"/>
    <x v="2"/>
    <x v="2"/>
    <x v="17"/>
    <x v="3"/>
    <x v="1"/>
    <x v="0"/>
    <x v="0"/>
    <x v="0"/>
    <x v="1"/>
    <x v="0"/>
    <x v="0"/>
    <x v="0"/>
    <x v="4"/>
    <x v="6"/>
  </r>
  <r>
    <x v="50"/>
    <x v="9"/>
    <x v="19"/>
    <x v="0"/>
    <x v="39"/>
    <x v="40"/>
    <x v="0"/>
    <x v="0"/>
    <x v="52"/>
    <x v="48"/>
    <x v="33"/>
    <x v="46"/>
    <x v="2"/>
    <x v="2"/>
    <x v="17"/>
    <x v="3"/>
    <x v="1"/>
    <x v="0"/>
    <x v="0"/>
    <x v="0"/>
    <x v="1"/>
    <x v="0"/>
    <x v="0"/>
    <x v="0"/>
    <x v="4"/>
    <x v="6"/>
  </r>
  <r>
    <x v="51"/>
    <x v="9"/>
    <x v="19"/>
    <x v="0"/>
    <x v="39"/>
    <x v="41"/>
    <x v="0"/>
    <x v="1"/>
    <x v="53"/>
    <x v="49"/>
    <x v="33"/>
    <x v="47"/>
    <x v="2"/>
    <x v="2"/>
    <x v="17"/>
    <x v="3"/>
    <x v="1"/>
    <x v="0"/>
    <x v="0"/>
    <x v="0"/>
    <x v="1"/>
    <x v="0"/>
    <x v="0"/>
    <x v="0"/>
    <x v="4"/>
    <x v="6"/>
  </r>
  <r>
    <x v="52"/>
    <x v="9"/>
    <x v="19"/>
    <x v="0"/>
    <x v="39"/>
    <x v="42"/>
    <x v="0"/>
    <x v="1"/>
    <x v="54"/>
    <x v="50"/>
    <x v="34"/>
    <x v="48"/>
    <x v="2"/>
    <x v="2"/>
    <x v="17"/>
    <x v="3"/>
    <x v="1"/>
    <x v="0"/>
    <x v="0"/>
    <x v="0"/>
    <x v="1"/>
    <x v="0"/>
    <x v="0"/>
    <x v="0"/>
    <x v="4"/>
    <x v="6"/>
  </r>
  <r>
    <x v="53"/>
    <x v="9"/>
    <x v="19"/>
    <x v="0"/>
    <x v="39"/>
    <x v="43"/>
    <x v="0"/>
    <x v="0"/>
    <x v="55"/>
    <x v="51"/>
    <x v="35"/>
    <x v="49"/>
    <x v="2"/>
    <x v="2"/>
    <x v="17"/>
    <x v="3"/>
    <x v="1"/>
    <x v="0"/>
    <x v="0"/>
    <x v="0"/>
    <x v="1"/>
    <x v="0"/>
    <x v="0"/>
    <x v="0"/>
    <x v="4"/>
    <x v="6"/>
  </r>
  <r>
    <x v="54"/>
    <x v="39"/>
    <x v="19"/>
    <x v="0"/>
    <x v="40"/>
    <x v="44"/>
    <x v="0"/>
    <x v="1"/>
    <x v="56"/>
    <x v="52"/>
    <x v="36"/>
    <x v="50"/>
    <x v="3"/>
    <x v="2"/>
    <x v="6"/>
    <x v="3"/>
    <x v="1"/>
    <x v="0"/>
    <x v="0"/>
    <x v="0"/>
    <x v="1"/>
    <x v="0"/>
    <x v="0"/>
    <x v="0"/>
    <x v="4"/>
    <x v="6"/>
  </r>
  <r>
    <x v="55"/>
    <x v="40"/>
    <x v="19"/>
    <x v="0"/>
    <x v="41"/>
    <x v="45"/>
    <x v="0"/>
    <x v="1"/>
    <x v="57"/>
    <x v="53"/>
    <x v="37"/>
    <x v="51"/>
    <x v="3"/>
    <x v="2"/>
    <x v="6"/>
    <x v="3"/>
    <x v="1"/>
    <x v="0"/>
    <x v="0"/>
    <x v="0"/>
    <x v="1"/>
    <x v="0"/>
    <x v="0"/>
    <x v="0"/>
    <x v="4"/>
    <x v="6"/>
  </r>
  <r>
    <x v="56"/>
    <x v="41"/>
    <x v="20"/>
    <x v="0"/>
    <x v="42"/>
    <x v="46"/>
    <x v="0"/>
    <x v="1"/>
    <x v="58"/>
    <x v="54"/>
    <x v="38"/>
    <x v="52"/>
    <x v="2"/>
    <x v="2"/>
    <x v="4"/>
    <x v="2"/>
    <x v="0"/>
    <x v="0"/>
    <x v="0"/>
    <x v="0"/>
    <x v="1"/>
    <x v="0"/>
    <x v="0"/>
    <x v="0"/>
    <x v="4"/>
    <x v="14"/>
  </r>
  <r>
    <x v="57"/>
    <x v="32"/>
    <x v="20"/>
    <x v="0"/>
    <x v="43"/>
    <x v="47"/>
    <x v="0"/>
    <x v="1"/>
    <x v="59"/>
    <x v="55"/>
    <x v="39"/>
    <x v="53"/>
    <x v="0"/>
    <x v="2"/>
    <x v="15"/>
    <x v="3"/>
    <x v="1"/>
    <x v="0"/>
    <x v="0"/>
    <x v="0"/>
    <x v="1"/>
    <x v="0"/>
    <x v="0"/>
    <x v="0"/>
    <x v="4"/>
    <x v="14"/>
  </r>
  <r>
    <x v="58"/>
    <x v="29"/>
    <x v="20"/>
    <x v="0"/>
    <x v="44"/>
    <x v="48"/>
    <x v="0"/>
    <x v="1"/>
    <x v="60"/>
    <x v="56"/>
    <x v="40"/>
    <x v="54"/>
    <x v="0"/>
    <x v="2"/>
    <x v="15"/>
    <x v="3"/>
    <x v="1"/>
    <x v="0"/>
    <x v="0"/>
    <x v="0"/>
    <x v="1"/>
    <x v="0"/>
    <x v="0"/>
    <x v="0"/>
    <x v="4"/>
    <x v="14"/>
  </r>
  <r>
    <x v="59"/>
    <x v="42"/>
    <x v="21"/>
    <x v="0"/>
    <x v="45"/>
    <x v="49"/>
    <x v="0"/>
    <x v="1"/>
    <x v="61"/>
    <x v="57"/>
    <x v="41"/>
    <x v="55"/>
    <x v="2"/>
    <x v="2"/>
    <x v="10"/>
    <x v="3"/>
    <x v="1"/>
    <x v="0"/>
    <x v="0"/>
    <x v="0"/>
    <x v="1"/>
    <x v="0"/>
    <x v="0"/>
    <x v="0"/>
    <x v="4"/>
    <x v="15"/>
  </r>
  <r>
    <x v="60"/>
    <x v="43"/>
    <x v="21"/>
    <x v="0"/>
    <x v="46"/>
    <x v="50"/>
    <x v="0"/>
    <x v="0"/>
    <x v="62"/>
    <x v="58"/>
    <x v="42"/>
    <x v="56"/>
    <x v="0"/>
    <x v="2"/>
    <x v="18"/>
    <x v="3"/>
    <x v="1"/>
    <x v="0"/>
    <x v="0"/>
    <x v="0"/>
    <x v="1"/>
    <x v="0"/>
    <x v="0"/>
    <x v="0"/>
    <x v="4"/>
    <x v="15"/>
  </r>
  <r>
    <x v="61"/>
    <x v="44"/>
    <x v="21"/>
    <x v="0"/>
    <x v="47"/>
    <x v="51"/>
    <x v="0"/>
    <x v="1"/>
    <x v="63"/>
    <x v="59"/>
    <x v="43"/>
    <x v="57"/>
    <x v="0"/>
    <x v="2"/>
    <x v="18"/>
    <x v="3"/>
    <x v="1"/>
    <x v="0"/>
    <x v="0"/>
    <x v="0"/>
    <x v="1"/>
    <x v="0"/>
    <x v="0"/>
    <x v="0"/>
    <x v="4"/>
    <x v="15"/>
  </r>
  <r>
    <x v="1"/>
    <x v="45"/>
    <x v="22"/>
    <x v="0"/>
    <x v="11"/>
    <x v="52"/>
    <x v="0"/>
    <x v="8"/>
    <x v="64"/>
    <x v="60"/>
    <x v="7"/>
    <x v="58"/>
    <x v="2"/>
    <x v="2"/>
    <x v="3"/>
    <x v="3"/>
    <x v="1"/>
    <x v="0"/>
    <x v="0"/>
    <x v="0"/>
    <x v="1"/>
    <x v="0"/>
    <x v="0"/>
    <x v="0"/>
    <x v="4"/>
    <x v="16"/>
  </r>
  <r>
    <x v="62"/>
    <x v="46"/>
    <x v="22"/>
    <x v="0"/>
    <x v="48"/>
    <x v="53"/>
    <x v="0"/>
    <x v="1"/>
    <x v="65"/>
    <x v="61"/>
    <x v="44"/>
    <x v="59"/>
    <x v="5"/>
    <x v="2"/>
    <x v="14"/>
    <x v="3"/>
    <x v="1"/>
    <x v="0"/>
    <x v="0"/>
    <x v="0"/>
    <x v="1"/>
    <x v="0"/>
    <x v="0"/>
    <x v="0"/>
    <x v="4"/>
    <x v="16"/>
  </r>
  <r>
    <x v="63"/>
    <x v="47"/>
    <x v="23"/>
    <x v="0"/>
    <x v="49"/>
    <x v="54"/>
    <x v="0"/>
    <x v="1"/>
    <x v="66"/>
    <x v="62"/>
    <x v="45"/>
    <x v="57"/>
    <x v="0"/>
    <x v="2"/>
    <x v="15"/>
    <x v="3"/>
    <x v="1"/>
    <x v="0"/>
    <x v="0"/>
    <x v="0"/>
    <x v="1"/>
    <x v="0"/>
    <x v="0"/>
    <x v="0"/>
    <x v="4"/>
    <x v="17"/>
  </r>
  <r>
    <x v="64"/>
    <x v="48"/>
    <x v="9"/>
    <x v="0"/>
    <x v="16"/>
    <x v="55"/>
    <x v="0"/>
    <x v="1"/>
    <x v="67"/>
    <x v="63"/>
    <x v="33"/>
    <x v="60"/>
    <x v="2"/>
    <x v="2"/>
    <x v="5"/>
    <x v="3"/>
    <x v="1"/>
    <x v="0"/>
    <x v="0"/>
    <x v="0"/>
    <x v="1"/>
    <x v="0"/>
    <x v="0"/>
    <x v="0"/>
    <x v="4"/>
    <x v="7"/>
  </r>
  <r>
    <x v="65"/>
    <x v="49"/>
    <x v="24"/>
    <x v="0"/>
    <x v="50"/>
    <x v="56"/>
    <x v="0"/>
    <x v="1"/>
    <x v="68"/>
    <x v="64"/>
    <x v="46"/>
    <x v="61"/>
    <x v="2"/>
    <x v="2"/>
    <x v="16"/>
    <x v="3"/>
    <x v="1"/>
    <x v="0"/>
    <x v="0"/>
    <x v="0"/>
    <x v="1"/>
    <x v="0"/>
    <x v="0"/>
    <x v="0"/>
    <x v="4"/>
    <x v="18"/>
  </r>
  <r>
    <x v="66"/>
    <x v="41"/>
    <x v="25"/>
    <x v="0"/>
    <x v="51"/>
    <x v="57"/>
    <x v="0"/>
    <x v="1"/>
    <x v="69"/>
    <x v="65"/>
    <x v="47"/>
    <x v="62"/>
    <x v="2"/>
    <x v="2"/>
    <x v="5"/>
    <x v="3"/>
    <x v="1"/>
    <x v="0"/>
    <x v="0"/>
    <x v="0"/>
    <x v="1"/>
    <x v="0"/>
    <x v="0"/>
    <x v="1"/>
    <x v="8"/>
    <x v="19"/>
  </r>
  <r>
    <x v="67"/>
    <x v="48"/>
    <x v="9"/>
    <x v="0"/>
    <x v="52"/>
    <x v="58"/>
    <x v="0"/>
    <x v="1"/>
    <x v="70"/>
    <x v="66"/>
    <x v="48"/>
    <x v="63"/>
    <x v="5"/>
    <x v="2"/>
    <x v="14"/>
    <x v="3"/>
    <x v="1"/>
    <x v="0"/>
    <x v="0"/>
    <x v="0"/>
    <x v="1"/>
    <x v="0"/>
    <x v="0"/>
    <x v="0"/>
    <x v="4"/>
    <x v="7"/>
  </r>
  <r>
    <x v="68"/>
    <x v="50"/>
    <x v="26"/>
    <x v="0"/>
    <x v="53"/>
    <x v="59"/>
    <x v="0"/>
    <x v="3"/>
    <x v="71"/>
    <x v="67"/>
    <x v="49"/>
    <x v="64"/>
    <x v="3"/>
    <x v="2"/>
    <x v="19"/>
    <x v="3"/>
    <x v="1"/>
    <x v="0"/>
    <x v="0"/>
    <x v="0"/>
    <x v="1"/>
    <x v="0"/>
    <x v="0"/>
    <x v="0"/>
    <x v="4"/>
    <x v="20"/>
  </r>
  <r>
    <x v="69"/>
    <x v="51"/>
    <x v="27"/>
    <x v="0"/>
    <x v="54"/>
    <x v="60"/>
    <x v="0"/>
    <x v="1"/>
    <x v="72"/>
    <x v="68"/>
    <x v="50"/>
    <x v="65"/>
    <x v="2"/>
    <x v="2"/>
    <x v="20"/>
    <x v="3"/>
    <x v="1"/>
    <x v="0"/>
    <x v="0"/>
    <x v="0"/>
    <x v="1"/>
    <x v="0"/>
    <x v="0"/>
    <x v="1"/>
    <x v="8"/>
    <x v="0"/>
  </r>
  <r>
    <x v="1"/>
    <x v="52"/>
    <x v="28"/>
    <x v="0"/>
    <x v="55"/>
    <x v="61"/>
    <x v="0"/>
    <x v="1"/>
    <x v="73"/>
    <x v="69"/>
    <x v="51"/>
    <x v="66"/>
    <x v="1"/>
    <x v="2"/>
    <x v="21"/>
    <x v="3"/>
    <x v="1"/>
    <x v="0"/>
    <x v="0"/>
    <x v="0"/>
    <x v="1"/>
    <x v="0"/>
    <x v="0"/>
    <x v="1"/>
    <x v="8"/>
    <x v="21"/>
  </r>
  <r>
    <x v="70"/>
    <x v="53"/>
    <x v="29"/>
    <x v="0"/>
    <x v="56"/>
    <x v="62"/>
    <x v="0"/>
    <x v="0"/>
    <x v="74"/>
    <x v="70"/>
    <x v="52"/>
    <x v="67"/>
    <x v="2"/>
    <x v="2"/>
    <x v="10"/>
    <x v="3"/>
    <x v="1"/>
    <x v="0"/>
    <x v="0"/>
    <x v="0"/>
    <x v="1"/>
    <x v="0"/>
    <x v="0"/>
    <x v="1"/>
    <x v="8"/>
    <x v="22"/>
  </r>
  <r>
    <x v="1"/>
    <x v="54"/>
    <x v="30"/>
    <x v="0"/>
    <x v="57"/>
    <x v="63"/>
    <x v="0"/>
    <x v="1"/>
    <x v="75"/>
    <x v="71"/>
    <x v="53"/>
    <x v="68"/>
    <x v="3"/>
    <x v="2"/>
    <x v="19"/>
    <x v="3"/>
    <x v="1"/>
    <x v="0"/>
    <x v="0"/>
    <x v="0"/>
    <x v="1"/>
    <x v="0"/>
    <x v="0"/>
    <x v="1"/>
    <x v="8"/>
    <x v="1"/>
  </r>
  <r>
    <x v="71"/>
    <x v="55"/>
    <x v="23"/>
    <x v="0"/>
    <x v="24"/>
    <x v="64"/>
    <x v="0"/>
    <x v="7"/>
    <x v="76"/>
    <x v="72"/>
    <x v="54"/>
    <x v="69"/>
    <x v="2"/>
    <x v="2"/>
    <x v="5"/>
    <x v="3"/>
    <x v="1"/>
    <x v="0"/>
    <x v="0"/>
    <x v="0"/>
    <x v="1"/>
    <x v="0"/>
    <x v="0"/>
    <x v="0"/>
    <x v="4"/>
    <x v="17"/>
  </r>
  <r>
    <x v="72"/>
    <x v="56"/>
    <x v="31"/>
    <x v="0"/>
    <x v="58"/>
    <x v="65"/>
    <x v="0"/>
    <x v="1"/>
    <x v="77"/>
    <x v="73"/>
    <x v="55"/>
    <x v="70"/>
    <x v="0"/>
    <x v="2"/>
    <x v="18"/>
    <x v="3"/>
    <x v="1"/>
    <x v="0"/>
    <x v="0"/>
    <x v="0"/>
    <x v="1"/>
    <x v="0"/>
    <x v="0"/>
    <x v="1"/>
    <x v="9"/>
    <x v="19"/>
  </r>
  <r>
    <x v="73"/>
    <x v="57"/>
    <x v="29"/>
    <x v="0"/>
    <x v="39"/>
    <x v="66"/>
    <x v="0"/>
    <x v="1"/>
    <x v="78"/>
    <x v="74"/>
    <x v="33"/>
    <x v="71"/>
    <x v="2"/>
    <x v="2"/>
    <x v="17"/>
    <x v="3"/>
    <x v="1"/>
    <x v="0"/>
    <x v="0"/>
    <x v="0"/>
    <x v="1"/>
    <x v="0"/>
    <x v="0"/>
    <x v="1"/>
    <x v="8"/>
    <x v="22"/>
  </r>
  <r>
    <x v="74"/>
    <x v="57"/>
    <x v="29"/>
    <x v="0"/>
    <x v="39"/>
    <x v="67"/>
    <x v="0"/>
    <x v="1"/>
    <x v="79"/>
    <x v="75"/>
    <x v="56"/>
    <x v="72"/>
    <x v="2"/>
    <x v="2"/>
    <x v="17"/>
    <x v="3"/>
    <x v="1"/>
    <x v="0"/>
    <x v="0"/>
    <x v="0"/>
    <x v="1"/>
    <x v="0"/>
    <x v="0"/>
    <x v="1"/>
    <x v="8"/>
    <x v="22"/>
  </r>
  <r>
    <x v="75"/>
    <x v="57"/>
    <x v="29"/>
    <x v="0"/>
    <x v="39"/>
    <x v="68"/>
    <x v="0"/>
    <x v="1"/>
    <x v="80"/>
    <x v="76"/>
    <x v="57"/>
    <x v="73"/>
    <x v="2"/>
    <x v="2"/>
    <x v="17"/>
    <x v="3"/>
    <x v="1"/>
    <x v="0"/>
    <x v="0"/>
    <x v="0"/>
    <x v="1"/>
    <x v="0"/>
    <x v="0"/>
    <x v="1"/>
    <x v="8"/>
    <x v="22"/>
  </r>
  <r>
    <x v="76"/>
    <x v="58"/>
    <x v="32"/>
    <x v="0"/>
    <x v="59"/>
    <x v="69"/>
    <x v="0"/>
    <x v="1"/>
    <x v="81"/>
    <x v="77"/>
    <x v="51"/>
    <x v="74"/>
    <x v="1"/>
    <x v="2"/>
    <x v="1"/>
    <x v="3"/>
    <x v="1"/>
    <x v="0"/>
    <x v="0"/>
    <x v="0"/>
    <x v="1"/>
    <x v="0"/>
    <x v="0"/>
    <x v="1"/>
    <x v="8"/>
    <x v="23"/>
  </r>
  <r>
    <x v="77"/>
    <x v="59"/>
    <x v="33"/>
    <x v="0"/>
    <x v="60"/>
    <x v="70"/>
    <x v="0"/>
    <x v="1"/>
    <x v="82"/>
    <x v="78"/>
    <x v="51"/>
    <x v="75"/>
    <x v="1"/>
    <x v="2"/>
    <x v="21"/>
    <x v="3"/>
    <x v="1"/>
    <x v="0"/>
    <x v="0"/>
    <x v="0"/>
    <x v="1"/>
    <x v="0"/>
    <x v="0"/>
    <x v="1"/>
    <x v="8"/>
    <x v="10"/>
  </r>
  <r>
    <x v="78"/>
    <x v="60"/>
    <x v="33"/>
    <x v="0"/>
    <x v="43"/>
    <x v="71"/>
    <x v="0"/>
    <x v="1"/>
    <x v="83"/>
    <x v="79"/>
    <x v="58"/>
    <x v="76"/>
    <x v="0"/>
    <x v="2"/>
    <x v="15"/>
    <x v="3"/>
    <x v="1"/>
    <x v="0"/>
    <x v="0"/>
    <x v="0"/>
    <x v="1"/>
    <x v="0"/>
    <x v="0"/>
    <x v="1"/>
    <x v="8"/>
    <x v="10"/>
  </r>
  <r>
    <x v="79"/>
    <x v="61"/>
    <x v="33"/>
    <x v="0"/>
    <x v="61"/>
    <x v="72"/>
    <x v="0"/>
    <x v="1"/>
    <x v="84"/>
    <x v="80"/>
    <x v="59"/>
    <x v="77"/>
    <x v="0"/>
    <x v="2"/>
    <x v="15"/>
    <x v="3"/>
    <x v="1"/>
    <x v="0"/>
    <x v="0"/>
    <x v="0"/>
    <x v="1"/>
    <x v="0"/>
    <x v="0"/>
    <x v="1"/>
    <x v="8"/>
    <x v="10"/>
  </r>
  <r>
    <x v="80"/>
    <x v="62"/>
    <x v="32"/>
    <x v="0"/>
    <x v="62"/>
    <x v="73"/>
    <x v="0"/>
    <x v="1"/>
    <x v="85"/>
    <x v="81"/>
    <x v="60"/>
    <x v="78"/>
    <x v="1"/>
    <x v="2"/>
    <x v="22"/>
    <x v="3"/>
    <x v="1"/>
    <x v="0"/>
    <x v="0"/>
    <x v="0"/>
    <x v="1"/>
    <x v="0"/>
    <x v="0"/>
    <x v="1"/>
    <x v="8"/>
    <x v="23"/>
  </r>
  <r>
    <x v="81"/>
    <x v="63"/>
    <x v="34"/>
    <x v="0"/>
    <x v="63"/>
    <x v="74"/>
    <x v="0"/>
    <x v="1"/>
    <x v="86"/>
    <x v="82"/>
    <x v="0"/>
    <x v="79"/>
    <x v="2"/>
    <x v="2"/>
    <x v="10"/>
    <x v="3"/>
    <x v="1"/>
    <x v="0"/>
    <x v="0"/>
    <x v="0"/>
    <x v="1"/>
    <x v="0"/>
    <x v="0"/>
    <x v="1"/>
    <x v="8"/>
    <x v="6"/>
  </r>
  <r>
    <x v="82"/>
    <x v="64"/>
    <x v="33"/>
    <x v="0"/>
    <x v="64"/>
    <x v="75"/>
    <x v="0"/>
    <x v="0"/>
    <x v="87"/>
    <x v="83"/>
    <x v="61"/>
    <x v="80"/>
    <x v="1"/>
    <x v="2"/>
    <x v="22"/>
    <x v="3"/>
    <x v="1"/>
    <x v="0"/>
    <x v="0"/>
    <x v="0"/>
    <x v="1"/>
    <x v="0"/>
    <x v="0"/>
    <x v="1"/>
    <x v="8"/>
    <x v="10"/>
  </r>
  <r>
    <x v="83"/>
    <x v="65"/>
    <x v="35"/>
    <x v="0"/>
    <x v="65"/>
    <x v="76"/>
    <x v="0"/>
    <x v="0"/>
    <x v="88"/>
    <x v="84"/>
    <x v="62"/>
    <x v="81"/>
    <x v="2"/>
    <x v="2"/>
    <x v="3"/>
    <x v="3"/>
    <x v="1"/>
    <x v="0"/>
    <x v="0"/>
    <x v="0"/>
    <x v="1"/>
    <x v="0"/>
    <x v="0"/>
    <x v="1"/>
    <x v="8"/>
    <x v="12"/>
  </r>
  <r>
    <x v="84"/>
    <x v="66"/>
    <x v="34"/>
    <x v="0"/>
    <x v="39"/>
    <x v="77"/>
    <x v="0"/>
    <x v="1"/>
    <x v="89"/>
    <x v="85"/>
    <x v="57"/>
    <x v="82"/>
    <x v="2"/>
    <x v="2"/>
    <x v="17"/>
    <x v="3"/>
    <x v="1"/>
    <x v="0"/>
    <x v="0"/>
    <x v="0"/>
    <x v="1"/>
    <x v="0"/>
    <x v="0"/>
    <x v="1"/>
    <x v="8"/>
    <x v="6"/>
  </r>
  <r>
    <x v="85"/>
    <x v="66"/>
    <x v="34"/>
    <x v="0"/>
    <x v="39"/>
    <x v="78"/>
    <x v="0"/>
    <x v="0"/>
    <x v="90"/>
    <x v="86"/>
    <x v="57"/>
    <x v="83"/>
    <x v="2"/>
    <x v="2"/>
    <x v="17"/>
    <x v="3"/>
    <x v="1"/>
    <x v="0"/>
    <x v="0"/>
    <x v="0"/>
    <x v="1"/>
    <x v="0"/>
    <x v="0"/>
    <x v="1"/>
    <x v="8"/>
    <x v="6"/>
  </r>
  <r>
    <x v="86"/>
    <x v="64"/>
    <x v="36"/>
    <x v="0"/>
    <x v="66"/>
    <x v="79"/>
    <x v="0"/>
    <x v="1"/>
    <x v="91"/>
    <x v="87"/>
    <x v="63"/>
    <x v="84"/>
    <x v="2"/>
    <x v="2"/>
    <x v="16"/>
    <x v="3"/>
    <x v="1"/>
    <x v="0"/>
    <x v="0"/>
    <x v="0"/>
    <x v="1"/>
    <x v="0"/>
    <x v="0"/>
    <x v="1"/>
    <x v="8"/>
    <x v="5"/>
  </r>
  <r>
    <x v="87"/>
    <x v="67"/>
    <x v="36"/>
    <x v="0"/>
    <x v="67"/>
    <x v="80"/>
    <x v="0"/>
    <x v="9"/>
    <x v="92"/>
    <x v="88"/>
    <x v="64"/>
    <x v="85"/>
    <x v="3"/>
    <x v="2"/>
    <x v="7"/>
    <x v="3"/>
    <x v="1"/>
    <x v="0"/>
    <x v="0"/>
    <x v="0"/>
    <x v="1"/>
    <x v="0"/>
    <x v="0"/>
    <x v="1"/>
    <x v="8"/>
    <x v="5"/>
  </r>
  <r>
    <x v="88"/>
    <x v="67"/>
    <x v="36"/>
    <x v="0"/>
    <x v="67"/>
    <x v="81"/>
    <x v="0"/>
    <x v="10"/>
    <x v="93"/>
    <x v="89"/>
    <x v="64"/>
    <x v="86"/>
    <x v="3"/>
    <x v="2"/>
    <x v="7"/>
    <x v="3"/>
    <x v="1"/>
    <x v="0"/>
    <x v="0"/>
    <x v="0"/>
    <x v="1"/>
    <x v="0"/>
    <x v="0"/>
    <x v="1"/>
    <x v="8"/>
    <x v="5"/>
  </r>
  <r>
    <x v="89"/>
    <x v="54"/>
    <x v="37"/>
    <x v="0"/>
    <x v="68"/>
    <x v="82"/>
    <x v="0"/>
    <x v="11"/>
    <x v="94"/>
    <x v="90"/>
    <x v="65"/>
    <x v="87"/>
    <x v="2"/>
    <x v="2"/>
    <x v="3"/>
    <x v="3"/>
    <x v="1"/>
    <x v="0"/>
    <x v="0"/>
    <x v="0"/>
    <x v="1"/>
    <x v="0"/>
    <x v="0"/>
    <x v="1"/>
    <x v="8"/>
    <x v="24"/>
  </r>
  <r>
    <x v="90"/>
    <x v="62"/>
    <x v="37"/>
    <x v="0"/>
    <x v="69"/>
    <x v="83"/>
    <x v="0"/>
    <x v="1"/>
    <x v="95"/>
    <x v="91"/>
    <x v="0"/>
    <x v="88"/>
    <x v="2"/>
    <x v="2"/>
    <x v="10"/>
    <x v="3"/>
    <x v="1"/>
    <x v="0"/>
    <x v="0"/>
    <x v="0"/>
    <x v="1"/>
    <x v="0"/>
    <x v="0"/>
    <x v="1"/>
    <x v="8"/>
    <x v="24"/>
  </r>
  <r>
    <x v="91"/>
    <x v="64"/>
    <x v="38"/>
    <x v="0"/>
    <x v="70"/>
    <x v="84"/>
    <x v="0"/>
    <x v="0"/>
    <x v="96"/>
    <x v="92"/>
    <x v="61"/>
    <x v="89"/>
    <x v="1"/>
    <x v="2"/>
    <x v="22"/>
    <x v="3"/>
    <x v="1"/>
    <x v="0"/>
    <x v="0"/>
    <x v="0"/>
    <x v="1"/>
    <x v="0"/>
    <x v="0"/>
    <x v="1"/>
    <x v="8"/>
    <x v="15"/>
  </r>
  <r>
    <x v="92"/>
    <x v="68"/>
    <x v="38"/>
    <x v="0"/>
    <x v="71"/>
    <x v="85"/>
    <x v="0"/>
    <x v="12"/>
    <x v="97"/>
    <x v="93"/>
    <x v="0"/>
    <x v="90"/>
    <x v="2"/>
    <x v="2"/>
    <x v="4"/>
    <x v="2"/>
    <x v="0"/>
    <x v="0"/>
    <x v="0"/>
    <x v="0"/>
    <x v="1"/>
    <x v="0"/>
    <x v="0"/>
    <x v="1"/>
    <x v="8"/>
    <x v="15"/>
  </r>
  <r>
    <x v="1"/>
    <x v="69"/>
    <x v="39"/>
    <x v="0"/>
    <x v="72"/>
    <x v="86"/>
    <x v="0"/>
    <x v="13"/>
    <x v="98"/>
    <x v="94"/>
    <x v="66"/>
    <x v="91"/>
    <x v="3"/>
    <x v="2"/>
    <x v="19"/>
    <x v="3"/>
    <x v="1"/>
    <x v="0"/>
    <x v="0"/>
    <x v="0"/>
    <x v="1"/>
    <x v="0"/>
    <x v="0"/>
    <x v="1"/>
    <x v="8"/>
    <x v="18"/>
  </r>
  <r>
    <x v="93"/>
    <x v="70"/>
    <x v="40"/>
    <x v="0"/>
    <x v="30"/>
    <x v="87"/>
    <x v="0"/>
    <x v="14"/>
    <x v="99"/>
    <x v="95"/>
    <x v="67"/>
    <x v="92"/>
    <x v="5"/>
    <x v="2"/>
    <x v="14"/>
    <x v="3"/>
    <x v="1"/>
    <x v="0"/>
    <x v="0"/>
    <x v="0"/>
    <x v="1"/>
    <x v="0"/>
    <x v="0"/>
    <x v="1"/>
    <x v="8"/>
    <x v="8"/>
  </r>
  <r>
    <x v="94"/>
    <x v="71"/>
    <x v="40"/>
    <x v="0"/>
    <x v="73"/>
    <x v="88"/>
    <x v="0"/>
    <x v="15"/>
    <x v="100"/>
    <x v="96"/>
    <x v="68"/>
    <x v="93"/>
    <x v="2"/>
    <x v="2"/>
    <x v="23"/>
    <x v="3"/>
    <x v="1"/>
    <x v="0"/>
    <x v="0"/>
    <x v="0"/>
    <x v="1"/>
    <x v="0"/>
    <x v="0"/>
    <x v="1"/>
    <x v="8"/>
    <x v="8"/>
  </r>
  <r>
    <x v="95"/>
    <x v="62"/>
    <x v="40"/>
    <x v="0"/>
    <x v="74"/>
    <x v="89"/>
    <x v="0"/>
    <x v="15"/>
    <x v="101"/>
    <x v="97"/>
    <x v="69"/>
    <x v="94"/>
    <x v="2"/>
    <x v="2"/>
    <x v="23"/>
    <x v="3"/>
    <x v="1"/>
    <x v="0"/>
    <x v="0"/>
    <x v="0"/>
    <x v="1"/>
    <x v="0"/>
    <x v="0"/>
    <x v="1"/>
    <x v="8"/>
    <x v="8"/>
  </r>
  <r>
    <x v="96"/>
    <x v="72"/>
    <x v="40"/>
    <x v="0"/>
    <x v="75"/>
    <x v="90"/>
    <x v="0"/>
    <x v="16"/>
    <x v="102"/>
    <x v="98"/>
    <x v="70"/>
    <x v="95"/>
    <x v="2"/>
    <x v="2"/>
    <x v="23"/>
    <x v="3"/>
    <x v="1"/>
    <x v="0"/>
    <x v="0"/>
    <x v="0"/>
    <x v="1"/>
    <x v="0"/>
    <x v="0"/>
    <x v="1"/>
    <x v="8"/>
    <x v="8"/>
  </r>
  <r>
    <x v="97"/>
    <x v="68"/>
    <x v="41"/>
    <x v="0"/>
    <x v="76"/>
    <x v="91"/>
    <x v="0"/>
    <x v="1"/>
    <x v="103"/>
    <x v="99"/>
    <x v="70"/>
    <x v="96"/>
    <x v="2"/>
    <x v="2"/>
    <x v="23"/>
    <x v="3"/>
    <x v="1"/>
    <x v="0"/>
    <x v="0"/>
    <x v="0"/>
    <x v="1"/>
    <x v="0"/>
    <x v="0"/>
    <x v="1"/>
    <x v="9"/>
    <x v="11"/>
  </r>
  <r>
    <x v="98"/>
    <x v="73"/>
    <x v="42"/>
    <x v="0"/>
    <x v="77"/>
    <x v="92"/>
    <x v="0"/>
    <x v="17"/>
    <x v="104"/>
    <x v="100"/>
    <x v="71"/>
    <x v="97"/>
    <x v="0"/>
    <x v="2"/>
    <x v="18"/>
    <x v="3"/>
    <x v="1"/>
    <x v="0"/>
    <x v="0"/>
    <x v="0"/>
    <x v="1"/>
    <x v="0"/>
    <x v="0"/>
    <x v="1"/>
    <x v="8"/>
    <x v="3"/>
  </r>
  <r>
    <x v="99"/>
    <x v="66"/>
    <x v="42"/>
    <x v="0"/>
    <x v="78"/>
    <x v="93"/>
    <x v="0"/>
    <x v="18"/>
    <x v="105"/>
    <x v="101"/>
    <x v="72"/>
    <x v="98"/>
    <x v="0"/>
    <x v="2"/>
    <x v="18"/>
    <x v="3"/>
    <x v="1"/>
    <x v="0"/>
    <x v="0"/>
    <x v="0"/>
    <x v="1"/>
    <x v="0"/>
    <x v="0"/>
    <x v="1"/>
    <x v="8"/>
    <x v="3"/>
  </r>
  <r>
    <x v="100"/>
    <x v="14"/>
    <x v="42"/>
    <x v="0"/>
    <x v="79"/>
    <x v="94"/>
    <x v="0"/>
    <x v="1"/>
    <x v="106"/>
    <x v="102"/>
    <x v="7"/>
    <x v="99"/>
    <x v="2"/>
    <x v="2"/>
    <x v="3"/>
    <x v="3"/>
    <x v="1"/>
    <x v="0"/>
    <x v="0"/>
    <x v="0"/>
    <x v="1"/>
    <x v="0"/>
    <x v="0"/>
    <x v="1"/>
    <x v="8"/>
    <x v="3"/>
  </r>
  <r>
    <x v="101"/>
    <x v="74"/>
    <x v="42"/>
    <x v="0"/>
    <x v="39"/>
    <x v="95"/>
    <x v="0"/>
    <x v="1"/>
    <x v="107"/>
    <x v="103"/>
    <x v="73"/>
    <x v="100"/>
    <x v="2"/>
    <x v="2"/>
    <x v="17"/>
    <x v="3"/>
    <x v="1"/>
    <x v="0"/>
    <x v="0"/>
    <x v="0"/>
    <x v="1"/>
    <x v="0"/>
    <x v="0"/>
    <x v="1"/>
    <x v="8"/>
    <x v="3"/>
  </r>
  <r>
    <x v="102"/>
    <x v="74"/>
    <x v="42"/>
    <x v="0"/>
    <x v="39"/>
    <x v="96"/>
    <x v="0"/>
    <x v="1"/>
    <x v="108"/>
    <x v="104"/>
    <x v="73"/>
    <x v="101"/>
    <x v="2"/>
    <x v="2"/>
    <x v="17"/>
    <x v="3"/>
    <x v="1"/>
    <x v="0"/>
    <x v="0"/>
    <x v="0"/>
    <x v="1"/>
    <x v="0"/>
    <x v="0"/>
    <x v="1"/>
    <x v="8"/>
    <x v="3"/>
  </r>
  <r>
    <x v="103"/>
    <x v="75"/>
    <x v="43"/>
    <x v="0"/>
    <x v="80"/>
    <x v="97"/>
    <x v="0"/>
    <x v="19"/>
    <x v="109"/>
    <x v="105"/>
    <x v="74"/>
    <x v="102"/>
    <x v="2"/>
    <x v="3"/>
    <x v="4"/>
    <x v="2"/>
    <x v="0"/>
    <x v="0"/>
    <x v="0"/>
    <x v="0"/>
    <x v="1"/>
    <x v="0"/>
    <x v="0"/>
    <x v="1"/>
    <x v="8"/>
    <x v="20"/>
  </r>
  <r>
    <x v="104"/>
    <x v="69"/>
    <x v="44"/>
    <x v="0"/>
    <x v="81"/>
    <x v="98"/>
    <x v="0"/>
    <x v="15"/>
    <x v="110"/>
    <x v="106"/>
    <x v="70"/>
    <x v="103"/>
    <x v="2"/>
    <x v="2"/>
    <x v="4"/>
    <x v="2"/>
    <x v="0"/>
    <x v="0"/>
    <x v="0"/>
    <x v="0"/>
    <x v="1"/>
    <x v="0"/>
    <x v="0"/>
    <x v="1"/>
    <x v="9"/>
    <x v="13"/>
  </r>
  <r>
    <x v="105"/>
    <x v="76"/>
    <x v="43"/>
    <x v="0"/>
    <x v="78"/>
    <x v="99"/>
    <x v="0"/>
    <x v="20"/>
    <x v="111"/>
    <x v="107"/>
    <x v="75"/>
    <x v="104"/>
    <x v="0"/>
    <x v="2"/>
    <x v="12"/>
    <x v="3"/>
    <x v="1"/>
    <x v="0"/>
    <x v="0"/>
    <x v="0"/>
    <x v="1"/>
    <x v="0"/>
    <x v="0"/>
    <x v="1"/>
    <x v="8"/>
    <x v="20"/>
  </r>
  <r>
    <x v="106"/>
    <x v="76"/>
    <x v="43"/>
    <x v="0"/>
    <x v="82"/>
    <x v="100"/>
    <x v="0"/>
    <x v="21"/>
    <x v="112"/>
    <x v="108"/>
    <x v="75"/>
    <x v="105"/>
    <x v="0"/>
    <x v="2"/>
    <x v="12"/>
    <x v="3"/>
    <x v="1"/>
    <x v="0"/>
    <x v="0"/>
    <x v="0"/>
    <x v="1"/>
    <x v="0"/>
    <x v="0"/>
    <x v="1"/>
    <x v="8"/>
    <x v="20"/>
  </r>
  <r>
    <x v="107"/>
    <x v="77"/>
    <x v="45"/>
    <x v="0"/>
    <x v="83"/>
    <x v="101"/>
    <x v="0"/>
    <x v="22"/>
    <x v="113"/>
    <x v="109"/>
    <x v="76"/>
    <x v="106"/>
    <x v="0"/>
    <x v="2"/>
    <x v="15"/>
    <x v="3"/>
    <x v="1"/>
    <x v="0"/>
    <x v="0"/>
    <x v="0"/>
    <x v="1"/>
    <x v="0"/>
    <x v="0"/>
    <x v="1"/>
    <x v="9"/>
    <x v="25"/>
  </r>
  <r>
    <x v="108"/>
    <x v="78"/>
    <x v="45"/>
    <x v="0"/>
    <x v="84"/>
    <x v="102"/>
    <x v="0"/>
    <x v="21"/>
    <x v="114"/>
    <x v="110"/>
    <x v="76"/>
    <x v="107"/>
    <x v="0"/>
    <x v="2"/>
    <x v="15"/>
    <x v="3"/>
    <x v="1"/>
    <x v="0"/>
    <x v="0"/>
    <x v="0"/>
    <x v="1"/>
    <x v="0"/>
    <x v="0"/>
    <x v="1"/>
    <x v="9"/>
    <x v="25"/>
  </r>
  <r>
    <x v="109"/>
    <x v="79"/>
    <x v="45"/>
    <x v="0"/>
    <x v="85"/>
    <x v="103"/>
    <x v="0"/>
    <x v="20"/>
    <x v="115"/>
    <x v="111"/>
    <x v="0"/>
    <x v="108"/>
    <x v="2"/>
    <x v="2"/>
    <x v="10"/>
    <x v="3"/>
    <x v="1"/>
    <x v="0"/>
    <x v="0"/>
    <x v="0"/>
    <x v="1"/>
    <x v="0"/>
    <x v="0"/>
    <x v="1"/>
    <x v="9"/>
    <x v="25"/>
  </r>
  <r>
    <x v="110"/>
    <x v="80"/>
    <x v="45"/>
    <x v="0"/>
    <x v="86"/>
    <x v="104"/>
    <x v="0"/>
    <x v="20"/>
    <x v="116"/>
    <x v="112"/>
    <x v="77"/>
    <x v="109"/>
    <x v="2"/>
    <x v="2"/>
    <x v="10"/>
    <x v="3"/>
    <x v="1"/>
    <x v="0"/>
    <x v="0"/>
    <x v="0"/>
    <x v="1"/>
    <x v="0"/>
    <x v="0"/>
    <x v="1"/>
    <x v="9"/>
    <x v="25"/>
  </r>
  <r>
    <x v="111"/>
    <x v="45"/>
    <x v="45"/>
    <x v="0"/>
    <x v="87"/>
    <x v="105"/>
    <x v="0"/>
    <x v="20"/>
    <x v="117"/>
    <x v="113"/>
    <x v="78"/>
    <x v="110"/>
    <x v="2"/>
    <x v="2"/>
    <x v="10"/>
    <x v="3"/>
    <x v="1"/>
    <x v="0"/>
    <x v="0"/>
    <x v="0"/>
    <x v="1"/>
    <x v="0"/>
    <x v="0"/>
    <x v="1"/>
    <x v="9"/>
    <x v="25"/>
  </r>
  <r>
    <x v="112"/>
    <x v="81"/>
    <x v="45"/>
    <x v="0"/>
    <x v="88"/>
    <x v="106"/>
    <x v="0"/>
    <x v="20"/>
    <x v="118"/>
    <x v="114"/>
    <x v="79"/>
    <x v="111"/>
    <x v="2"/>
    <x v="2"/>
    <x v="10"/>
    <x v="3"/>
    <x v="1"/>
    <x v="0"/>
    <x v="0"/>
    <x v="0"/>
    <x v="1"/>
    <x v="0"/>
    <x v="0"/>
    <x v="1"/>
    <x v="9"/>
    <x v="25"/>
  </r>
  <r>
    <x v="113"/>
    <x v="80"/>
    <x v="45"/>
    <x v="0"/>
    <x v="89"/>
    <x v="107"/>
    <x v="0"/>
    <x v="23"/>
    <x v="119"/>
    <x v="115"/>
    <x v="0"/>
    <x v="112"/>
    <x v="2"/>
    <x v="2"/>
    <x v="10"/>
    <x v="3"/>
    <x v="1"/>
    <x v="0"/>
    <x v="0"/>
    <x v="0"/>
    <x v="1"/>
    <x v="0"/>
    <x v="0"/>
    <x v="1"/>
    <x v="9"/>
    <x v="25"/>
  </r>
  <r>
    <x v="114"/>
    <x v="67"/>
    <x v="45"/>
    <x v="0"/>
    <x v="90"/>
    <x v="108"/>
    <x v="0"/>
    <x v="20"/>
    <x v="120"/>
    <x v="116"/>
    <x v="0"/>
    <x v="113"/>
    <x v="2"/>
    <x v="2"/>
    <x v="10"/>
    <x v="3"/>
    <x v="1"/>
    <x v="0"/>
    <x v="0"/>
    <x v="0"/>
    <x v="1"/>
    <x v="0"/>
    <x v="0"/>
    <x v="1"/>
    <x v="9"/>
    <x v="25"/>
  </r>
  <r>
    <x v="115"/>
    <x v="82"/>
    <x v="45"/>
    <x v="0"/>
    <x v="91"/>
    <x v="109"/>
    <x v="0"/>
    <x v="20"/>
    <x v="121"/>
    <x v="117"/>
    <x v="0"/>
    <x v="114"/>
    <x v="2"/>
    <x v="2"/>
    <x v="10"/>
    <x v="3"/>
    <x v="1"/>
    <x v="0"/>
    <x v="0"/>
    <x v="0"/>
    <x v="1"/>
    <x v="0"/>
    <x v="0"/>
    <x v="1"/>
    <x v="9"/>
    <x v="25"/>
  </r>
  <r>
    <x v="116"/>
    <x v="83"/>
    <x v="45"/>
    <x v="0"/>
    <x v="92"/>
    <x v="110"/>
    <x v="0"/>
    <x v="24"/>
    <x v="122"/>
    <x v="118"/>
    <x v="77"/>
    <x v="115"/>
    <x v="1"/>
    <x v="2"/>
    <x v="24"/>
    <x v="3"/>
    <x v="1"/>
    <x v="0"/>
    <x v="0"/>
    <x v="0"/>
    <x v="1"/>
    <x v="0"/>
    <x v="0"/>
    <x v="1"/>
    <x v="9"/>
    <x v="25"/>
  </r>
  <r>
    <x v="1"/>
    <x v="69"/>
    <x v="45"/>
    <x v="0"/>
    <x v="93"/>
    <x v="111"/>
    <x v="0"/>
    <x v="20"/>
    <x v="123"/>
    <x v="119"/>
    <x v="80"/>
    <x v="116"/>
    <x v="1"/>
    <x v="2"/>
    <x v="11"/>
    <x v="3"/>
    <x v="1"/>
    <x v="0"/>
    <x v="0"/>
    <x v="0"/>
    <x v="1"/>
    <x v="0"/>
    <x v="0"/>
    <x v="1"/>
    <x v="9"/>
    <x v="25"/>
  </r>
  <r>
    <x v="117"/>
    <x v="84"/>
    <x v="44"/>
    <x v="0"/>
    <x v="94"/>
    <x v="112"/>
    <x v="0"/>
    <x v="15"/>
    <x v="124"/>
    <x v="120"/>
    <x v="51"/>
    <x v="117"/>
    <x v="2"/>
    <x v="2"/>
    <x v="4"/>
    <x v="2"/>
    <x v="0"/>
    <x v="0"/>
    <x v="0"/>
    <x v="0"/>
    <x v="1"/>
    <x v="0"/>
    <x v="0"/>
    <x v="1"/>
    <x v="9"/>
    <x v="13"/>
  </r>
  <r>
    <x v="118"/>
    <x v="84"/>
    <x v="44"/>
    <x v="0"/>
    <x v="95"/>
    <x v="113"/>
    <x v="0"/>
    <x v="15"/>
    <x v="125"/>
    <x v="121"/>
    <x v="51"/>
    <x v="118"/>
    <x v="2"/>
    <x v="2"/>
    <x v="4"/>
    <x v="2"/>
    <x v="0"/>
    <x v="0"/>
    <x v="0"/>
    <x v="0"/>
    <x v="1"/>
    <x v="0"/>
    <x v="0"/>
    <x v="1"/>
    <x v="9"/>
    <x v="13"/>
  </r>
  <r>
    <x v="119"/>
    <x v="85"/>
    <x v="44"/>
    <x v="0"/>
    <x v="32"/>
    <x v="114"/>
    <x v="0"/>
    <x v="15"/>
    <x v="126"/>
    <x v="122"/>
    <x v="81"/>
    <x v="119"/>
    <x v="0"/>
    <x v="2"/>
    <x v="8"/>
    <x v="3"/>
    <x v="1"/>
    <x v="0"/>
    <x v="0"/>
    <x v="0"/>
    <x v="1"/>
    <x v="0"/>
    <x v="0"/>
    <x v="1"/>
    <x v="9"/>
    <x v="13"/>
  </r>
  <r>
    <x v="120"/>
    <x v="72"/>
    <x v="45"/>
    <x v="0"/>
    <x v="32"/>
    <x v="115"/>
    <x v="0"/>
    <x v="15"/>
    <x v="127"/>
    <x v="123"/>
    <x v="82"/>
    <x v="120"/>
    <x v="0"/>
    <x v="2"/>
    <x v="12"/>
    <x v="3"/>
    <x v="1"/>
    <x v="0"/>
    <x v="0"/>
    <x v="0"/>
    <x v="1"/>
    <x v="0"/>
    <x v="0"/>
    <x v="1"/>
    <x v="9"/>
    <x v="25"/>
  </r>
  <r>
    <x v="121"/>
    <x v="55"/>
    <x v="45"/>
    <x v="0"/>
    <x v="96"/>
    <x v="116"/>
    <x v="0"/>
    <x v="25"/>
    <x v="128"/>
    <x v="124"/>
    <x v="83"/>
    <x v="121"/>
    <x v="0"/>
    <x v="2"/>
    <x v="12"/>
    <x v="3"/>
    <x v="1"/>
    <x v="0"/>
    <x v="0"/>
    <x v="0"/>
    <x v="1"/>
    <x v="0"/>
    <x v="0"/>
    <x v="1"/>
    <x v="9"/>
    <x v="25"/>
  </r>
  <r>
    <x v="122"/>
    <x v="80"/>
    <x v="46"/>
    <x v="0"/>
    <x v="97"/>
    <x v="117"/>
    <x v="0"/>
    <x v="15"/>
    <x v="129"/>
    <x v="125"/>
    <x v="0"/>
    <x v="122"/>
    <x v="2"/>
    <x v="2"/>
    <x v="4"/>
    <x v="2"/>
    <x v="0"/>
    <x v="0"/>
    <x v="0"/>
    <x v="0"/>
    <x v="1"/>
    <x v="0"/>
    <x v="0"/>
    <x v="1"/>
    <x v="9"/>
    <x v="0"/>
  </r>
  <r>
    <x v="123"/>
    <x v="86"/>
    <x v="46"/>
    <x v="0"/>
    <x v="98"/>
    <x v="118"/>
    <x v="0"/>
    <x v="15"/>
    <x v="130"/>
    <x v="126"/>
    <x v="0"/>
    <x v="123"/>
    <x v="2"/>
    <x v="2"/>
    <x v="4"/>
    <x v="2"/>
    <x v="0"/>
    <x v="0"/>
    <x v="0"/>
    <x v="0"/>
    <x v="1"/>
    <x v="0"/>
    <x v="0"/>
    <x v="1"/>
    <x v="9"/>
    <x v="0"/>
  </r>
  <r>
    <x v="124"/>
    <x v="87"/>
    <x v="47"/>
    <x v="0"/>
    <x v="99"/>
    <x v="119"/>
    <x v="0"/>
    <x v="1"/>
    <x v="131"/>
    <x v="127"/>
    <x v="84"/>
    <x v="124"/>
    <x v="1"/>
    <x v="2"/>
    <x v="22"/>
    <x v="3"/>
    <x v="1"/>
    <x v="0"/>
    <x v="0"/>
    <x v="0"/>
    <x v="1"/>
    <x v="0"/>
    <x v="0"/>
    <x v="1"/>
    <x v="9"/>
    <x v="26"/>
  </r>
  <r>
    <x v="125"/>
    <x v="88"/>
    <x v="47"/>
    <x v="0"/>
    <x v="100"/>
    <x v="120"/>
    <x v="0"/>
    <x v="1"/>
    <x v="132"/>
    <x v="128"/>
    <x v="61"/>
    <x v="125"/>
    <x v="1"/>
    <x v="2"/>
    <x v="22"/>
    <x v="3"/>
    <x v="1"/>
    <x v="0"/>
    <x v="0"/>
    <x v="0"/>
    <x v="1"/>
    <x v="0"/>
    <x v="0"/>
    <x v="1"/>
    <x v="9"/>
    <x v="26"/>
  </r>
  <r>
    <x v="126"/>
    <x v="89"/>
    <x v="47"/>
    <x v="0"/>
    <x v="101"/>
    <x v="121"/>
    <x v="0"/>
    <x v="1"/>
    <x v="133"/>
    <x v="129"/>
    <x v="73"/>
    <x v="126"/>
    <x v="2"/>
    <x v="2"/>
    <x v="16"/>
    <x v="3"/>
    <x v="1"/>
    <x v="0"/>
    <x v="0"/>
    <x v="0"/>
    <x v="1"/>
    <x v="0"/>
    <x v="0"/>
    <x v="1"/>
    <x v="9"/>
    <x v="26"/>
  </r>
  <r>
    <x v="127"/>
    <x v="83"/>
    <x v="47"/>
    <x v="0"/>
    <x v="102"/>
    <x v="122"/>
    <x v="0"/>
    <x v="1"/>
    <x v="134"/>
    <x v="130"/>
    <x v="70"/>
    <x v="127"/>
    <x v="2"/>
    <x v="2"/>
    <x v="16"/>
    <x v="3"/>
    <x v="1"/>
    <x v="0"/>
    <x v="0"/>
    <x v="0"/>
    <x v="1"/>
    <x v="0"/>
    <x v="0"/>
    <x v="1"/>
    <x v="9"/>
    <x v="26"/>
  </r>
  <r>
    <x v="128"/>
    <x v="62"/>
    <x v="48"/>
    <x v="0"/>
    <x v="103"/>
    <x v="123"/>
    <x v="0"/>
    <x v="26"/>
    <x v="135"/>
    <x v="131"/>
    <x v="65"/>
    <x v="128"/>
    <x v="2"/>
    <x v="2"/>
    <x v="3"/>
    <x v="3"/>
    <x v="1"/>
    <x v="0"/>
    <x v="0"/>
    <x v="0"/>
    <x v="1"/>
    <x v="0"/>
    <x v="0"/>
    <x v="1"/>
    <x v="9"/>
    <x v="1"/>
  </r>
  <r>
    <x v="129"/>
    <x v="90"/>
    <x v="48"/>
    <x v="0"/>
    <x v="104"/>
    <x v="124"/>
    <x v="0"/>
    <x v="21"/>
    <x v="136"/>
    <x v="132"/>
    <x v="85"/>
    <x v="129"/>
    <x v="0"/>
    <x v="2"/>
    <x v="12"/>
    <x v="3"/>
    <x v="1"/>
    <x v="0"/>
    <x v="0"/>
    <x v="0"/>
    <x v="1"/>
    <x v="0"/>
    <x v="0"/>
    <x v="1"/>
    <x v="9"/>
    <x v="1"/>
  </r>
  <r>
    <x v="130"/>
    <x v="90"/>
    <x v="48"/>
    <x v="0"/>
    <x v="32"/>
    <x v="125"/>
    <x v="0"/>
    <x v="21"/>
    <x v="137"/>
    <x v="133"/>
    <x v="86"/>
    <x v="130"/>
    <x v="0"/>
    <x v="2"/>
    <x v="12"/>
    <x v="3"/>
    <x v="1"/>
    <x v="0"/>
    <x v="0"/>
    <x v="0"/>
    <x v="1"/>
    <x v="0"/>
    <x v="0"/>
    <x v="1"/>
    <x v="9"/>
    <x v="1"/>
  </r>
  <r>
    <x v="131"/>
    <x v="71"/>
    <x v="48"/>
    <x v="0"/>
    <x v="105"/>
    <x v="126"/>
    <x v="0"/>
    <x v="16"/>
    <x v="138"/>
    <x v="134"/>
    <x v="87"/>
    <x v="131"/>
    <x v="0"/>
    <x v="2"/>
    <x v="15"/>
    <x v="3"/>
    <x v="1"/>
    <x v="0"/>
    <x v="0"/>
    <x v="0"/>
    <x v="1"/>
    <x v="0"/>
    <x v="0"/>
    <x v="1"/>
    <x v="9"/>
    <x v="1"/>
  </r>
  <r>
    <x v="132"/>
    <x v="91"/>
    <x v="41"/>
    <x v="0"/>
    <x v="106"/>
    <x v="127"/>
    <x v="0"/>
    <x v="16"/>
    <x v="139"/>
    <x v="135"/>
    <x v="0"/>
    <x v="132"/>
    <x v="2"/>
    <x v="2"/>
    <x v="10"/>
    <x v="3"/>
    <x v="1"/>
    <x v="0"/>
    <x v="0"/>
    <x v="0"/>
    <x v="1"/>
    <x v="0"/>
    <x v="0"/>
    <x v="1"/>
    <x v="9"/>
    <x v="11"/>
  </r>
  <r>
    <x v="133"/>
    <x v="92"/>
    <x v="41"/>
    <x v="0"/>
    <x v="107"/>
    <x v="128"/>
    <x v="0"/>
    <x v="16"/>
    <x v="140"/>
    <x v="136"/>
    <x v="0"/>
    <x v="133"/>
    <x v="2"/>
    <x v="2"/>
    <x v="10"/>
    <x v="3"/>
    <x v="1"/>
    <x v="0"/>
    <x v="0"/>
    <x v="0"/>
    <x v="1"/>
    <x v="0"/>
    <x v="0"/>
    <x v="1"/>
    <x v="9"/>
    <x v="11"/>
  </r>
  <r>
    <x v="134"/>
    <x v="78"/>
    <x v="48"/>
    <x v="0"/>
    <x v="105"/>
    <x v="129"/>
    <x v="0"/>
    <x v="21"/>
    <x v="141"/>
    <x v="137"/>
    <x v="76"/>
    <x v="134"/>
    <x v="0"/>
    <x v="2"/>
    <x v="15"/>
    <x v="3"/>
    <x v="1"/>
    <x v="0"/>
    <x v="0"/>
    <x v="0"/>
    <x v="1"/>
    <x v="0"/>
    <x v="0"/>
    <x v="1"/>
    <x v="9"/>
    <x v="1"/>
  </r>
  <r>
    <x v="135"/>
    <x v="93"/>
    <x v="48"/>
    <x v="0"/>
    <x v="105"/>
    <x v="130"/>
    <x v="0"/>
    <x v="21"/>
    <x v="142"/>
    <x v="134"/>
    <x v="75"/>
    <x v="134"/>
    <x v="0"/>
    <x v="2"/>
    <x v="15"/>
    <x v="3"/>
    <x v="1"/>
    <x v="0"/>
    <x v="0"/>
    <x v="0"/>
    <x v="1"/>
    <x v="0"/>
    <x v="0"/>
    <x v="1"/>
    <x v="9"/>
    <x v="1"/>
  </r>
  <r>
    <x v="97"/>
    <x v="94"/>
    <x v="41"/>
    <x v="0"/>
    <x v="108"/>
    <x v="131"/>
    <x v="0"/>
    <x v="1"/>
    <x v="143"/>
    <x v="138"/>
    <x v="73"/>
    <x v="135"/>
    <x v="2"/>
    <x v="2"/>
    <x v="23"/>
    <x v="3"/>
    <x v="1"/>
    <x v="0"/>
    <x v="0"/>
    <x v="0"/>
    <x v="1"/>
    <x v="0"/>
    <x v="0"/>
    <x v="1"/>
    <x v="9"/>
    <x v="11"/>
  </r>
  <r>
    <x v="136"/>
    <x v="89"/>
    <x v="40"/>
    <x v="0"/>
    <x v="109"/>
    <x v="132"/>
    <x v="0"/>
    <x v="27"/>
    <x v="144"/>
    <x v="139"/>
    <x v="0"/>
    <x v="136"/>
    <x v="2"/>
    <x v="2"/>
    <x v="23"/>
    <x v="3"/>
    <x v="1"/>
    <x v="0"/>
    <x v="0"/>
    <x v="0"/>
    <x v="1"/>
    <x v="0"/>
    <x v="0"/>
    <x v="1"/>
    <x v="8"/>
    <x v="8"/>
  </r>
  <r>
    <x v="137"/>
    <x v="89"/>
    <x v="41"/>
    <x v="0"/>
    <x v="110"/>
    <x v="133"/>
    <x v="0"/>
    <x v="15"/>
    <x v="145"/>
    <x v="140"/>
    <x v="0"/>
    <x v="137"/>
    <x v="2"/>
    <x v="2"/>
    <x v="20"/>
    <x v="3"/>
    <x v="1"/>
    <x v="0"/>
    <x v="0"/>
    <x v="0"/>
    <x v="1"/>
    <x v="0"/>
    <x v="0"/>
    <x v="1"/>
    <x v="9"/>
    <x v="11"/>
  </r>
  <r>
    <x v="138"/>
    <x v="87"/>
    <x v="41"/>
    <x v="0"/>
    <x v="17"/>
    <x v="134"/>
    <x v="0"/>
    <x v="1"/>
    <x v="146"/>
    <x v="141"/>
    <x v="88"/>
    <x v="138"/>
    <x v="2"/>
    <x v="2"/>
    <x v="17"/>
    <x v="3"/>
    <x v="1"/>
    <x v="0"/>
    <x v="0"/>
    <x v="0"/>
    <x v="1"/>
    <x v="0"/>
    <x v="0"/>
    <x v="1"/>
    <x v="9"/>
    <x v="11"/>
  </r>
  <r>
    <x v="139"/>
    <x v="87"/>
    <x v="41"/>
    <x v="0"/>
    <x v="17"/>
    <x v="135"/>
    <x v="0"/>
    <x v="1"/>
    <x v="147"/>
    <x v="142"/>
    <x v="73"/>
    <x v="139"/>
    <x v="2"/>
    <x v="2"/>
    <x v="17"/>
    <x v="3"/>
    <x v="1"/>
    <x v="0"/>
    <x v="0"/>
    <x v="0"/>
    <x v="1"/>
    <x v="0"/>
    <x v="0"/>
    <x v="1"/>
    <x v="9"/>
    <x v="11"/>
  </r>
  <r>
    <x v="140"/>
    <x v="78"/>
    <x v="41"/>
    <x v="0"/>
    <x v="111"/>
    <x v="136"/>
    <x v="0"/>
    <x v="28"/>
    <x v="148"/>
    <x v="143"/>
    <x v="64"/>
    <x v="140"/>
    <x v="3"/>
    <x v="2"/>
    <x v="7"/>
    <x v="3"/>
    <x v="1"/>
    <x v="0"/>
    <x v="0"/>
    <x v="0"/>
    <x v="1"/>
    <x v="0"/>
    <x v="0"/>
    <x v="1"/>
    <x v="9"/>
    <x v="11"/>
  </r>
  <r>
    <x v="141"/>
    <x v="74"/>
    <x v="41"/>
    <x v="0"/>
    <x v="111"/>
    <x v="137"/>
    <x v="0"/>
    <x v="28"/>
    <x v="149"/>
    <x v="144"/>
    <x v="64"/>
    <x v="141"/>
    <x v="3"/>
    <x v="2"/>
    <x v="7"/>
    <x v="3"/>
    <x v="1"/>
    <x v="0"/>
    <x v="0"/>
    <x v="0"/>
    <x v="1"/>
    <x v="0"/>
    <x v="0"/>
    <x v="1"/>
    <x v="9"/>
    <x v="11"/>
  </r>
  <r>
    <x v="142"/>
    <x v="87"/>
    <x v="41"/>
    <x v="0"/>
    <x v="39"/>
    <x v="138"/>
    <x v="0"/>
    <x v="1"/>
    <x v="150"/>
    <x v="145"/>
    <x v="73"/>
    <x v="142"/>
    <x v="2"/>
    <x v="2"/>
    <x v="17"/>
    <x v="3"/>
    <x v="1"/>
    <x v="0"/>
    <x v="0"/>
    <x v="0"/>
    <x v="1"/>
    <x v="0"/>
    <x v="0"/>
    <x v="1"/>
    <x v="9"/>
    <x v="11"/>
  </r>
  <r>
    <x v="143"/>
    <x v="95"/>
    <x v="49"/>
    <x v="0"/>
    <x v="112"/>
    <x v="139"/>
    <x v="0"/>
    <x v="15"/>
    <x v="151"/>
    <x v="146"/>
    <x v="0"/>
    <x v="143"/>
    <x v="2"/>
    <x v="2"/>
    <x v="10"/>
    <x v="3"/>
    <x v="1"/>
    <x v="0"/>
    <x v="0"/>
    <x v="0"/>
    <x v="1"/>
    <x v="0"/>
    <x v="0"/>
    <x v="1"/>
    <x v="9"/>
    <x v="4"/>
  </r>
  <r>
    <x v="144"/>
    <x v="96"/>
    <x v="49"/>
    <x v="0"/>
    <x v="113"/>
    <x v="140"/>
    <x v="0"/>
    <x v="29"/>
    <x v="152"/>
    <x v="147"/>
    <x v="89"/>
    <x v="144"/>
    <x v="5"/>
    <x v="2"/>
    <x v="14"/>
    <x v="3"/>
    <x v="1"/>
    <x v="0"/>
    <x v="0"/>
    <x v="0"/>
    <x v="1"/>
    <x v="0"/>
    <x v="0"/>
    <x v="1"/>
    <x v="9"/>
    <x v="4"/>
  </r>
  <r>
    <x v="145"/>
    <x v="97"/>
    <x v="49"/>
    <x v="0"/>
    <x v="114"/>
    <x v="141"/>
    <x v="0"/>
    <x v="28"/>
    <x v="153"/>
    <x v="148"/>
    <x v="90"/>
    <x v="145"/>
    <x v="1"/>
    <x v="2"/>
    <x v="24"/>
    <x v="3"/>
    <x v="1"/>
    <x v="0"/>
    <x v="0"/>
    <x v="0"/>
    <x v="1"/>
    <x v="0"/>
    <x v="0"/>
    <x v="1"/>
    <x v="9"/>
    <x v="4"/>
  </r>
  <r>
    <x v="146"/>
    <x v="98"/>
    <x v="50"/>
    <x v="0"/>
    <x v="115"/>
    <x v="142"/>
    <x v="0"/>
    <x v="28"/>
    <x v="154"/>
    <x v="149"/>
    <x v="91"/>
    <x v="146"/>
    <x v="2"/>
    <x v="2"/>
    <x v="20"/>
    <x v="3"/>
    <x v="1"/>
    <x v="0"/>
    <x v="0"/>
    <x v="0"/>
    <x v="1"/>
    <x v="0"/>
    <x v="0"/>
    <x v="1"/>
    <x v="9"/>
    <x v="18"/>
  </r>
  <r>
    <x v="147"/>
    <x v="97"/>
    <x v="51"/>
    <x v="0"/>
    <x v="39"/>
    <x v="143"/>
    <x v="0"/>
    <x v="1"/>
    <x v="155"/>
    <x v="150"/>
    <x v="73"/>
    <x v="147"/>
    <x v="2"/>
    <x v="2"/>
    <x v="17"/>
    <x v="3"/>
    <x v="1"/>
    <x v="0"/>
    <x v="0"/>
    <x v="0"/>
    <x v="1"/>
    <x v="0"/>
    <x v="0"/>
    <x v="1"/>
    <x v="9"/>
    <x v="16"/>
  </r>
  <r>
    <x v="148"/>
    <x v="97"/>
    <x v="51"/>
    <x v="0"/>
    <x v="39"/>
    <x v="143"/>
    <x v="0"/>
    <x v="1"/>
    <x v="156"/>
    <x v="151"/>
    <x v="73"/>
    <x v="148"/>
    <x v="2"/>
    <x v="2"/>
    <x v="17"/>
    <x v="3"/>
    <x v="1"/>
    <x v="0"/>
    <x v="0"/>
    <x v="0"/>
    <x v="1"/>
    <x v="0"/>
    <x v="0"/>
    <x v="1"/>
    <x v="9"/>
    <x v="16"/>
  </r>
  <r>
    <x v="149"/>
    <x v="76"/>
    <x v="52"/>
    <x v="0"/>
    <x v="116"/>
    <x v="144"/>
    <x v="0"/>
    <x v="28"/>
    <x v="157"/>
    <x v="152"/>
    <x v="92"/>
    <x v="149"/>
    <x v="2"/>
    <x v="2"/>
    <x v="3"/>
    <x v="3"/>
    <x v="1"/>
    <x v="0"/>
    <x v="0"/>
    <x v="0"/>
    <x v="1"/>
    <x v="0"/>
    <x v="0"/>
    <x v="1"/>
    <x v="9"/>
    <x v="17"/>
  </r>
  <r>
    <x v="150"/>
    <x v="92"/>
    <x v="50"/>
    <x v="0"/>
    <x v="117"/>
    <x v="145"/>
    <x v="0"/>
    <x v="17"/>
    <x v="158"/>
    <x v="153"/>
    <x v="79"/>
    <x v="150"/>
    <x v="2"/>
    <x v="2"/>
    <x v="10"/>
    <x v="3"/>
    <x v="1"/>
    <x v="0"/>
    <x v="0"/>
    <x v="0"/>
    <x v="1"/>
    <x v="0"/>
    <x v="0"/>
    <x v="1"/>
    <x v="9"/>
    <x v="18"/>
  </r>
  <r>
    <x v="151"/>
    <x v="99"/>
    <x v="50"/>
    <x v="0"/>
    <x v="118"/>
    <x v="146"/>
    <x v="0"/>
    <x v="17"/>
    <x v="159"/>
    <x v="154"/>
    <x v="93"/>
    <x v="151"/>
    <x v="0"/>
    <x v="2"/>
    <x v="18"/>
    <x v="3"/>
    <x v="1"/>
    <x v="0"/>
    <x v="0"/>
    <x v="0"/>
    <x v="1"/>
    <x v="0"/>
    <x v="0"/>
    <x v="1"/>
    <x v="9"/>
    <x v="18"/>
  </r>
  <r>
    <x v="152"/>
    <x v="49"/>
    <x v="50"/>
    <x v="0"/>
    <x v="119"/>
    <x v="147"/>
    <x v="0"/>
    <x v="17"/>
    <x v="160"/>
    <x v="155"/>
    <x v="57"/>
    <x v="152"/>
    <x v="2"/>
    <x v="2"/>
    <x v="10"/>
    <x v="3"/>
    <x v="1"/>
    <x v="0"/>
    <x v="0"/>
    <x v="0"/>
    <x v="1"/>
    <x v="0"/>
    <x v="0"/>
    <x v="1"/>
    <x v="9"/>
    <x v="18"/>
  </r>
  <r>
    <x v="153"/>
    <x v="100"/>
    <x v="50"/>
    <x v="0"/>
    <x v="120"/>
    <x v="148"/>
    <x v="0"/>
    <x v="15"/>
    <x v="161"/>
    <x v="156"/>
    <x v="94"/>
    <x v="153"/>
    <x v="1"/>
    <x v="2"/>
    <x v="21"/>
    <x v="3"/>
    <x v="1"/>
    <x v="0"/>
    <x v="0"/>
    <x v="0"/>
    <x v="1"/>
    <x v="0"/>
    <x v="0"/>
    <x v="1"/>
    <x v="9"/>
    <x v="18"/>
  </r>
  <r>
    <x v="154"/>
    <x v="96"/>
    <x v="53"/>
    <x v="0"/>
    <x v="121"/>
    <x v="149"/>
    <x v="0"/>
    <x v="28"/>
    <x v="162"/>
    <x v="157"/>
    <x v="95"/>
    <x v="154"/>
    <x v="2"/>
    <x v="2"/>
    <x v="10"/>
    <x v="3"/>
    <x v="1"/>
    <x v="0"/>
    <x v="0"/>
    <x v="0"/>
    <x v="1"/>
    <x v="0"/>
    <x v="0"/>
    <x v="1"/>
    <x v="9"/>
    <x v="3"/>
  </r>
  <r>
    <x v="155"/>
    <x v="96"/>
    <x v="53"/>
    <x v="0"/>
    <x v="122"/>
    <x v="150"/>
    <x v="0"/>
    <x v="15"/>
    <x v="163"/>
    <x v="158"/>
    <x v="0"/>
    <x v="155"/>
    <x v="2"/>
    <x v="2"/>
    <x v="10"/>
    <x v="3"/>
    <x v="1"/>
    <x v="0"/>
    <x v="0"/>
    <x v="0"/>
    <x v="1"/>
    <x v="0"/>
    <x v="0"/>
    <x v="1"/>
    <x v="9"/>
    <x v="3"/>
  </r>
  <r>
    <x v="156"/>
    <x v="90"/>
    <x v="54"/>
    <x v="0"/>
    <x v="83"/>
    <x v="151"/>
    <x v="0"/>
    <x v="15"/>
    <x v="164"/>
    <x v="159"/>
    <x v="96"/>
    <x v="156"/>
    <x v="0"/>
    <x v="2"/>
    <x v="15"/>
    <x v="3"/>
    <x v="1"/>
    <x v="0"/>
    <x v="0"/>
    <x v="0"/>
    <x v="1"/>
    <x v="0"/>
    <x v="0"/>
    <x v="1"/>
    <x v="10"/>
    <x v="25"/>
  </r>
  <r>
    <x v="157"/>
    <x v="83"/>
    <x v="54"/>
    <x v="0"/>
    <x v="123"/>
    <x v="152"/>
    <x v="0"/>
    <x v="28"/>
    <x v="165"/>
    <x v="160"/>
    <x v="0"/>
    <x v="157"/>
    <x v="2"/>
    <x v="2"/>
    <x v="4"/>
    <x v="3"/>
    <x v="1"/>
    <x v="0"/>
    <x v="0"/>
    <x v="0"/>
    <x v="1"/>
    <x v="0"/>
    <x v="0"/>
    <x v="1"/>
    <x v="10"/>
    <x v="25"/>
  </r>
  <r>
    <x v="158"/>
    <x v="101"/>
    <x v="54"/>
    <x v="0"/>
    <x v="124"/>
    <x v="153"/>
    <x v="0"/>
    <x v="15"/>
    <x v="166"/>
    <x v="161"/>
    <x v="97"/>
    <x v="158"/>
    <x v="2"/>
    <x v="2"/>
    <x v="16"/>
    <x v="3"/>
    <x v="1"/>
    <x v="0"/>
    <x v="0"/>
    <x v="0"/>
    <x v="1"/>
    <x v="0"/>
    <x v="0"/>
    <x v="1"/>
    <x v="10"/>
    <x v="25"/>
  </r>
  <r>
    <x v="159"/>
    <x v="69"/>
    <x v="54"/>
    <x v="0"/>
    <x v="125"/>
    <x v="154"/>
    <x v="0"/>
    <x v="30"/>
    <x v="167"/>
    <x v="162"/>
    <x v="70"/>
    <x v="159"/>
    <x v="2"/>
    <x v="2"/>
    <x v="16"/>
    <x v="3"/>
    <x v="1"/>
    <x v="0"/>
    <x v="0"/>
    <x v="0"/>
    <x v="1"/>
    <x v="0"/>
    <x v="0"/>
    <x v="1"/>
    <x v="10"/>
    <x v="25"/>
  </r>
  <r>
    <x v="160"/>
    <x v="102"/>
    <x v="54"/>
    <x v="0"/>
    <x v="126"/>
    <x v="155"/>
    <x v="0"/>
    <x v="15"/>
    <x v="168"/>
    <x v="163"/>
    <x v="98"/>
    <x v="160"/>
    <x v="0"/>
    <x v="2"/>
    <x v="18"/>
    <x v="3"/>
    <x v="1"/>
    <x v="0"/>
    <x v="0"/>
    <x v="0"/>
    <x v="1"/>
    <x v="0"/>
    <x v="0"/>
    <x v="1"/>
    <x v="10"/>
    <x v="25"/>
  </r>
  <r>
    <x v="161"/>
    <x v="103"/>
    <x v="54"/>
    <x v="0"/>
    <x v="127"/>
    <x v="156"/>
    <x v="0"/>
    <x v="15"/>
    <x v="169"/>
    <x v="164"/>
    <x v="99"/>
    <x v="161"/>
    <x v="0"/>
    <x v="2"/>
    <x v="18"/>
    <x v="3"/>
    <x v="1"/>
    <x v="0"/>
    <x v="0"/>
    <x v="0"/>
    <x v="1"/>
    <x v="0"/>
    <x v="0"/>
    <x v="1"/>
    <x v="10"/>
    <x v="25"/>
  </r>
  <r>
    <x v="162"/>
    <x v="104"/>
    <x v="55"/>
    <x v="0"/>
    <x v="128"/>
    <x v="157"/>
    <x v="0"/>
    <x v="23"/>
    <x v="170"/>
    <x v="165"/>
    <x v="0"/>
    <x v="162"/>
    <x v="2"/>
    <x v="3"/>
    <x v="10"/>
    <x v="3"/>
    <x v="1"/>
    <x v="0"/>
    <x v="0"/>
    <x v="0"/>
    <x v="1"/>
    <x v="0"/>
    <x v="0"/>
    <x v="1"/>
    <x v="10"/>
    <x v="13"/>
  </r>
  <r>
    <x v="163"/>
    <x v="105"/>
    <x v="55"/>
    <x v="0"/>
    <x v="129"/>
    <x v="158"/>
    <x v="0"/>
    <x v="23"/>
    <x v="171"/>
    <x v="166"/>
    <x v="0"/>
    <x v="163"/>
    <x v="2"/>
    <x v="3"/>
    <x v="10"/>
    <x v="3"/>
    <x v="1"/>
    <x v="0"/>
    <x v="0"/>
    <x v="0"/>
    <x v="1"/>
    <x v="0"/>
    <x v="0"/>
    <x v="1"/>
    <x v="10"/>
    <x v="13"/>
  </r>
  <r>
    <x v="164"/>
    <x v="106"/>
    <x v="55"/>
    <x v="0"/>
    <x v="130"/>
    <x v="159"/>
    <x v="0"/>
    <x v="27"/>
    <x v="172"/>
    <x v="167"/>
    <x v="0"/>
    <x v="164"/>
    <x v="0"/>
    <x v="2"/>
    <x v="18"/>
    <x v="3"/>
    <x v="1"/>
    <x v="0"/>
    <x v="0"/>
    <x v="0"/>
    <x v="1"/>
    <x v="0"/>
    <x v="0"/>
    <x v="1"/>
    <x v="10"/>
    <x v="13"/>
  </r>
  <r>
    <x v="165"/>
    <x v="87"/>
    <x v="56"/>
    <x v="0"/>
    <x v="131"/>
    <x v="160"/>
    <x v="0"/>
    <x v="31"/>
    <x v="173"/>
    <x v="168"/>
    <x v="64"/>
    <x v="165"/>
    <x v="3"/>
    <x v="2"/>
    <x v="7"/>
    <x v="3"/>
    <x v="1"/>
    <x v="0"/>
    <x v="0"/>
    <x v="0"/>
    <x v="1"/>
    <x v="0"/>
    <x v="0"/>
    <x v="1"/>
    <x v="10"/>
    <x v="27"/>
  </r>
  <r>
    <x v="166"/>
    <x v="87"/>
    <x v="56"/>
    <x v="0"/>
    <x v="132"/>
    <x v="161"/>
    <x v="0"/>
    <x v="32"/>
    <x v="174"/>
    <x v="169"/>
    <x v="100"/>
    <x v="166"/>
    <x v="3"/>
    <x v="2"/>
    <x v="7"/>
    <x v="3"/>
    <x v="1"/>
    <x v="0"/>
    <x v="0"/>
    <x v="0"/>
    <x v="1"/>
    <x v="0"/>
    <x v="0"/>
    <x v="1"/>
    <x v="10"/>
    <x v="27"/>
  </r>
  <r>
    <x v="167"/>
    <x v="87"/>
    <x v="56"/>
    <x v="0"/>
    <x v="132"/>
    <x v="162"/>
    <x v="0"/>
    <x v="33"/>
    <x v="175"/>
    <x v="170"/>
    <x v="100"/>
    <x v="167"/>
    <x v="3"/>
    <x v="2"/>
    <x v="7"/>
    <x v="3"/>
    <x v="1"/>
    <x v="0"/>
    <x v="0"/>
    <x v="0"/>
    <x v="1"/>
    <x v="0"/>
    <x v="0"/>
    <x v="1"/>
    <x v="10"/>
    <x v="27"/>
  </r>
  <r>
    <x v="168"/>
    <x v="95"/>
    <x v="56"/>
    <x v="0"/>
    <x v="133"/>
    <x v="163"/>
    <x v="0"/>
    <x v="28"/>
    <x v="176"/>
    <x v="171"/>
    <x v="101"/>
    <x v="168"/>
    <x v="1"/>
    <x v="2"/>
    <x v="21"/>
    <x v="3"/>
    <x v="1"/>
    <x v="0"/>
    <x v="0"/>
    <x v="0"/>
    <x v="1"/>
    <x v="0"/>
    <x v="0"/>
    <x v="1"/>
    <x v="10"/>
    <x v="27"/>
  </r>
  <r>
    <x v="169"/>
    <x v="87"/>
    <x v="57"/>
    <x v="0"/>
    <x v="132"/>
    <x v="164"/>
    <x v="0"/>
    <x v="14"/>
    <x v="177"/>
    <x v="172"/>
    <x v="100"/>
    <x v="169"/>
    <x v="3"/>
    <x v="2"/>
    <x v="7"/>
    <x v="3"/>
    <x v="1"/>
    <x v="0"/>
    <x v="0"/>
    <x v="0"/>
    <x v="1"/>
    <x v="0"/>
    <x v="0"/>
    <x v="1"/>
    <x v="10"/>
    <x v="0"/>
  </r>
  <r>
    <x v="170"/>
    <x v="87"/>
    <x v="57"/>
    <x v="0"/>
    <x v="132"/>
    <x v="165"/>
    <x v="0"/>
    <x v="15"/>
    <x v="178"/>
    <x v="173"/>
    <x v="100"/>
    <x v="170"/>
    <x v="3"/>
    <x v="2"/>
    <x v="7"/>
    <x v="3"/>
    <x v="1"/>
    <x v="0"/>
    <x v="0"/>
    <x v="0"/>
    <x v="1"/>
    <x v="0"/>
    <x v="0"/>
    <x v="1"/>
    <x v="10"/>
    <x v="0"/>
  </r>
  <r>
    <x v="171"/>
    <x v="107"/>
    <x v="57"/>
    <x v="0"/>
    <x v="134"/>
    <x v="166"/>
    <x v="0"/>
    <x v="28"/>
    <x v="179"/>
    <x v="174"/>
    <x v="102"/>
    <x v="171"/>
    <x v="3"/>
    <x v="2"/>
    <x v="6"/>
    <x v="3"/>
    <x v="1"/>
    <x v="0"/>
    <x v="0"/>
    <x v="0"/>
    <x v="1"/>
    <x v="0"/>
    <x v="0"/>
    <x v="1"/>
    <x v="10"/>
    <x v="0"/>
  </r>
  <r>
    <x v="172"/>
    <x v="87"/>
    <x v="57"/>
    <x v="0"/>
    <x v="135"/>
    <x v="167"/>
    <x v="0"/>
    <x v="15"/>
    <x v="180"/>
    <x v="175"/>
    <x v="103"/>
    <x v="172"/>
    <x v="2"/>
    <x v="2"/>
    <x v="23"/>
    <x v="3"/>
    <x v="1"/>
    <x v="0"/>
    <x v="0"/>
    <x v="0"/>
    <x v="1"/>
    <x v="0"/>
    <x v="0"/>
    <x v="1"/>
    <x v="10"/>
    <x v="0"/>
  </r>
  <r>
    <x v="173"/>
    <x v="107"/>
    <x v="57"/>
    <x v="0"/>
    <x v="136"/>
    <x v="168"/>
    <x v="0"/>
    <x v="15"/>
    <x v="181"/>
    <x v="176"/>
    <x v="0"/>
    <x v="173"/>
    <x v="3"/>
    <x v="2"/>
    <x v="6"/>
    <x v="3"/>
    <x v="1"/>
    <x v="0"/>
    <x v="0"/>
    <x v="0"/>
    <x v="1"/>
    <x v="0"/>
    <x v="0"/>
    <x v="1"/>
    <x v="10"/>
    <x v="0"/>
  </r>
  <r>
    <x v="174"/>
    <x v="108"/>
    <x v="58"/>
    <x v="0"/>
    <x v="137"/>
    <x v="169"/>
    <x v="0"/>
    <x v="28"/>
    <x v="182"/>
    <x v="177"/>
    <x v="101"/>
    <x v="174"/>
    <x v="1"/>
    <x v="2"/>
    <x v="11"/>
    <x v="3"/>
    <x v="1"/>
    <x v="0"/>
    <x v="0"/>
    <x v="0"/>
    <x v="1"/>
    <x v="0"/>
    <x v="0"/>
    <x v="1"/>
    <x v="10"/>
    <x v="1"/>
  </r>
  <r>
    <x v="175"/>
    <x v="97"/>
    <x v="58"/>
    <x v="0"/>
    <x v="138"/>
    <x v="170"/>
    <x v="0"/>
    <x v="25"/>
    <x v="183"/>
    <x v="178"/>
    <x v="75"/>
    <x v="175"/>
    <x v="0"/>
    <x v="2"/>
    <x v="12"/>
    <x v="3"/>
    <x v="1"/>
    <x v="0"/>
    <x v="0"/>
    <x v="0"/>
    <x v="1"/>
    <x v="0"/>
    <x v="0"/>
    <x v="1"/>
    <x v="10"/>
    <x v="1"/>
  </r>
  <r>
    <x v="176"/>
    <x v="105"/>
    <x v="58"/>
    <x v="0"/>
    <x v="139"/>
    <x v="171"/>
    <x v="0"/>
    <x v="15"/>
    <x v="184"/>
    <x v="179"/>
    <x v="104"/>
    <x v="176"/>
    <x v="2"/>
    <x v="2"/>
    <x v="4"/>
    <x v="3"/>
    <x v="1"/>
    <x v="0"/>
    <x v="0"/>
    <x v="0"/>
    <x v="1"/>
    <x v="0"/>
    <x v="0"/>
    <x v="1"/>
    <x v="10"/>
    <x v="1"/>
  </r>
  <r>
    <x v="177"/>
    <x v="74"/>
    <x v="59"/>
    <x v="0"/>
    <x v="140"/>
    <x v="172"/>
    <x v="0"/>
    <x v="1"/>
    <x v="185"/>
    <x v="180"/>
    <x v="61"/>
    <x v="177"/>
    <x v="1"/>
    <x v="2"/>
    <x v="22"/>
    <x v="3"/>
    <x v="1"/>
    <x v="0"/>
    <x v="0"/>
    <x v="0"/>
    <x v="1"/>
    <x v="0"/>
    <x v="0"/>
    <x v="1"/>
    <x v="10"/>
    <x v="26"/>
  </r>
  <r>
    <x v="178"/>
    <x v="88"/>
    <x v="60"/>
    <x v="0"/>
    <x v="141"/>
    <x v="173"/>
    <x v="0"/>
    <x v="28"/>
    <x v="186"/>
    <x v="181"/>
    <x v="101"/>
    <x v="178"/>
    <x v="1"/>
    <x v="2"/>
    <x v="21"/>
    <x v="3"/>
    <x v="1"/>
    <x v="0"/>
    <x v="0"/>
    <x v="0"/>
    <x v="1"/>
    <x v="0"/>
    <x v="0"/>
    <x v="1"/>
    <x v="10"/>
    <x v="4"/>
  </r>
  <r>
    <x v="179"/>
    <x v="62"/>
    <x v="60"/>
    <x v="0"/>
    <x v="141"/>
    <x v="174"/>
    <x v="0"/>
    <x v="28"/>
    <x v="187"/>
    <x v="182"/>
    <x v="105"/>
    <x v="179"/>
    <x v="1"/>
    <x v="2"/>
    <x v="21"/>
    <x v="3"/>
    <x v="1"/>
    <x v="0"/>
    <x v="0"/>
    <x v="0"/>
    <x v="1"/>
    <x v="0"/>
    <x v="0"/>
    <x v="1"/>
    <x v="10"/>
    <x v="4"/>
  </r>
  <r>
    <x v="180"/>
    <x v="109"/>
    <x v="60"/>
    <x v="0"/>
    <x v="142"/>
    <x v="175"/>
    <x v="0"/>
    <x v="28"/>
    <x v="188"/>
    <x v="183"/>
    <x v="0"/>
    <x v="180"/>
    <x v="2"/>
    <x v="2"/>
    <x v="20"/>
    <x v="3"/>
    <x v="1"/>
    <x v="0"/>
    <x v="0"/>
    <x v="0"/>
    <x v="1"/>
    <x v="0"/>
    <x v="0"/>
    <x v="1"/>
    <x v="10"/>
    <x v="4"/>
  </r>
  <r>
    <x v="1"/>
    <x v="110"/>
    <x v="60"/>
    <x v="0"/>
    <x v="143"/>
    <x v="176"/>
    <x v="0"/>
    <x v="34"/>
    <x v="189"/>
    <x v="184"/>
    <x v="0"/>
    <x v="181"/>
    <x v="2"/>
    <x v="2"/>
    <x v="20"/>
    <x v="3"/>
    <x v="1"/>
    <x v="0"/>
    <x v="0"/>
    <x v="0"/>
    <x v="1"/>
    <x v="0"/>
    <x v="0"/>
    <x v="1"/>
    <x v="10"/>
    <x v="4"/>
  </r>
  <r>
    <x v="181"/>
    <x v="111"/>
    <x v="60"/>
    <x v="0"/>
    <x v="144"/>
    <x v="177"/>
    <x v="0"/>
    <x v="15"/>
    <x v="190"/>
    <x v="185"/>
    <x v="0"/>
    <x v="182"/>
    <x v="2"/>
    <x v="2"/>
    <x v="10"/>
    <x v="3"/>
    <x v="1"/>
    <x v="0"/>
    <x v="0"/>
    <x v="0"/>
    <x v="1"/>
    <x v="0"/>
    <x v="0"/>
    <x v="1"/>
    <x v="10"/>
    <x v="4"/>
  </r>
  <r>
    <x v="182"/>
    <x v="112"/>
    <x v="60"/>
    <x v="0"/>
    <x v="145"/>
    <x v="178"/>
    <x v="0"/>
    <x v="25"/>
    <x v="191"/>
    <x v="186"/>
    <x v="0"/>
    <x v="183"/>
    <x v="2"/>
    <x v="2"/>
    <x v="10"/>
    <x v="3"/>
    <x v="1"/>
    <x v="0"/>
    <x v="0"/>
    <x v="0"/>
    <x v="1"/>
    <x v="0"/>
    <x v="0"/>
    <x v="1"/>
    <x v="10"/>
    <x v="4"/>
  </r>
  <r>
    <x v="183"/>
    <x v="113"/>
    <x v="60"/>
    <x v="0"/>
    <x v="146"/>
    <x v="179"/>
    <x v="0"/>
    <x v="15"/>
    <x v="192"/>
    <x v="187"/>
    <x v="0"/>
    <x v="184"/>
    <x v="3"/>
    <x v="2"/>
    <x v="6"/>
    <x v="3"/>
    <x v="1"/>
    <x v="0"/>
    <x v="0"/>
    <x v="0"/>
    <x v="1"/>
    <x v="0"/>
    <x v="0"/>
    <x v="1"/>
    <x v="10"/>
    <x v="4"/>
  </r>
  <r>
    <x v="183"/>
    <x v="93"/>
    <x v="60"/>
    <x v="0"/>
    <x v="147"/>
    <x v="180"/>
    <x v="0"/>
    <x v="25"/>
    <x v="193"/>
    <x v="188"/>
    <x v="0"/>
    <x v="184"/>
    <x v="3"/>
    <x v="2"/>
    <x v="6"/>
    <x v="3"/>
    <x v="1"/>
    <x v="0"/>
    <x v="0"/>
    <x v="0"/>
    <x v="1"/>
    <x v="0"/>
    <x v="0"/>
    <x v="1"/>
    <x v="10"/>
    <x v="4"/>
  </r>
  <r>
    <x v="184"/>
    <x v="109"/>
    <x v="61"/>
    <x v="0"/>
    <x v="148"/>
    <x v="181"/>
    <x v="0"/>
    <x v="15"/>
    <x v="194"/>
    <x v="189"/>
    <x v="106"/>
    <x v="185"/>
    <x v="2"/>
    <x v="2"/>
    <x v="3"/>
    <x v="3"/>
    <x v="1"/>
    <x v="0"/>
    <x v="0"/>
    <x v="0"/>
    <x v="1"/>
    <x v="0"/>
    <x v="0"/>
    <x v="1"/>
    <x v="10"/>
    <x v="19"/>
  </r>
  <r>
    <x v="185"/>
    <x v="109"/>
    <x v="61"/>
    <x v="0"/>
    <x v="149"/>
    <x v="182"/>
    <x v="0"/>
    <x v="35"/>
    <x v="195"/>
    <x v="190"/>
    <x v="92"/>
    <x v="186"/>
    <x v="2"/>
    <x v="2"/>
    <x v="3"/>
    <x v="3"/>
    <x v="1"/>
    <x v="0"/>
    <x v="0"/>
    <x v="0"/>
    <x v="1"/>
    <x v="0"/>
    <x v="0"/>
    <x v="1"/>
    <x v="10"/>
    <x v="19"/>
  </r>
  <r>
    <x v="186"/>
    <x v="114"/>
    <x v="62"/>
    <x v="0"/>
    <x v="150"/>
    <x v="183"/>
    <x v="0"/>
    <x v="28"/>
    <x v="196"/>
    <x v="191"/>
    <x v="0"/>
    <x v="187"/>
    <x v="5"/>
    <x v="2"/>
    <x v="14"/>
    <x v="3"/>
    <x v="1"/>
    <x v="0"/>
    <x v="0"/>
    <x v="0"/>
    <x v="1"/>
    <x v="0"/>
    <x v="0"/>
    <x v="1"/>
    <x v="10"/>
    <x v="23"/>
  </r>
  <r>
    <x v="187"/>
    <x v="104"/>
    <x v="62"/>
    <x v="0"/>
    <x v="83"/>
    <x v="184"/>
    <x v="0"/>
    <x v="15"/>
    <x v="197"/>
    <x v="192"/>
    <x v="107"/>
    <x v="188"/>
    <x v="0"/>
    <x v="2"/>
    <x v="15"/>
    <x v="3"/>
    <x v="1"/>
    <x v="0"/>
    <x v="0"/>
    <x v="0"/>
    <x v="1"/>
    <x v="0"/>
    <x v="0"/>
    <x v="1"/>
    <x v="10"/>
    <x v="23"/>
  </r>
  <r>
    <x v="188"/>
    <x v="108"/>
    <x v="62"/>
    <x v="0"/>
    <x v="151"/>
    <x v="185"/>
    <x v="0"/>
    <x v="28"/>
    <x v="198"/>
    <x v="193"/>
    <x v="108"/>
    <x v="189"/>
    <x v="0"/>
    <x v="2"/>
    <x v="25"/>
    <x v="3"/>
    <x v="1"/>
    <x v="0"/>
    <x v="0"/>
    <x v="0"/>
    <x v="1"/>
    <x v="0"/>
    <x v="0"/>
    <x v="1"/>
    <x v="10"/>
    <x v="23"/>
  </r>
  <r>
    <x v="189"/>
    <x v="83"/>
    <x v="62"/>
    <x v="0"/>
    <x v="152"/>
    <x v="186"/>
    <x v="0"/>
    <x v="36"/>
    <x v="199"/>
    <x v="194"/>
    <x v="108"/>
    <x v="190"/>
    <x v="0"/>
    <x v="2"/>
    <x v="25"/>
    <x v="3"/>
    <x v="1"/>
    <x v="0"/>
    <x v="0"/>
    <x v="0"/>
    <x v="1"/>
    <x v="0"/>
    <x v="0"/>
    <x v="1"/>
    <x v="10"/>
    <x v="23"/>
  </r>
  <r>
    <x v="190"/>
    <x v="115"/>
    <x v="62"/>
    <x v="0"/>
    <x v="153"/>
    <x v="187"/>
    <x v="1"/>
    <x v="28"/>
    <x v="200"/>
    <x v="195"/>
    <x v="0"/>
    <x v="191"/>
    <x v="1"/>
    <x v="2"/>
    <x v="22"/>
    <x v="3"/>
    <x v="1"/>
    <x v="0"/>
    <x v="0"/>
    <x v="0"/>
    <x v="1"/>
    <x v="0"/>
    <x v="0"/>
    <x v="1"/>
    <x v="10"/>
    <x v="23"/>
  </r>
  <r>
    <x v="191"/>
    <x v="116"/>
    <x v="63"/>
    <x v="0"/>
    <x v="154"/>
    <x v="188"/>
    <x v="1"/>
    <x v="28"/>
    <x v="201"/>
    <x v="196"/>
    <x v="0"/>
    <x v="192"/>
    <x v="1"/>
    <x v="2"/>
    <x v="24"/>
    <x v="3"/>
    <x v="1"/>
    <x v="0"/>
    <x v="0"/>
    <x v="0"/>
    <x v="1"/>
    <x v="0"/>
    <x v="0"/>
    <x v="1"/>
    <x v="10"/>
    <x v="12"/>
  </r>
  <r>
    <x v="192"/>
    <x v="89"/>
    <x v="63"/>
    <x v="0"/>
    <x v="155"/>
    <x v="189"/>
    <x v="1"/>
    <x v="17"/>
    <x v="202"/>
    <x v="197"/>
    <x v="109"/>
    <x v="193"/>
    <x v="3"/>
    <x v="2"/>
    <x v="6"/>
    <x v="3"/>
    <x v="1"/>
    <x v="0"/>
    <x v="0"/>
    <x v="0"/>
    <x v="1"/>
    <x v="0"/>
    <x v="0"/>
    <x v="1"/>
    <x v="10"/>
    <x v="12"/>
  </r>
  <r>
    <x v="192"/>
    <x v="94"/>
    <x v="63"/>
    <x v="0"/>
    <x v="156"/>
    <x v="190"/>
    <x v="0"/>
    <x v="37"/>
    <x v="203"/>
    <x v="198"/>
    <x v="110"/>
    <x v="193"/>
    <x v="3"/>
    <x v="2"/>
    <x v="6"/>
    <x v="3"/>
    <x v="1"/>
    <x v="0"/>
    <x v="0"/>
    <x v="0"/>
    <x v="1"/>
    <x v="0"/>
    <x v="0"/>
    <x v="1"/>
    <x v="10"/>
    <x v="12"/>
  </r>
  <r>
    <x v="193"/>
    <x v="117"/>
    <x v="64"/>
    <x v="0"/>
    <x v="157"/>
    <x v="191"/>
    <x v="0"/>
    <x v="32"/>
    <x v="204"/>
    <x v="199"/>
    <x v="111"/>
    <x v="194"/>
    <x v="2"/>
    <x v="2"/>
    <x v="3"/>
    <x v="3"/>
    <x v="1"/>
    <x v="0"/>
    <x v="0"/>
    <x v="0"/>
    <x v="1"/>
    <x v="0"/>
    <x v="0"/>
    <x v="1"/>
    <x v="10"/>
    <x v="28"/>
  </r>
  <r>
    <x v="194"/>
    <x v="69"/>
    <x v="64"/>
    <x v="0"/>
    <x v="158"/>
    <x v="192"/>
    <x v="0"/>
    <x v="15"/>
    <x v="205"/>
    <x v="200"/>
    <x v="112"/>
    <x v="195"/>
    <x v="2"/>
    <x v="2"/>
    <x v="3"/>
    <x v="3"/>
    <x v="1"/>
    <x v="0"/>
    <x v="0"/>
    <x v="0"/>
    <x v="1"/>
    <x v="0"/>
    <x v="0"/>
    <x v="1"/>
    <x v="10"/>
    <x v="28"/>
  </r>
  <r>
    <x v="195"/>
    <x v="118"/>
    <x v="64"/>
    <x v="0"/>
    <x v="159"/>
    <x v="193"/>
    <x v="0"/>
    <x v="15"/>
    <x v="206"/>
    <x v="201"/>
    <x v="112"/>
    <x v="196"/>
    <x v="2"/>
    <x v="2"/>
    <x v="3"/>
    <x v="3"/>
    <x v="1"/>
    <x v="0"/>
    <x v="0"/>
    <x v="0"/>
    <x v="1"/>
    <x v="0"/>
    <x v="0"/>
    <x v="1"/>
    <x v="10"/>
    <x v="28"/>
  </r>
  <r>
    <x v="196"/>
    <x v="119"/>
    <x v="65"/>
    <x v="0"/>
    <x v="160"/>
    <x v="194"/>
    <x v="0"/>
    <x v="38"/>
    <x v="207"/>
    <x v="202"/>
    <x v="95"/>
    <x v="197"/>
    <x v="2"/>
    <x v="2"/>
    <x v="5"/>
    <x v="3"/>
    <x v="1"/>
    <x v="0"/>
    <x v="0"/>
    <x v="0"/>
    <x v="1"/>
    <x v="0"/>
    <x v="0"/>
    <x v="1"/>
    <x v="10"/>
    <x v="6"/>
  </r>
  <r>
    <x v="197"/>
    <x v="120"/>
    <x v="66"/>
    <x v="0"/>
    <x v="161"/>
    <x v="195"/>
    <x v="0"/>
    <x v="19"/>
    <x v="208"/>
    <x v="15"/>
    <x v="0"/>
    <x v="198"/>
    <x v="2"/>
    <x v="3"/>
    <x v="4"/>
    <x v="3"/>
    <x v="1"/>
    <x v="0"/>
    <x v="0"/>
    <x v="0"/>
    <x v="1"/>
    <x v="0"/>
    <x v="0"/>
    <x v="1"/>
    <x v="10"/>
    <x v="5"/>
  </r>
  <r>
    <x v="198"/>
    <x v="121"/>
    <x v="67"/>
    <x v="0"/>
    <x v="17"/>
    <x v="196"/>
    <x v="0"/>
    <x v="1"/>
    <x v="209"/>
    <x v="203"/>
    <x v="95"/>
    <x v="199"/>
    <x v="2"/>
    <x v="2"/>
    <x v="17"/>
    <x v="3"/>
    <x v="1"/>
    <x v="0"/>
    <x v="0"/>
    <x v="0"/>
    <x v="1"/>
    <x v="0"/>
    <x v="0"/>
    <x v="1"/>
    <x v="10"/>
    <x v="10"/>
  </r>
  <r>
    <x v="199"/>
    <x v="122"/>
    <x v="60"/>
    <x v="0"/>
    <x v="162"/>
    <x v="197"/>
    <x v="0"/>
    <x v="1"/>
    <x v="210"/>
    <x v="204"/>
    <x v="113"/>
    <x v="200"/>
    <x v="2"/>
    <x v="2"/>
    <x v="17"/>
    <x v="3"/>
    <x v="1"/>
    <x v="0"/>
    <x v="0"/>
    <x v="0"/>
    <x v="1"/>
    <x v="0"/>
    <x v="0"/>
    <x v="1"/>
    <x v="10"/>
    <x v="4"/>
  </r>
  <r>
    <x v="200"/>
    <x v="115"/>
    <x v="66"/>
    <x v="0"/>
    <x v="163"/>
    <x v="198"/>
    <x v="0"/>
    <x v="39"/>
    <x v="211"/>
    <x v="205"/>
    <x v="0"/>
    <x v="201"/>
    <x v="1"/>
    <x v="3"/>
    <x v="1"/>
    <x v="3"/>
    <x v="1"/>
    <x v="0"/>
    <x v="0"/>
    <x v="0"/>
    <x v="1"/>
    <x v="0"/>
    <x v="0"/>
    <x v="1"/>
    <x v="10"/>
    <x v="5"/>
  </r>
  <r>
    <x v="201"/>
    <x v="110"/>
    <x v="66"/>
    <x v="0"/>
    <x v="164"/>
    <x v="199"/>
    <x v="0"/>
    <x v="15"/>
    <x v="212"/>
    <x v="206"/>
    <x v="114"/>
    <x v="202"/>
    <x v="1"/>
    <x v="3"/>
    <x v="1"/>
    <x v="3"/>
    <x v="1"/>
    <x v="0"/>
    <x v="0"/>
    <x v="0"/>
    <x v="1"/>
    <x v="0"/>
    <x v="0"/>
    <x v="1"/>
    <x v="10"/>
    <x v="5"/>
  </r>
  <r>
    <x v="202"/>
    <x v="111"/>
    <x v="66"/>
    <x v="0"/>
    <x v="165"/>
    <x v="200"/>
    <x v="0"/>
    <x v="28"/>
    <x v="213"/>
    <x v="207"/>
    <x v="115"/>
    <x v="203"/>
    <x v="1"/>
    <x v="3"/>
    <x v="1"/>
    <x v="3"/>
    <x v="1"/>
    <x v="0"/>
    <x v="0"/>
    <x v="0"/>
    <x v="1"/>
    <x v="0"/>
    <x v="0"/>
    <x v="1"/>
    <x v="10"/>
    <x v="5"/>
  </r>
  <r>
    <x v="203"/>
    <x v="97"/>
    <x v="68"/>
    <x v="0"/>
    <x v="166"/>
    <x v="201"/>
    <x v="0"/>
    <x v="40"/>
    <x v="214"/>
    <x v="208"/>
    <x v="108"/>
    <x v="204"/>
    <x v="0"/>
    <x v="3"/>
    <x v="15"/>
    <x v="3"/>
    <x v="1"/>
    <x v="0"/>
    <x v="0"/>
    <x v="0"/>
    <x v="1"/>
    <x v="0"/>
    <x v="0"/>
    <x v="1"/>
    <x v="10"/>
    <x v="15"/>
  </r>
  <r>
    <x v="204"/>
    <x v="123"/>
    <x v="69"/>
    <x v="0"/>
    <x v="167"/>
    <x v="202"/>
    <x v="0"/>
    <x v="28"/>
    <x v="215"/>
    <x v="209"/>
    <x v="116"/>
    <x v="205"/>
    <x v="0"/>
    <x v="2"/>
    <x v="12"/>
    <x v="3"/>
    <x v="1"/>
    <x v="0"/>
    <x v="0"/>
    <x v="0"/>
    <x v="1"/>
    <x v="0"/>
    <x v="0"/>
    <x v="1"/>
    <x v="10"/>
    <x v="16"/>
  </r>
  <r>
    <x v="205"/>
    <x v="97"/>
    <x v="69"/>
    <x v="0"/>
    <x v="168"/>
    <x v="203"/>
    <x v="0"/>
    <x v="33"/>
    <x v="216"/>
    <x v="210"/>
    <x v="106"/>
    <x v="206"/>
    <x v="2"/>
    <x v="2"/>
    <x v="3"/>
    <x v="3"/>
    <x v="1"/>
    <x v="0"/>
    <x v="0"/>
    <x v="0"/>
    <x v="1"/>
    <x v="0"/>
    <x v="0"/>
    <x v="1"/>
    <x v="10"/>
    <x v="16"/>
  </r>
  <r>
    <x v="206"/>
    <x v="101"/>
    <x v="69"/>
    <x v="0"/>
    <x v="169"/>
    <x v="204"/>
    <x v="0"/>
    <x v="28"/>
    <x v="217"/>
    <x v="211"/>
    <x v="106"/>
    <x v="207"/>
    <x v="2"/>
    <x v="2"/>
    <x v="3"/>
    <x v="3"/>
    <x v="1"/>
    <x v="0"/>
    <x v="0"/>
    <x v="0"/>
    <x v="1"/>
    <x v="0"/>
    <x v="0"/>
    <x v="1"/>
    <x v="10"/>
    <x v="16"/>
  </r>
  <r>
    <x v="207"/>
    <x v="124"/>
    <x v="70"/>
    <x v="0"/>
    <x v="126"/>
    <x v="205"/>
    <x v="2"/>
    <x v="29"/>
    <x v="218"/>
    <x v="212"/>
    <x v="96"/>
    <x v="208"/>
    <x v="0"/>
    <x v="2"/>
    <x v="18"/>
    <x v="3"/>
    <x v="1"/>
    <x v="0"/>
    <x v="0"/>
    <x v="0"/>
    <x v="1"/>
    <x v="0"/>
    <x v="0"/>
    <x v="1"/>
    <x v="10"/>
    <x v="17"/>
  </r>
  <r>
    <x v="208"/>
    <x v="125"/>
    <x v="71"/>
    <x v="0"/>
    <x v="170"/>
    <x v="206"/>
    <x v="0"/>
    <x v="15"/>
    <x v="219"/>
    <x v="213"/>
    <x v="95"/>
    <x v="209"/>
    <x v="2"/>
    <x v="2"/>
    <x v="4"/>
    <x v="3"/>
    <x v="1"/>
    <x v="0"/>
    <x v="0"/>
    <x v="0"/>
    <x v="1"/>
    <x v="0"/>
    <x v="0"/>
    <x v="1"/>
    <x v="10"/>
    <x v="18"/>
  </r>
  <r>
    <x v="209"/>
    <x v="121"/>
    <x v="71"/>
    <x v="0"/>
    <x v="83"/>
    <x v="207"/>
    <x v="2"/>
    <x v="15"/>
    <x v="220"/>
    <x v="214"/>
    <x v="107"/>
    <x v="210"/>
    <x v="0"/>
    <x v="2"/>
    <x v="15"/>
    <x v="3"/>
    <x v="1"/>
    <x v="0"/>
    <x v="0"/>
    <x v="0"/>
    <x v="1"/>
    <x v="0"/>
    <x v="0"/>
    <x v="1"/>
    <x v="10"/>
    <x v="18"/>
  </r>
  <r>
    <x v="107"/>
    <x v="120"/>
    <x v="71"/>
    <x v="0"/>
    <x v="105"/>
    <x v="208"/>
    <x v="0"/>
    <x v="15"/>
    <x v="221"/>
    <x v="215"/>
    <x v="108"/>
    <x v="211"/>
    <x v="0"/>
    <x v="2"/>
    <x v="18"/>
    <x v="3"/>
    <x v="1"/>
    <x v="0"/>
    <x v="0"/>
    <x v="0"/>
    <x v="1"/>
    <x v="0"/>
    <x v="0"/>
    <x v="1"/>
    <x v="10"/>
    <x v="18"/>
  </r>
  <r>
    <x v="210"/>
    <x v="126"/>
    <x v="71"/>
    <x v="0"/>
    <x v="171"/>
    <x v="209"/>
    <x v="0"/>
    <x v="41"/>
    <x v="222"/>
    <x v="216"/>
    <x v="117"/>
    <x v="212"/>
    <x v="0"/>
    <x v="2"/>
    <x v="18"/>
    <x v="3"/>
    <x v="1"/>
    <x v="0"/>
    <x v="0"/>
    <x v="0"/>
    <x v="1"/>
    <x v="0"/>
    <x v="0"/>
    <x v="1"/>
    <x v="10"/>
    <x v="18"/>
  </r>
  <r>
    <x v="211"/>
    <x v="115"/>
    <x v="71"/>
    <x v="0"/>
    <x v="172"/>
    <x v="210"/>
    <x v="0"/>
    <x v="17"/>
    <x v="223"/>
    <x v="217"/>
    <x v="118"/>
    <x v="213"/>
    <x v="2"/>
    <x v="2"/>
    <x v="5"/>
    <x v="3"/>
    <x v="1"/>
    <x v="0"/>
    <x v="0"/>
    <x v="0"/>
    <x v="1"/>
    <x v="0"/>
    <x v="0"/>
    <x v="1"/>
    <x v="10"/>
    <x v="18"/>
  </r>
  <r>
    <x v="212"/>
    <x v="105"/>
    <x v="71"/>
    <x v="0"/>
    <x v="173"/>
    <x v="211"/>
    <x v="0"/>
    <x v="42"/>
    <x v="224"/>
    <x v="218"/>
    <x v="108"/>
    <x v="214"/>
    <x v="0"/>
    <x v="2"/>
    <x v="18"/>
    <x v="3"/>
    <x v="1"/>
    <x v="0"/>
    <x v="0"/>
    <x v="0"/>
    <x v="1"/>
    <x v="0"/>
    <x v="0"/>
    <x v="1"/>
    <x v="10"/>
    <x v="18"/>
  </r>
  <r>
    <x v="1"/>
    <x v="115"/>
    <x v="71"/>
    <x v="0"/>
    <x v="174"/>
    <x v="212"/>
    <x v="0"/>
    <x v="43"/>
    <x v="225"/>
    <x v="219"/>
    <x v="118"/>
    <x v="215"/>
    <x v="2"/>
    <x v="2"/>
    <x v="5"/>
    <x v="3"/>
    <x v="1"/>
    <x v="0"/>
    <x v="0"/>
    <x v="0"/>
    <x v="1"/>
    <x v="0"/>
    <x v="0"/>
    <x v="1"/>
    <x v="10"/>
    <x v="18"/>
  </r>
  <r>
    <x v="213"/>
    <x v="125"/>
    <x v="72"/>
    <x v="0"/>
    <x v="175"/>
    <x v="213"/>
    <x v="0"/>
    <x v="44"/>
    <x v="226"/>
    <x v="220"/>
    <x v="119"/>
    <x v="216"/>
    <x v="2"/>
    <x v="2"/>
    <x v="16"/>
    <x v="3"/>
    <x v="1"/>
    <x v="0"/>
    <x v="0"/>
    <x v="0"/>
    <x v="1"/>
    <x v="0"/>
    <x v="0"/>
    <x v="1"/>
    <x v="10"/>
    <x v="8"/>
  </r>
  <r>
    <x v="214"/>
    <x v="112"/>
    <x v="72"/>
    <x v="0"/>
    <x v="176"/>
    <x v="214"/>
    <x v="0"/>
    <x v="17"/>
    <x v="227"/>
    <x v="221"/>
    <x v="91"/>
    <x v="217"/>
    <x v="2"/>
    <x v="2"/>
    <x v="16"/>
    <x v="3"/>
    <x v="1"/>
    <x v="0"/>
    <x v="0"/>
    <x v="0"/>
    <x v="1"/>
    <x v="0"/>
    <x v="0"/>
    <x v="1"/>
    <x v="10"/>
    <x v="8"/>
  </r>
  <r>
    <x v="215"/>
    <x v="122"/>
    <x v="72"/>
    <x v="0"/>
    <x v="32"/>
    <x v="215"/>
    <x v="2"/>
    <x v="16"/>
    <x v="228"/>
    <x v="222"/>
    <x v="108"/>
    <x v="218"/>
    <x v="0"/>
    <x v="2"/>
    <x v="15"/>
    <x v="3"/>
    <x v="1"/>
    <x v="0"/>
    <x v="0"/>
    <x v="0"/>
    <x v="1"/>
    <x v="0"/>
    <x v="0"/>
    <x v="1"/>
    <x v="10"/>
    <x v="8"/>
  </r>
  <r>
    <x v="216"/>
    <x v="127"/>
    <x v="73"/>
    <x v="0"/>
    <x v="177"/>
    <x v="216"/>
    <x v="0"/>
    <x v="28"/>
    <x v="229"/>
    <x v="223"/>
    <x v="120"/>
    <x v="219"/>
    <x v="2"/>
    <x v="2"/>
    <x v="10"/>
    <x v="3"/>
    <x v="1"/>
    <x v="0"/>
    <x v="0"/>
    <x v="0"/>
    <x v="1"/>
    <x v="0"/>
    <x v="0"/>
    <x v="1"/>
    <x v="11"/>
    <x v="13"/>
  </r>
  <r>
    <x v="217"/>
    <x v="74"/>
    <x v="73"/>
    <x v="0"/>
    <x v="178"/>
    <x v="217"/>
    <x v="0"/>
    <x v="45"/>
    <x v="23"/>
    <x v="15"/>
    <x v="121"/>
    <x v="220"/>
    <x v="2"/>
    <x v="3"/>
    <x v="10"/>
    <x v="3"/>
    <x v="1"/>
    <x v="0"/>
    <x v="0"/>
    <x v="0"/>
    <x v="1"/>
    <x v="0"/>
    <x v="0"/>
    <x v="1"/>
    <x v="11"/>
    <x v="13"/>
  </r>
  <r>
    <x v="218"/>
    <x v="121"/>
    <x v="73"/>
    <x v="0"/>
    <x v="179"/>
    <x v="218"/>
    <x v="0"/>
    <x v="7"/>
    <x v="230"/>
    <x v="224"/>
    <x v="113"/>
    <x v="221"/>
    <x v="2"/>
    <x v="3"/>
    <x v="10"/>
    <x v="3"/>
    <x v="1"/>
    <x v="0"/>
    <x v="0"/>
    <x v="0"/>
    <x v="1"/>
    <x v="0"/>
    <x v="0"/>
    <x v="1"/>
    <x v="11"/>
    <x v="13"/>
  </r>
  <r>
    <x v="219"/>
    <x v="128"/>
    <x v="73"/>
    <x v="0"/>
    <x v="180"/>
    <x v="219"/>
    <x v="0"/>
    <x v="21"/>
    <x v="231"/>
    <x v="225"/>
    <x v="116"/>
    <x v="222"/>
    <x v="0"/>
    <x v="2"/>
    <x v="12"/>
    <x v="3"/>
    <x v="1"/>
    <x v="0"/>
    <x v="0"/>
    <x v="0"/>
    <x v="1"/>
    <x v="0"/>
    <x v="0"/>
    <x v="1"/>
    <x v="11"/>
    <x v="13"/>
  </r>
  <r>
    <x v="220"/>
    <x v="128"/>
    <x v="73"/>
    <x v="0"/>
    <x v="181"/>
    <x v="220"/>
    <x v="0"/>
    <x v="21"/>
    <x v="232"/>
    <x v="226"/>
    <x v="116"/>
    <x v="223"/>
    <x v="0"/>
    <x v="2"/>
    <x v="12"/>
    <x v="3"/>
    <x v="1"/>
    <x v="0"/>
    <x v="0"/>
    <x v="0"/>
    <x v="1"/>
    <x v="0"/>
    <x v="0"/>
    <x v="1"/>
    <x v="11"/>
    <x v="13"/>
  </r>
  <r>
    <x v="221"/>
    <x v="129"/>
    <x v="74"/>
    <x v="0"/>
    <x v="182"/>
    <x v="221"/>
    <x v="0"/>
    <x v="21"/>
    <x v="233"/>
    <x v="227"/>
    <x v="122"/>
    <x v="224"/>
    <x v="2"/>
    <x v="2"/>
    <x v="20"/>
    <x v="3"/>
    <x v="1"/>
    <x v="0"/>
    <x v="0"/>
    <x v="0"/>
    <x v="1"/>
    <x v="0"/>
    <x v="0"/>
    <x v="1"/>
    <x v="11"/>
    <x v="21"/>
  </r>
  <r>
    <x v="222"/>
    <x v="130"/>
    <x v="75"/>
    <x v="0"/>
    <x v="183"/>
    <x v="222"/>
    <x v="0"/>
    <x v="7"/>
    <x v="234"/>
    <x v="228"/>
    <x v="0"/>
    <x v="225"/>
    <x v="2"/>
    <x v="2"/>
    <x v="4"/>
    <x v="3"/>
    <x v="1"/>
    <x v="0"/>
    <x v="0"/>
    <x v="0"/>
    <x v="1"/>
    <x v="0"/>
    <x v="0"/>
    <x v="1"/>
    <x v="11"/>
    <x v="22"/>
  </r>
  <r>
    <x v="223"/>
    <x v="121"/>
    <x v="76"/>
    <x v="0"/>
    <x v="184"/>
    <x v="223"/>
    <x v="0"/>
    <x v="46"/>
    <x v="235"/>
    <x v="229"/>
    <x v="0"/>
    <x v="226"/>
    <x v="0"/>
    <x v="2"/>
    <x v="25"/>
    <x v="3"/>
    <x v="1"/>
    <x v="0"/>
    <x v="0"/>
    <x v="0"/>
    <x v="1"/>
    <x v="0"/>
    <x v="0"/>
    <x v="1"/>
    <x v="11"/>
    <x v="9"/>
  </r>
  <r>
    <x v="224"/>
    <x v="131"/>
    <x v="76"/>
    <x v="0"/>
    <x v="185"/>
    <x v="224"/>
    <x v="0"/>
    <x v="46"/>
    <x v="236"/>
    <x v="230"/>
    <x v="0"/>
    <x v="227"/>
    <x v="0"/>
    <x v="2"/>
    <x v="25"/>
    <x v="3"/>
    <x v="1"/>
    <x v="0"/>
    <x v="0"/>
    <x v="0"/>
    <x v="1"/>
    <x v="0"/>
    <x v="0"/>
    <x v="1"/>
    <x v="11"/>
    <x v="9"/>
  </r>
  <r>
    <x v="225"/>
    <x v="132"/>
    <x v="77"/>
    <x v="0"/>
    <x v="186"/>
    <x v="225"/>
    <x v="0"/>
    <x v="21"/>
    <x v="237"/>
    <x v="231"/>
    <x v="123"/>
    <x v="228"/>
    <x v="0"/>
    <x v="2"/>
    <x v="18"/>
    <x v="3"/>
    <x v="1"/>
    <x v="0"/>
    <x v="0"/>
    <x v="0"/>
    <x v="1"/>
    <x v="0"/>
    <x v="0"/>
    <x v="1"/>
    <x v="11"/>
    <x v="10"/>
  </r>
  <r>
    <x v="226"/>
    <x v="132"/>
    <x v="77"/>
    <x v="0"/>
    <x v="151"/>
    <x v="226"/>
    <x v="0"/>
    <x v="46"/>
    <x v="238"/>
    <x v="232"/>
    <x v="0"/>
    <x v="229"/>
    <x v="0"/>
    <x v="2"/>
    <x v="25"/>
    <x v="3"/>
    <x v="1"/>
    <x v="0"/>
    <x v="0"/>
    <x v="0"/>
    <x v="1"/>
    <x v="0"/>
    <x v="0"/>
    <x v="1"/>
    <x v="11"/>
    <x v="10"/>
  </r>
  <r>
    <x v="227"/>
    <x v="133"/>
    <x v="78"/>
    <x v="0"/>
    <x v="187"/>
    <x v="227"/>
    <x v="0"/>
    <x v="46"/>
    <x v="239"/>
    <x v="233"/>
    <x v="124"/>
    <x v="230"/>
    <x v="2"/>
    <x v="2"/>
    <x v="4"/>
    <x v="3"/>
    <x v="1"/>
    <x v="0"/>
    <x v="0"/>
    <x v="0"/>
    <x v="1"/>
    <x v="0"/>
    <x v="0"/>
    <x v="1"/>
    <x v="11"/>
    <x v="12"/>
  </r>
  <r>
    <x v="228"/>
    <x v="126"/>
    <x v="79"/>
    <x v="0"/>
    <x v="188"/>
    <x v="228"/>
    <x v="0"/>
    <x v="46"/>
    <x v="240"/>
    <x v="234"/>
    <x v="0"/>
    <x v="231"/>
    <x v="0"/>
    <x v="2"/>
    <x v="25"/>
    <x v="3"/>
    <x v="1"/>
    <x v="0"/>
    <x v="0"/>
    <x v="0"/>
    <x v="1"/>
    <x v="0"/>
    <x v="0"/>
    <x v="1"/>
    <x v="11"/>
    <x v="5"/>
  </r>
  <r>
    <x v="229"/>
    <x v="134"/>
    <x v="79"/>
    <x v="0"/>
    <x v="151"/>
    <x v="229"/>
    <x v="0"/>
    <x v="46"/>
    <x v="241"/>
    <x v="235"/>
    <x v="0"/>
    <x v="232"/>
    <x v="0"/>
    <x v="2"/>
    <x v="25"/>
    <x v="3"/>
    <x v="1"/>
    <x v="0"/>
    <x v="0"/>
    <x v="0"/>
    <x v="1"/>
    <x v="0"/>
    <x v="0"/>
    <x v="1"/>
    <x v="11"/>
    <x v="5"/>
  </r>
  <r>
    <x v="230"/>
    <x v="86"/>
    <x v="80"/>
    <x v="0"/>
    <x v="189"/>
    <x v="230"/>
    <x v="0"/>
    <x v="47"/>
    <x v="242"/>
    <x v="236"/>
    <x v="0"/>
    <x v="233"/>
    <x v="0"/>
    <x v="2"/>
    <x v="18"/>
    <x v="3"/>
    <x v="1"/>
    <x v="0"/>
    <x v="0"/>
    <x v="0"/>
    <x v="1"/>
    <x v="0"/>
    <x v="0"/>
    <x v="1"/>
    <x v="11"/>
    <x v="24"/>
  </r>
  <r>
    <x v="231"/>
    <x v="135"/>
    <x v="81"/>
    <x v="0"/>
    <x v="190"/>
    <x v="231"/>
    <x v="2"/>
    <x v="47"/>
    <x v="243"/>
    <x v="237"/>
    <x v="125"/>
    <x v="234"/>
    <x v="1"/>
    <x v="2"/>
    <x v="22"/>
    <x v="3"/>
    <x v="1"/>
    <x v="0"/>
    <x v="0"/>
    <x v="0"/>
    <x v="1"/>
    <x v="0"/>
    <x v="0"/>
    <x v="1"/>
    <x v="11"/>
    <x v="15"/>
  </r>
  <r>
    <x v="232"/>
    <x v="127"/>
    <x v="82"/>
    <x v="0"/>
    <x v="191"/>
    <x v="232"/>
    <x v="3"/>
    <x v="46"/>
    <x v="244"/>
    <x v="238"/>
    <x v="126"/>
    <x v="235"/>
    <x v="2"/>
    <x v="4"/>
    <x v="3"/>
    <x v="3"/>
    <x v="1"/>
    <x v="0"/>
    <x v="0"/>
    <x v="0"/>
    <x v="1"/>
    <x v="0"/>
    <x v="0"/>
    <x v="1"/>
    <x v="11"/>
    <x v="3"/>
  </r>
  <r>
    <x v="233"/>
    <x v="136"/>
    <x v="83"/>
    <x v="0"/>
    <x v="192"/>
    <x v="233"/>
    <x v="0"/>
    <x v="21"/>
    <x v="245"/>
    <x v="239"/>
    <x v="127"/>
    <x v="236"/>
    <x v="2"/>
    <x v="4"/>
    <x v="3"/>
    <x v="3"/>
    <x v="1"/>
    <x v="0"/>
    <x v="0"/>
    <x v="0"/>
    <x v="1"/>
    <x v="0"/>
    <x v="0"/>
    <x v="1"/>
    <x v="0"/>
    <x v="26"/>
  </r>
  <r>
    <x v="234"/>
    <x v="137"/>
    <x v="84"/>
    <x v="0"/>
    <x v="193"/>
    <x v="234"/>
    <x v="0"/>
    <x v="48"/>
    <x v="246"/>
    <x v="240"/>
    <x v="0"/>
    <x v="237"/>
    <x v="2"/>
    <x v="2"/>
    <x v="4"/>
    <x v="3"/>
    <x v="1"/>
    <x v="0"/>
    <x v="0"/>
    <x v="0"/>
    <x v="1"/>
    <x v="0"/>
    <x v="0"/>
    <x v="1"/>
    <x v="0"/>
    <x v="22"/>
  </r>
  <r>
    <x v="235"/>
    <x v="138"/>
    <x v="84"/>
    <x v="0"/>
    <x v="194"/>
    <x v="235"/>
    <x v="0"/>
    <x v="24"/>
    <x v="247"/>
    <x v="241"/>
    <x v="0"/>
    <x v="238"/>
    <x v="2"/>
    <x v="2"/>
    <x v="4"/>
    <x v="3"/>
    <x v="1"/>
    <x v="0"/>
    <x v="0"/>
    <x v="0"/>
    <x v="1"/>
    <x v="0"/>
    <x v="0"/>
    <x v="1"/>
    <x v="0"/>
    <x v="22"/>
  </r>
  <r>
    <x v="236"/>
    <x v="139"/>
    <x v="84"/>
    <x v="0"/>
    <x v="195"/>
    <x v="236"/>
    <x v="0"/>
    <x v="24"/>
    <x v="248"/>
    <x v="15"/>
    <x v="128"/>
    <x v="239"/>
    <x v="3"/>
    <x v="2"/>
    <x v="6"/>
    <x v="3"/>
    <x v="1"/>
    <x v="0"/>
    <x v="0"/>
    <x v="0"/>
    <x v="1"/>
    <x v="0"/>
    <x v="0"/>
    <x v="1"/>
    <x v="0"/>
    <x v="22"/>
  </r>
  <r>
    <x v="237"/>
    <x v="140"/>
    <x v="84"/>
    <x v="0"/>
    <x v="196"/>
    <x v="237"/>
    <x v="0"/>
    <x v="24"/>
    <x v="249"/>
    <x v="15"/>
    <x v="129"/>
    <x v="240"/>
    <x v="3"/>
    <x v="2"/>
    <x v="6"/>
    <x v="3"/>
    <x v="1"/>
    <x v="0"/>
    <x v="0"/>
    <x v="0"/>
    <x v="1"/>
    <x v="0"/>
    <x v="0"/>
    <x v="1"/>
    <x v="0"/>
    <x v="22"/>
  </r>
  <r>
    <x v="238"/>
    <x v="108"/>
    <x v="85"/>
    <x v="0"/>
    <x v="197"/>
    <x v="238"/>
    <x v="0"/>
    <x v="24"/>
    <x v="250"/>
    <x v="15"/>
    <x v="0"/>
    <x v="241"/>
    <x v="2"/>
    <x v="2"/>
    <x v="3"/>
    <x v="3"/>
    <x v="1"/>
    <x v="0"/>
    <x v="0"/>
    <x v="0"/>
    <x v="1"/>
    <x v="0"/>
    <x v="0"/>
    <x v="1"/>
    <x v="0"/>
    <x v="1"/>
  </r>
  <r>
    <x v="239"/>
    <x v="141"/>
    <x v="86"/>
    <x v="0"/>
    <x v="198"/>
    <x v="239"/>
    <x v="0"/>
    <x v="49"/>
    <x v="251"/>
    <x v="66"/>
    <x v="130"/>
    <x v="242"/>
    <x v="3"/>
    <x v="2"/>
    <x v="26"/>
    <x v="3"/>
    <x v="1"/>
    <x v="0"/>
    <x v="0"/>
    <x v="0"/>
    <x v="1"/>
    <x v="0"/>
    <x v="0"/>
    <x v="1"/>
    <x v="0"/>
    <x v="4"/>
  </r>
  <r>
    <x v="240"/>
    <x v="142"/>
    <x v="87"/>
    <x v="0"/>
    <x v="32"/>
    <x v="240"/>
    <x v="0"/>
    <x v="21"/>
    <x v="252"/>
    <x v="242"/>
    <x v="131"/>
    <x v="243"/>
    <x v="0"/>
    <x v="2"/>
    <x v="12"/>
    <x v="3"/>
    <x v="1"/>
    <x v="0"/>
    <x v="0"/>
    <x v="0"/>
    <x v="1"/>
    <x v="0"/>
    <x v="0"/>
    <x v="1"/>
    <x v="0"/>
    <x v="9"/>
  </r>
  <r>
    <x v="241"/>
    <x v="143"/>
    <x v="87"/>
    <x v="0"/>
    <x v="199"/>
    <x v="241"/>
    <x v="0"/>
    <x v="21"/>
    <x v="253"/>
    <x v="243"/>
    <x v="132"/>
    <x v="244"/>
    <x v="0"/>
    <x v="2"/>
    <x v="12"/>
    <x v="3"/>
    <x v="1"/>
    <x v="0"/>
    <x v="0"/>
    <x v="0"/>
    <x v="1"/>
    <x v="0"/>
    <x v="0"/>
    <x v="1"/>
    <x v="0"/>
    <x v="9"/>
  </r>
  <r>
    <x v="242"/>
    <x v="144"/>
    <x v="87"/>
    <x v="0"/>
    <x v="200"/>
    <x v="242"/>
    <x v="0"/>
    <x v="50"/>
    <x v="254"/>
    <x v="244"/>
    <x v="132"/>
    <x v="245"/>
    <x v="0"/>
    <x v="2"/>
    <x v="12"/>
    <x v="3"/>
    <x v="1"/>
    <x v="0"/>
    <x v="0"/>
    <x v="0"/>
    <x v="1"/>
    <x v="0"/>
    <x v="0"/>
    <x v="1"/>
    <x v="0"/>
    <x v="9"/>
  </r>
  <r>
    <x v="243"/>
    <x v="141"/>
    <x v="88"/>
    <x v="0"/>
    <x v="201"/>
    <x v="243"/>
    <x v="0"/>
    <x v="51"/>
    <x v="255"/>
    <x v="245"/>
    <x v="133"/>
    <x v="246"/>
    <x v="2"/>
    <x v="2"/>
    <x v="4"/>
    <x v="3"/>
    <x v="1"/>
    <x v="0"/>
    <x v="0"/>
    <x v="0"/>
    <x v="1"/>
    <x v="0"/>
    <x v="0"/>
    <x v="1"/>
    <x v="0"/>
    <x v="10"/>
  </r>
  <r>
    <x v="244"/>
    <x v="145"/>
    <x v="88"/>
    <x v="0"/>
    <x v="202"/>
    <x v="244"/>
    <x v="0"/>
    <x v="28"/>
    <x v="256"/>
    <x v="246"/>
    <x v="134"/>
    <x v="247"/>
    <x v="3"/>
    <x v="2"/>
    <x v="26"/>
    <x v="3"/>
    <x v="1"/>
    <x v="0"/>
    <x v="0"/>
    <x v="0"/>
    <x v="1"/>
    <x v="0"/>
    <x v="0"/>
    <x v="1"/>
    <x v="0"/>
    <x v="10"/>
  </r>
  <r>
    <x v="245"/>
    <x v="141"/>
    <x v="88"/>
    <x v="0"/>
    <x v="203"/>
    <x v="245"/>
    <x v="0"/>
    <x v="16"/>
    <x v="257"/>
    <x v="247"/>
    <x v="135"/>
    <x v="248"/>
    <x v="0"/>
    <x v="2"/>
    <x v="25"/>
    <x v="3"/>
    <x v="1"/>
    <x v="0"/>
    <x v="0"/>
    <x v="0"/>
    <x v="1"/>
    <x v="0"/>
    <x v="0"/>
    <x v="1"/>
    <x v="0"/>
    <x v="10"/>
  </r>
  <r>
    <x v="246"/>
    <x v="146"/>
    <x v="88"/>
    <x v="0"/>
    <x v="204"/>
    <x v="246"/>
    <x v="0"/>
    <x v="16"/>
    <x v="258"/>
    <x v="248"/>
    <x v="136"/>
    <x v="249"/>
    <x v="3"/>
    <x v="2"/>
    <x v="6"/>
    <x v="3"/>
    <x v="1"/>
    <x v="0"/>
    <x v="0"/>
    <x v="0"/>
    <x v="1"/>
    <x v="0"/>
    <x v="0"/>
    <x v="1"/>
    <x v="0"/>
    <x v="10"/>
  </r>
  <r>
    <x v="247"/>
    <x v="147"/>
    <x v="89"/>
    <x v="0"/>
    <x v="186"/>
    <x v="247"/>
    <x v="0"/>
    <x v="15"/>
    <x v="259"/>
    <x v="249"/>
    <x v="137"/>
    <x v="250"/>
    <x v="0"/>
    <x v="2"/>
    <x v="18"/>
    <x v="3"/>
    <x v="1"/>
    <x v="0"/>
    <x v="0"/>
    <x v="0"/>
    <x v="1"/>
    <x v="0"/>
    <x v="0"/>
    <x v="1"/>
    <x v="0"/>
    <x v="2"/>
  </r>
  <r>
    <x v="248"/>
    <x v="147"/>
    <x v="89"/>
    <x v="0"/>
    <x v="126"/>
    <x v="248"/>
    <x v="0"/>
    <x v="15"/>
    <x v="260"/>
    <x v="250"/>
    <x v="123"/>
    <x v="251"/>
    <x v="0"/>
    <x v="2"/>
    <x v="18"/>
    <x v="3"/>
    <x v="1"/>
    <x v="0"/>
    <x v="0"/>
    <x v="0"/>
    <x v="1"/>
    <x v="0"/>
    <x v="0"/>
    <x v="1"/>
    <x v="0"/>
    <x v="2"/>
  </r>
  <r>
    <x v="249"/>
    <x v="148"/>
    <x v="89"/>
    <x v="0"/>
    <x v="205"/>
    <x v="249"/>
    <x v="0"/>
    <x v="52"/>
    <x v="261"/>
    <x v="251"/>
    <x v="138"/>
    <x v="252"/>
    <x v="1"/>
    <x v="2"/>
    <x v="1"/>
    <x v="3"/>
    <x v="1"/>
    <x v="0"/>
    <x v="0"/>
    <x v="0"/>
    <x v="1"/>
    <x v="0"/>
    <x v="0"/>
    <x v="1"/>
    <x v="0"/>
    <x v="2"/>
  </r>
  <r>
    <x v="250"/>
    <x v="149"/>
    <x v="89"/>
    <x v="0"/>
    <x v="206"/>
    <x v="250"/>
    <x v="0"/>
    <x v="15"/>
    <x v="262"/>
    <x v="252"/>
    <x v="139"/>
    <x v="253"/>
    <x v="2"/>
    <x v="2"/>
    <x v="10"/>
    <x v="3"/>
    <x v="1"/>
    <x v="0"/>
    <x v="0"/>
    <x v="0"/>
    <x v="1"/>
    <x v="0"/>
    <x v="0"/>
    <x v="1"/>
    <x v="0"/>
    <x v="2"/>
  </r>
  <r>
    <x v="251"/>
    <x v="150"/>
    <x v="90"/>
    <x v="0"/>
    <x v="207"/>
    <x v="251"/>
    <x v="0"/>
    <x v="28"/>
    <x v="263"/>
    <x v="253"/>
    <x v="140"/>
    <x v="254"/>
    <x v="3"/>
    <x v="2"/>
    <x v="7"/>
    <x v="3"/>
    <x v="1"/>
    <x v="0"/>
    <x v="0"/>
    <x v="0"/>
    <x v="1"/>
    <x v="0"/>
    <x v="0"/>
    <x v="1"/>
    <x v="0"/>
    <x v="5"/>
  </r>
  <r>
    <x v="252"/>
    <x v="138"/>
    <x v="91"/>
    <x v="0"/>
    <x v="208"/>
    <x v="252"/>
    <x v="0"/>
    <x v="15"/>
    <x v="264"/>
    <x v="254"/>
    <x v="141"/>
    <x v="255"/>
    <x v="2"/>
    <x v="2"/>
    <x v="5"/>
    <x v="3"/>
    <x v="1"/>
    <x v="0"/>
    <x v="0"/>
    <x v="0"/>
    <x v="1"/>
    <x v="0"/>
    <x v="0"/>
    <x v="1"/>
    <x v="0"/>
    <x v="24"/>
  </r>
  <r>
    <x v="253"/>
    <x v="151"/>
    <x v="91"/>
    <x v="0"/>
    <x v="152"/>
    <x v="253"/>
    <x v="0"/>
    <x v="25"/>
    <x v="265"/>
    <x v="255"/>
    <x v="96"/>
    <x v="256"/>
    <x v="0"/>
    <x v="2"/>
    <x v="25"/>
    <x v="3"/>
    <x v="1"/>
    <x v="0"/>
    <x v="0"/>
    <x v="0"/>
    <x v="1"/>
    <x v="0"/>
    <x v="0"/>
    <x v="1"/>
    <x v="0"/>
    <x v="24"/>
  </r>
  <r>
    <x v="254"/>
    <x v="138"/>
    <x v="92"/>
    <x v="0"/>
    <x v="209"/>
    <x v="254"/>
    <x v="0"/>
    <x v="53"/>
    <x v="266"/>
    <x v="256"/>
    <x v="142"/>
    <x v="257"/>
    <x v="2"/>
    <x v="2"/>
    <x v="5"/>
    <x v="3"/>
    <x v="1"/>
    <x v="0"/>
    <x v="0"/>
    <x v="0"/>
    <x v="1"/>
    <x v="0"/>
    <x v="0"/>
    <x v="1"/>
    <x v="0"/>
    <x v="14"/>
  </r>
  <r>
    <x v="255"/>
    <x v="142"/>
    <x v="92"/>
    <x v="0"/>
    <x v="209"/>
    <x v="255"/>
    <x v="0"/>
    <x v="53"/>
    <x v="267"/>
    <x v="257"/>
    <x v="143"/>
    <x v="258"/>
    <x v="2"/>
    <x v="2"/>
    <x v="5"/>
    <x v="3"/>
    <x v="1"/>
    <x v="0"/>
    <x v="0"/>
    <x v="0"/>
    <x v="1"/>
    <x v="0"/>
    <x v="0"/>
    <x v="1"/>
    <x v="0"/>
    <x v="14"/>
  </r>
  <r>
    <x v="256"/>
    <x v="152"/>
    <x v="92"/>
    <x v="0"/>
    <x v="209"/>
    <x v="256"/>
    <x v="0"/>
    <x v="53"/>
    <x v="268"/>
    <x v="15"/>
    <x v="144"/>
    <x v="259"/>
    <x v="2"/>
    <x v="2"/>
    <x v="5"/>
    <x v="3"/>
    <x v="1"/>
    <x v="0"/>
    <x v="0"/>
    <x v="0"/>
    <x v="1"/>
    <x v="0"/>
    <x v="0"/>
    <x v="1"/>
    <x v="0"/>
    <x v="14"/>
  </r>
  <r>
    <x v="257"/>
    <x v="153"/>
    <x v="92"/>
    <x v="0"/>
    <x v="209"/>
    <x v="257"/>
    <x v="0"/>
    <x v="53"/>
    <x v="269"/>
    <x v="15"/>
    <x v="145"/>
    <x v="260"/>
    <x v="2"/>
    <x v="3"/>
    <x v="5"/>
    <x v="3"/>
    <x v="1"/>
    <x v="0"/>
    <x v="0"/>
    <x v="0"/>
    <x v="1"/>
    <x v="0"/>
    <x v="0"/>
    <x v="1"/>
    <x v="0"/>
    <x v="14"/>
  </r>
  <r>
    <x v="258"/>
    <x v="146"/>
    <x v="93"/>
    <x v="0"/>
    <x v="210"/>
    <x v="258"/>
    <x v="0"/>
    <x v="53"/>
    <x v="270"/>
    <x v="258"/>
    <x v="0"/>
    <x v="261"/>
    <x v="1"/>
    <x v="2"/>
    <x v="11"/>
    <x v="3"/>
    <x v="1"/>
    <x v="0"/>
    <x v="0"/>
    <x v="0"/>
    <x v="1"/>
    <x v="0"/>
    <x v="0"/>
    <x v="1"/>
    <x v="0"/>
    <x v="17"/>
  </r>
  <r>
    <x v="259"/>
    <x v="154"/>
    <x v="93"/>
    <x v="0"/>
    <x v="211"/>
    <x v="259"/>
    <x v="0"/>
    <x v="53"/>
    <x v="271"/>
    <x v="259"/>
    <x v="146"/>
    <x v="262"/>
    <x v="1"/>
    <x v="2"/>
    <x v="22"/>
    <x v="3"/>
    <x v="1"/>
    <x v="0"/>
    <x v="0"/>
    <x v="0"/>
    <x v="1"/>
    <x v="0"/>
    <x v="0"/>
    <x v="1"/>
    <x v="0"/>
    <x v="17"/>
  </r>
  <r>
    <x v="260"/>
    <x v="155"/>
    <x v="93"/>
    <x v="0"/>
    <x v="212"/>
    <x v="260"/>
    <x v="0"/>
    <x v="28"/>
    <x v="272"/>
    <x v="260"/>
    <x v="140"/>
    <x v="263"/>
    <x v="3"/>
    <x v="2"/>
    <x v="7"/>
    <x v="3"/>
    <x v="1"/>
    <x v="0"/>
    <x v="0"/>
    <x v="0"/>
    <x v="1"/>
    <x v="0"/>
    <x v="0"/>
    <x v="1"/>
    <x v="0"/>
    <x v="17"/>
  </r>
  <r>
    <x v="261"/>
    <x v="105"/>
    <x v="94"/>
    <x v="0"/>
    <x v="213"/>
    <x v="261"/>
    <x v="0"/>
    <x v="17"/>
    <x v="273"/>
    <x v="261"/>
    <x v="122"/>
    <x v="264"/>
    <x v="2"/>
    <x v="2"/>
    <x v="10"/>
    <x v="3"/>
    <x v="1"/>
    <x v="0"/>
    <x v="0"/>
    <x v="0"/>
    <x v="1"/>
    <x v="0"/>
    <x v="0"/>
    <x v="1"/>
    <x v="0"/>
    <x v="18"/>
  </r>
  <r>
    <x v="262"/>
    <x v="150"/>
    <x v="94"/>
    <x v="0"/>
    <x v="32"/>
    <x v="262"/>
    <x v="0"/>
    <x v="54"/>
    <x v="274"/>
    <x v="262"/>
    <x v="131"/>
    <x v="265"/>
    <x v="0"/>
    <x v="2"/>
    <x v="12"/>
    <x v="3"/>
    <x v="1"/>
    <x v="0"/>
    <x v="0"/>
    <x v="0"/>
    <x v="1"/>
    <x v="0"/>
    <x v="0"/>
    <x v="1"/>
    <x v="0"/>
    <x v="18"/>
  </r>
  <r>
    <x v="263"/>
    <x v="150"/>
    <x v="94"/>
    <x v="0"/>
    <x v="214"/>
    <x v="263"/>
    <x v="0"/>
    <x v="55"/>
    <x v="275"/>
    <x v="263"/>
    <x v="24"/>
    <x v="266"/>
    <x v="0"/>
    <x v="2"/>
    <x v="12"/>
    <x v="3"/>
    <x v="1"/>
    <x v="0"/>
    <x v="0"/>
    <x v="0"/>
    <x v="1"/>
    <x v="0"/>
    <x v="0"/>
    <x v="1"/>
    <x v="0"/>
    <x v="18"/>
  </r>
  <r>
    <x v="264"/>
    <x v="155"/>
    <x v="94"/>
    <x v="0"/>
    <x v="215"/>
    <x v="264"/>
    <x v="0"/>
    <x v="17"/>
    <x v="276"/>
    <x v="264"/>
    <x v="24"/>
    <x v="267"/>
    <x v="5"/>
    <x v="2"/>
    <x v="14"/>
    <x v="3"/>
    <x v="1"/>
    <x v="0"/>
    <x v="0"/>
    <x v="0"/>
    <x v="1"/>
    <x v="0"/>
    <x v="0"/>
    <x v="1"/>
    <x v="0"/>
    <x v="18"/>
  </r>
  <r>
    <x v="265"/>
    <x v="143"/>
    <x v="86"/>
    <x v="0"/>
    <x v="32"/>
    <x v="265"/>
    <x v="0"/>
    <x v="56"/>
    <x v="277"/>
    <x v="265"/>
    <x v="147"/>
    <x v="268"/>
    <x v="0"/>
    <x v="2"/>
    <x v="15"/>
    <x v="3"/>
    <x v="1"/>
    <x v="0"/>
    <x v="0"/>
    <x v="0"/>
    <x v="1"/>
    <x v="0"/>
    <x v="0"/>
    <x v="1"/>
    <x v="0"/>
    <x v="4"/>
  </r>
  <r>
    <x v="266"/>
    <x v="156"/>
    <x v="95"/>
    <x v="0"/>
    <x v="83"/>
    <x v="266"/>
    <x v="0"/>
    <x v="56"/>
    <x v="278"/>
    <x v="266"/>
    <x v="148"/>
    <x v="269"/>
    <x v="0"/>
    <x v="2"/>
    <x v="15"/>
    <x v="3"/>
    <x v="1"/>
    <x v="0"/>
    <x v="0"/>
    <x v="0"/>
    <x v="1"/>
    <x v="0"/>
    <x v="0"/>
    <x v="1"/>
    <x v="0"/>
    <x v="19"/>
  </r>
  <r>
    <x v="267"/>
    <x v="157"/>
    <x v="93"/>
    <x v="0"/>
    <x v="216"/>
    <x v="267"/>
    <x v="0"/>
    <x v="25"/>
    <x v="279"/>
    <x v="267"/>
    <x v="132"/>
    <x v="270"/>
    <x v="0"/>
    <x v="2"/>
    <x v="13"/>
    <x v="3"/>
    <x v="1"/>
    <x v="0"/>
    <x v="0"/>
    <x v="0"/>
    <x v="1"/>
    <x v="0"/>
    <x v="0"/>
    <x v="1"/>
    <x v="0"/>
    <x v="17"/>
  </r>
  <r>
    <x v="268"/>
    <x v="158"/>
    <x v="94"/>
    <x v="0"/>
    <x v="83"/>
    <x v="268"/>
    <x v="0"/>
    <x v="56"/>
    <x v="280"/>
    <x v="268"/>
    <x v="149"/>
    <x v="271"/>
    <x v="0"/>
    <x v="2"/>
    <x v="15"/>
    <x v="3"/>
    <x v="1"/>
    <x v="0"/>
    <x v="0"/>
    <x v="0"/>
    <x v="1"/>
    <x v="0"/>
    <x v="0"/>
    <x v="1"/>
    <x v="0"/>
    <x v="18"/>
  </r>
  <r>
    <x v="269"/>
    <x v="159"/>
    <x v="94"/>
    <x v="0"/>
    <x v="151"/>
    <x v="269"/>
    <x v="0"/>
    <x v="24"/>
    <x v="281"/>
    <x v="269"/>
    <x v="135"/>
    <x v="272"/>
    <x v="0"/>
    <x v="2"/>
    <x v="25"/>
    <x v="3"/>
    <x v="1"/>
    <x v="0"/>
    <x v="0"/>
    <x v="0"/>
    <x v="1"/>
    <x v="0"/>
    <x v="0"/>
    <x v="1"/>
    <x v="0"/>
    <x v="18"/>
  </r>
  <r>
    <x v="270"/>
    <x v="138"/>
    <x v="94"/>
    <x v="0"/>
    <x v="217"/>
    <x v="270"/>
    <x v="0"/>
    <x v="24"/>
    <x v="282"/>
    <x v="270"/>
    <x v="135"/>
    <x v="273"/>
    <x v="0"/>
    <x v="2"/>
    <x v="25"/>
    <x v="3"/>
    <x v="1"/>
    <x v="0"/>
    <x v="0"/>
    <x v="0"/>
    <x v="1"/>
    <x v="0"/>
    <x v="0"/>
    <x v="1"/>
    <x v="0"/>
    <x v="18"/>
  </r>
  <r>
    <x v="271"/>
    <x v="134"/>
    <x v="94"/>
    <x v="0"/>
    <x v="218"/>
    <x v="271"/>
    <x v="2"/>
    <x v="24"/>
    <x v="283"/>
    <x v="271"/>
    <x v="107"/>
    <x v="274"/>
    <x v="0"/>
    <x v="2"/>
    <x v="25"/>
    <x v="3"/>
    <x v="1"/>
    <x v="0"/>
    <x v="0"/>
    <x v="0"/>
    <x v="1"/>
    <x v="0"/>
    <x v="0"/>
    <x v="1"/>
    <x v="0"/>
    <x v="18"/>
  </r>
  <r>
    <x v="272"/>
    <x v="150"/>
    <x v="94"/>
    <x v="0"/>
    <x v="219"/>
    <x v="272"/>
    <x v="2"/>
    <x v="21"/>
    <x v="284"/>
    <x v="272"/>
    <x v="135"/>
    <x v="275"/>
    <x v="0"/>
    <x v="2"/>
    <x v="18"/>
    <x v="3"/>
    <x v="1"/>
    <x v="0"/>
    <x v="0"/>
    <x v="0"/>
    <x v="1"/>
    <x v="0"/>
    <x v="0"/>
    <x v="1"/>
    <x v="0"/>
    <x v="18"/>
  </r>
  <r>
    <x v="273"/>
    <x v="150"/>
    <x v="94"/>
    <x v="0"/>
    <x v="220"/>
    <x v="273"/>
    <x v="2"/>
    <x v="21"/>
    <x v="285"/>
    <x v="273"/>
    <x v="24"/>
    <x v="276"/>
    <x v="0"/>
    <x v="2"/>
    <x v="18"/>
    <x v="3"/>
    <x v="1"/>
    <x v="0"/>
    <x v="0"/>
    <x v="0"/>
    <x v="1"/>
    <x v="0"/>
    <x v="0"/>
    <x v="1"/>
    <x v="0"/>
    <x v="18"/>
  </r>
  <r>
    <x v="274"/>
    <x v="160"/>
    <x v="94"/>
    <x v="0"/>
    <x v="221"/>
    <x v="274"/>
    <x v="0"/>
    <x v="24"/>
    <x v="286"/>
    <x v="274"/>
    <x v="135"/>
    <x v="277"/>
    <x v="0"/>
    <x v="2"/>
    <x v="25"/>
    <x v="3"/>
    <x v="1"/>
    <x v="0"/>
    <x v="0"/>
    <x v="0"/>
    <x v="1"/>
    <x v="0"/>
    <x v="0"/>
    <x v="1"/>
    <x v="0"/>
    <x v="18"/>
  </r>
  <r>
    <x v="275"/>
    <x v="161"/>
    <x v="94"/>
    <x v="0"/>
    <x v="222"/>
    <x v="275"/>
    <x v="0"/>
    <x v="47"/>
    <x v="287"/>
    <x v="275"/>
    <x v="0"/>
    <x v="278"/>
    <x v="2"/>
    <x v="2"/>
    <x v="5"/>
    <x v="3"/>
    <x v="1"/>
    <x v="0"/>
    <x v="0"/>
    <x v="0"/>
    <x v="1"/>
    <x v="0"/>
    <x v="0"/>
    <x v="1"/>
    <x v="0"/>
    <x v="18"/>
  </r>
  <r>
    <x v="1"/>
    <x v="162"/>
    <x v="96"/>
    <x v="0"/>
    <x v="223"/>
    <x v="276"/>
    <x v="0"/>
    <x v="21"/>
    <x v="288"/>
    <x v="276"/>
    <x v="150"/>
    <x v="279"/>
    <x v="1"/>
    <x v="2"/>
    <x v="11"/>
    <x v="3"/>
    <x v="1"/>
    <x v="0"/>
    <x v="0"/>
    <x v="0"/>
    <x v="1"/>
    <x v="0"/>
    <x v="0"/>
    <x v="1"/>
    <x v="0"/>
    <x v="8"/>
  </r>
  <r>
    <x v="276"/>
    <x v="150"/>
    <x v="96"/>
    <x v="0"/>
    <x v="126"/>
    <x v="277"/>
    <x v="2"/>
    <x v="21"/>
    <x v="289"/>
    <x v="277"/>
    <x v="135"/>
    <x v="280"/>
    <x v="0"/>
    <x v="2"/>
    <x v="18"/>
    <x v="3"/>
    <x v="1"/>
    <x v="0"/>
    <x v="0"/>
    <x v="0"/>
    <x v="1"/>
    <x v="0"/>
    <x v="0"/>
    <x v="1"/>
    <x v="0"/>
    <x v="8"/>
  </r>
  <r>
    <x v="277"/>
    <x v="158"/>
    <x v="97"/>
    <x v="0"/>
    <x v="224"/>
    <x v="278"/>
    <x v="0"/>
    <x v="46"/>
    <x v="290"/>
    <x v="278"/>
    <x v="151"/>
    <x v="281"/>
    <x v="2"/>
    <x v="2"/>
    <x v="3"/>
    <x v="3"/>
    <x v="1"/>
    <x v="0"/>
    <x v="0"/>
    <x v="0"/>
    <x v="1"/>
    <x v="0"/>
    <x v="0"/>
    <x v="1"/>
    <x v="0"/>
    <x v="3"/>
  </r>
  <r>
    <x v="264"/>
    <x v="163"/>
    <x v="97"/>
    <x v="0"/>
    <x v="215"/>
    <x v="279"/>
    <x v="2"/>
    <x v="47"/>
    <x v="291"/>
    <x v="279"/>
    <x v="0"/>
    <x v="267"/>
    <x v="5"/>
    <x v="2"/>
    <x v="14"/>
    <x v="3"/>
    <x v="1"/>
    <x v="0"/>
    <x v="0"/>
    <x v="0"/>
    <x v="1"/>
    <x v="0"/>
    <x v="0"/>
    <x v="1"/>
    <x v="0"/>
    <x v="3"/>
  </r>
  <r>
    <x v="278"/>
    <x v="154"/>
    <x v="98"/>
    <x v="0"/>
    <x v="225"/>
    <x v="280"/>
    <x v="2"/>
    <x v="47"/>
    <x v="292"/>
    <x v="280"/>
    <x v="152"/>
    <x v="282"/>
    <x v="1"/>
    <x v="2"/>
    <x v="22"/>
    <x v="3"/>
    <x v="1"/>
    <x v="0"/>
    <x v="0"/>
    <x v="0"/>
    <x v="1"/>
    <x v="0"/>
    <x v="0"/>
    <x v="1"/>
    <x v="1"/>
    <x v="25"/>
  </r>
  <r>
    <x v="279"/>
    <x v="164"/>
    <x v="99"/>
    <x v="0"/>
    <x v="226"/>
    <x v="281"/>
    <x v="0"/>
    <x v="57"/>
    <x v="293"/>
    <x v="281"/>
    <x v="153"/>
    <x v="283"/>
    <x v="3"/>
    <x v="2"/>
    <x v="26"/>
    <x v="3"/>
    <x v="1"/>
    <x v="0"/>
    <x v="0"/>
    <x v="0"/>
    <x v="1"/>
    <x v="0"/>
    <x v="0"/>
    <x v="1"/>
    <x v="1"/>
    <x v="13"/>
  </r>
  <r>
    <x v="280"/>
    <x v="165"/>
    <x v="100"/>
    <x v="0"/>
    <x v="227"/>
    <x v="282"/>
    <x v="0"/>
    <x v="53"/>
    <x v="294"/>
    <x v="282"/>
    <x v="91"/>
    <x v="284"/>
    <x v="2"/>
    <x v="2"/>
    <x v="10"/>
    <x v="3"/>
    <x v="1"/>
    <x v="0"/>
    <x v="0"/>
    <x v="0"/>
    <x v="1"/>
    <x v="0"/>
    <x v="0"/>
    <x v="1"/>
    <x v="1"/>
    <x v="0"/>
  </r>
  <r>
    <x v="281"/>
    <x v="166"/>
    <x v="101"/>
    <x v="0"/>
    <x v="228"/>
    <x v="283"/>
    <x v="0"/>
    <x v="53"/>
    <x v="295"/>
    <x v="283"/>
    <x v="0"/>
    <x v="285"/>
    <x v="2"/>
    <x v="2"/>
    <x v="10"/>
    <x v="3"/>
    <x v="1"/>
    <x v="0"/>
    <x v="0"/>
    <x v="0"/>
    <x v="1"/>
    <x v="0"/>
    <x v="0"/>
    <x v="1"/>
    <x v="1"/>
    <x v="22"/>
  </r>
  <r>
    <x v="282"/>
    <x v="167"/>
    <x v="102"/>
    <x v="0"/>
    <x v="229"/>
    <x v="284"/>
    <x v="0"/>
    <x v="53"/>
    <x v="296"/>
    <x v="284"/>
    <x v="131"/>
    <x v="286"/>
    <x v="0"/>
    <x v="2"/>
    <x v="2"/>
    <x v="3"/>
    <x v="1"/>
    <x v="0"/>
    <x v="0"/>
    <x v="0"/>
    <x v="1"/>
    <x v="0"/>
    <x v="0"/>
    <x v="1"/>
    <x v="1"/>
    <x v="11"/>
  </r>
  <r>
    <x v="283"/>
    <x v="168"/>
    <x v="102"/>
    <x v="0"/>
    <x v="230"/>
    <x v="285"/>
    <x v="0"/>
    <x v="53"/>
    <x v="297"/>
    <x v="285"/>
    <x v="131"/>
    <x v="287"/>
    <x v="0"/>
    <x v="2"/>
    <x v="2"/>
    <x v="3"/>
    <x v="1"/>
    <x v="0"/>
    <x v="0"/>
    <x v="0"/>
    <x v="1"/>
    <x v="0"/>
    <x v="0"/>
    <x v="1"/>
    <x v="1"/>
    <x v="11"/>
  </r>
  <r>
    <x v="284"/>
    <x v="168"/>
    <x v="102"/>
    <x v="0"/>
    <x v="231"/>
    <x v="286"/>
    <x v="0"/>
    <x v="53"/>
    <x v="298"/>
    <x v="286"/>
    <x v="131"/>
    <x v="288"/>
    <x v="0"/>
    <x v="2"/>
    <x v="2"/>
    <x v="3"/>
    <x v="1"/>
    <x v="0"/>
    <x v="0"/>
    <x v="0"/>
    <x v="1"/>
    <x v="0"/>
    <x v="0"/>
    <x v="1"/>
    <x v="1"/>
    <x v="11"/>
  </r>
  <r>
    <x v="285"/>
    <x v="169"/>
    <x v="103"/>
    <x v="0"/>
    <x v="232"/>
    <x v="287"/>
    <x v="0"/>
    <x v="15"/>
    <x v="299"/>
    <x v="287"/>
    <x v="154"/>
    <x v="289"/>
    <x v="2"/>
    <x v="2"/>
    <x v="10"/>
    <x v="3"/>
    <x v="1"/>
    <x v="0"/>
    <x v="0"/>
    <x v="0"/>
    <x v="1"/>
    <x v="0"/>
    <x v="0"/>
    <x v="1"/>
    <x v="1"/>
    <x v="19"/>
  </r>
  <r>
    <x v="286"/>
    <x v="168"/>
    <x v="97"/>
    <x v="0"/>
    <x v="233"/>
    <x v="288"/>
    <x v="0"/>
    <x v="25"/>
    <x v="300"/>
    <x v="15"/>
    <x v="155"/>
    <x v="290"/>
    <x v="3"/>
    <x v="2"/>
    <x v="6"/>
    <x v="3"/>
    <x v="1"/>
    <x v="0"/>
    <x v="0"/>
    <x v="0"/>
    <x v="1"/>
    <x v="0"/>
    <x v="0"/>
    <x v="1"/>
    <x v="0"/>
    <x v="3"/>
  </r>
  <r>
    <x v="287"/>
    <x v="170"/>
    <x v="103"/>
    <x v="0"/>
    <x v="234"/>
    <x v="289"/>
    <x v="0"/>
    <x v="58"/>
    <x v="301"/>
    <x v="15"/>
    <x v="156"/>
    <x v="291"/>
    <x v="3"/>
    <x v="2"/>
    <x v="27"/>
    <x v="3"/>
    <x v="1"/>
    <x v="0"/>
    <x v="0"/>
    <x v="0"/>
    <x v="1"/>
    <x v="0"/>
    <x v="0"/>
    <x v="1"/>
    <x v="1"/>
    <x v="19"/>
  </r>
  <r>
    <x v="1"/>
    <x v="162"/>
    <x v="104"/>
    <x v="1"/>
    <x v="235"/>
    <x v="5"/>
    <x v="0"/>
    <x v="2"/>
    <x v="23"/>
    <x v="15"/>
    <x v="0"/>
    <x v="0"/>
    <x v="4"/>
    <x v="1"/>
    <x v="8"/>
    <x v="3"/>
    <x v="1"/>
    <x v="0"/>
    <x v="0"/>
    <x v="0"/>
    <x v="1"/>
    <x v="0"/>
    <x v="0"/>
    <x v="2"/>
    <x v="12"/>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6:D12" firstHeaderRow="0" firstDataRow="1" firstDataCol="1" rowPageCount="4" colPageCount="1"/>
  <pivotFields count="26">
    <pivotField compact="0" showAll="0">
      <items count="2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81"/>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7"/>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compact="0" showAll="0">
      <items count="172">
        <item x="0"/>
        <item x="1"/>
        <item x="2"/>
        <item x="3"/>
        <item x="4"/>
        <item x="5"/>
        <item x="6"/>
        <item x="7"/>
        <item x="8"/>
        <item x="9"/>
        <item x="10"/>
        <item x="11"/>
        <item x="12"/>
        <item x="13"/>
        <item x="14"/>
        <item x="15"/>
        <item x="16"/>
        <item x="17"/>
        <item x="18"/>
        <item x="20"/>
        <item x="21"/>
        <item x="22"/>
        <item x="23"/>
        <item x="24"/>
        <item x="25"/>
        <item x="26"/>
        <item x="27"/>
        <item x="28"/>
        <item x="29"/>
        <item x="30"/>
        <item x="32"/>
        <item x="33"/>
        <item x="34"/>
        <item x="35"/>
        <item x="36"/>
        <item x="37"/>
        <item x="38"/>
        <item x="39"/>
        <item x="40"/>
        <item x="41"/>
        <item x="42"/>
        <item x="47"/>
        <item x="48"/>
        <item x="55"/>
        <item x="49"/>
        <item x="50"/>
        <item x="51"/>
        <item x="52"/>
        <item x="53"/>
        <item x="54"/>
        <item x="56"/>
        <item x="57"/>
        <item x="58"/>
        <item x="59"/>
        <item x="60"/>
        <item x="61"/>
        <item x="63"/>
        <item x="66"/>
        <item x="67"/>
        <item x="62"/>
        <item x="64"/>
        <item x="68"/>
        <item x="69"/>
        <item x="70"/>
        <item x="71"/>
        <item x="72"/>
        <item x="73"/>
        <item x="74"/>
        <item x="75"/>
        <item x="76"/>
        <item x="77"/>
        <item x="78"/>
        <item x="79"/>
        <item x="80"/>
        <item x="45"/>
        <item x="81"/>
        <item x="82"/>
        <item x="83"/>
        <item x="84"/>
        <item x="85"/>
        <item x="86"/>
        <item x="87"/>
        <item x="88"/>
        <item x="89"/>
        <item x="90"/>
        <item x="91"/>
        <item x="92"/>
        <item x="93"/>
        <item x="94"/>
        <item x="96"/>
        <item x="95"/>
        <item x="97"/>
        <item x="98"/>
        <item x="99"/>
        <item x="100"/>
        <item x="111"/>
        <item x="101"/>
        <item x="104"/>
        <item x="105"/>
        <item x="107"/>
        <item x="108"/>
        <item x="110"/>
        <item x="109"/>
        <item x="112"/>
        <item x="113"/>
        <item x="114"/>
        <item x="115"/>
        <item x="116"/>
        <item x="117"/>
        <item x="118"/>
        <item x="119"/>
        <item x="120"/>
        <item x="121"/>
        <item x="122"/>
        <item x="123"/>
        <item x="124"/>
        <item x="125"/>
        <item x="126"/>
        <item x="127"/>
        <item x="128"/>
        <item x="129"/>
        <item x="152"/>
        <item x="130"/>
        <item x="19"/>
        <item x="31"/>
        <item x="43"/>
        <item x="44"/>
        <item x="46"/>
        <item x="65"/>
        <item x="102"/>
        <item x="103"/>
        <item x="106"/>
        <item x="131"/>
        <item x="132"/>
        <item x="133"/>
        <item x="135"/>
        <item x="134"/>
        <item x="142"/>
        <item x="137"/>
        <item x="136"/>
        <item x="138"/>
        <item x="139"/>
        <item x="140"/>
        <item x="141"/>
        <item x="143"/>
        <item x="144"/>
        <item x="145"/>
        <item x="146"/>
        <item x="147"/>
        <item x="148"/>
        <item x="149"/>
        <item x="150"/>
        <item x="151"/>
        <item x="153"/>
        <item x="154"/>
        <item x="155"/>
        <item x="156"/>
        <item x="157"/>
        <item x="158"/>
        <item x="159"/>
        <item x="160"/>
        <item x="161"/>
        <item x="162"/>
        <item x="163"/>
        <item x="164"/>
        <item x="165"/>
        <item x="166"/>
        <item x="167"/>
        <item x="168"/>
        <item x="169"/>
        <item x="170"/>
        <item t="default"/>
      </items>
    </pivotField>
    <pivotField compact="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4"/>
        <item x="101"/>
        <item x="102"/>
        <item x="103"/>
        <item t="default"/>
      </items>
    </pivotField>
    <pivotField axis="axisPage" compact="0" multipleItemSelectionAllowed="1" showAll="0">
      <items count="3">
        <item x="0"/>
        <item h="1" x="1"/>
        <item t="default"/>
      </items>
    </pivotField>
    <pivotField compact="0" showAll="0">
      <items count="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35"/>
        <item x="228"/>
        <item x="229"/>
        <item x="230"/>
        <item x="231"/>
        <item x="232"/>
        <item x="233"/>
        <item x="234"/>
        <item t="default"/>
      </items>
    </pivotField>
    <pivotField compact="0" showAll="0">
      <items count="2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compact="0" showAll="0">
      <items count="5">
        <item x="1"/>
        <item x="2"/>
        <item x="0"/>
        <item x="3"/>
        <item t="default"/>
      </items>
    </pivotField>
    <pivotField compact="0" showAll="0">
      <items count="60">
        <item x="0"/>
        <item x="1"/>
        <item x="2"/>
        <item x="3"/>
        <item x="4"/>
        <item x="5"/>
        <item x="6"/>
        <item x="7"/>
        <item x="8"/>
        <item x="9"/>
        <item x="10"/>
        <item x="11"/>
        <item x="12"/>
        <item x="13"/>
        <item x="16"/>
        <item x="14"/>
        <item x="15"/>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dataField="1" compact="0"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187"/>
        <item x="233"/>
        <item x="234"/>
        <item x="235"/>
        <item x="236"/>
        <item x="237"/>
        <item x="238"/>
        <item x="239"/>
        <item x="240"/>
        <item x="241"/>
        <item x="242"/>
        <item x="243"/>
        <item x="245"/>
        <item x="246"/>
        <item x="247"/>
        <item x="248"/>
        <item x="249"/>
        <item x="250"/>
        <item x="24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dataField="1" compact="0" showAll="0">
      <items count="2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compact="0"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54"/>
        <item x="44"/>
        <item x="45"/>
        <item x="46"/>
        <item x="47"/>
        <item x="48"/>
        <item x="49"/>
        <item x="50"/>
        <item x="51"/>
        <item x="52"/>
        <item x="53"/>
        <item x="55"/>
        <item x="56"/>
        <item x="57"/>
        <item x="58"/>
        <item x="59"/>
        <item x="60"/>
        <item x="61"/>
        <item x="62"/>
        <item x="63"/>
        <item x="73"/>
        <item x="64"/>
        <item x="65"/>
        <item x="66"/>
        <item x="101"/>
        <item x="67"/>
        <item x="68"/>
        <item x="69"/>
        <item x="70"/>
        <item x="71"/>
        <item x="72"/>
        <item x="74"/>
        <item x="75"/>
        <item x="76"/>
        <item x="77"/>
        <item x="78"/>
        <item x="79"/>
        <item x="80"/>
        <item x="81"/>
        <item x="82"/>
        <item x="83"/>
        <item x="84"/>
        <item x="85"/>
        <item x="86"/>
        <item x="87"/>
        <item x="88"/>
        <item x="102"/>
        <item x="89"/>
        <item x="90"/>
        <item x="91"/>
        <item x="92"/>
        <item x="93"/>
        <item x="94"/>
        <item x="95"/>
        <item x="96"/>
        <item x="97"/>
        <item x="98"/>
        <item x="99"/>
        <item x="100"/>
        <item x="103"/>
        <item x="104"/>
        <item x="105"/>
        <item x="106"/>
        <item x="107"/>
        <item x="108"/>
        <item x="109"/>
        <item x="110"/>
        <item x="111"/>
        <item x="112"/>
        <item x="113"/>
        <item x="114"/>
        <item x="115"/>
        <item x="116"/>
        <item x="117"/>
        <item x="118"/>
        <item x="119"/>
        <item x="120"/>
        <item x="121"/>
        <item x="122"/>
        <item x="123"/>
        <item x="124"/>
        <item x="125"/>
        <item x="126"/>
        <item x="135"/>
        <item x="127"/>
        <item x="128"/>
        <item x="129"/>
        <item x="130"/>
        <item x="131"/>
        <item x="132"/>
        <item x="133"/>
        <item x="134"/>
        <item x="136"/>
        <item x="137"/>
        <item x="138"/>
        <item x="139"/>
        <item x="140"/>
        <item x="141"/>
        <item x="142"/>
        <item x="143"/>
        <item x="144"/>
        <item x="145"/>
        <item x="146"/>
        <item x="147"/>
        <item x="148"/>
        <item x="149"/>
        <item x="150"/>
        <item x="151"/>
        <item x="152"/>
        <item x="153"/>
        <item x="154"/>
        <item x="155"/>
        <item x="156"/>
        <item t="default"/>
      </items>
    </pivotField>
    <pivotField compact="0"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8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30"/>
        <item x="225"/>
        <item x="226"/>
        <item x="227"/>
        <item x="228"/>
        <item x="229"/>
        <item x="231"/>
        <item x="232"/>
        <item x="233"/>
        <item x="234"/>
        <item x="235"/>
        <item x="236"/>
        <item x="237"/>
        <item x="238"/>
        <item x="239"/>
        <item x="240"/>
        <item x="241"/>
        <item x="194"/>
        <item x="242"/>
        <item x="243"/>
        <item x="244"/>
        <item x="245"/>
        <item x="246"/>
        <item x="247"/>
        <item x="248"/>
        <item x="249"/>
        <item x="250"/>
        <item x="251"/>
        <item x="252"/>
        <item x="253"/>
        <item x="255"/>
        <item x="256"/>
        <item x="257"/>
        <item x="258"/>
        <item x="259"/>
        <item x="260"/>
        <item x="254"/>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axis="axisRow" compact="0" multipleItemSelectionAllowed="1" showAll="0">
      <items count="8">
        <item h="1" x="4"/>
        <item x="2"/>
        <item x="3"/>
        <item x="1"/>
        <item x="0"/>
        <item x="6"/>
        <item x="5"/>
        <item t="default"/>
      </items>
    </pivotField>
    <pivotField dataField="1" compact="0" showAll="0">
      <items count="6">
        <item x="0"/>
        <item x="1"/>
        <item x="2"/>
        <item x="3"/>
        <item x="4"/>
        <item t="default"/>
      </items>
    </pivotField>
    <pivotField compact="0" showAll="0">
      <items count="29">
        <item x="0"/>
        <item x="1"/>
        <item x="2"/>
        <item x="3"/>
        <item x="4"/>
        <item x="24"/>
        <item x="5"/>
        <item x="6"/>
        <item x="7"/>
        <item x="8"/>
        <item x="9"/>
        <item x="10"/>
        <item x="11"/>
        <item x="12"/>
        <item x="13"/>
        <item x="14"/>
        <item x="15"/>
        <item x="16"/>
        <item x="17"/>
        <item x="18"/>
        <item x="19"/>
        <item x="20"/>
        <item x="21"/>
        <item x="22"/>
        <item x="23"/>
        <item x="25"/>
        <item x="26"/>
        <item x="27"/>
        <item t="default"/>
      </items>
    </pivotField>
    <pivotField compact="0" showAll="0">
      <items count="6">
        <item x="0"/>
        <item x="1"/>
        <item x="2"/>
        <item x="3"/>
        <item x="4"/>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axis="axisPage" compact="0" multipleItemSelectionAllowed="1" showAll="0">
      <items count="4">
        <item h="1" x="0"/>
        <item x="1"/>
        <item h="1" x="2"/>
        <item t="default"/>
      </items>
    </pivotField>
    <pivotField axis="axisPage" compact="0" multipleItemSelectionAllowed="1" showAll="0">
      <items count="14">
        <item x="8"/>
        <item x="9"/>
        <item x="10"/>
        <item x="11"/>
        <item x="0"/>
        <item x="1"/>
        <item h="1" x="2"/>
        <item h="1" x="3"/>
        <item h="1" x="7"/>
        <item h="1" x="6"/>
        <item h="1" x="5"/>
        <item h="1" x="4"/>
        <item h="1" x="12"/>
        <item t="default"/>
      </items>
    </pivotField>
    <pivotField axis="axisPage" compact="0" multipleItemSelectionAllowed="1" showAll="0">
      <items count="31">
        <item x="25"/>
        <item x="13"/>
        <item x="27"/>
        <item x="0"/>
        <item x="26"/>
        <item x="21"/>
        <item x="22"/>
        <item x="1"/>
        <item x="11"/>
        <item x="4"/>
        <item x="19"/>
        <item x="23"/>
        <item x="9"/>
        <item x="10"/>
        <item x="12"/>
        <item x="28"/>
        <item x="2"/>
        <item x="6"/>
        <item x="5"/>
        <item x="24"/>
        <item x="14"/>
        <item x="15"/>
        <item x="16"/>
        <item x="17"/>
        <item x="18"/>
        <item x="8"/>
        <item x="3"/>
        <item x="7"/>
        <item x="20"/>
        <item x="29"/>
        <item t="default"/>
      </items>
    </pivotField>
  </pivotFields>
  <rowFields count="1">
    <field x="12"/>
  </rowFields>
  <rowItems count="6">
    <i>
      <x v="1"/>
    </i>
    <i>
      <x v="2"/>
    </i>
    <i>
      <x v="3"/>
    </i>
    <i>
      <x v="4"/>
    </i>
    <i>
      <x v="6"/>
    </i>
    <i t="grand">
      <x/>
    </i>
  </rowItems>
  <colFields count="1">
    <field x="-2"/>
  </colFields>
  <colItems count="3">
    <i>
      <x/>
    </i>
    <i i="1">
      <x v="1"/>
    </i>
    <i i="2">
      <x v="2"/>
    </i>
  </colItems>
  <pageFields count="4">
    <pageField fld="23"/>
    <pageField fld="24"/>
    <pageField fld="25"/>
    <pageField fld="3"/>
  </pageFields>
  <dataFields count="3">
    <dataField name="计数项:接收部门" fld="13" subtotal="count" baseField="0" baseItem="0"/>
    <dataField name="求和项:费用金额" fld="8" baseField="0" baseItem="0"/>
    <dataField name="求和项:费用对应吨数"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3"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27:C37" firstHeaderRow="0" firstDataRow="1" firstDataCol="1" rowPageCount="4" colPageCount="1"/>
  <pivotFields count="27">
    <pivotField compact="0" showAll="0">
      <items count="289">
        <item x="11"/>
        <item x="10"/>
        <item x="196"/>
        <item x="0"/>
        <item x="188"/>
        <item x="168"/>
        <item x="201"/>
        <item x="178"/>
        <item x="202"/>
        <item x="62"/>
        <item x="144"/>
        <item x="171"/>
        <item x="150"/>
        <item x="59"/>
        <item x="176"/>
        <item x="206"/>
        <item x="117"/>
        <item x="69"/>
        <item x="15"/>
        <item x="64"/>
        <item x="109"/>
        <item x="113"/>
        <item x="143"/>
        <item x="163"/>
        <item x="133"/>
        <item x="162"/>
        <item x="155"/>
        <item x="58"/>
        <item x="45"/>
        <item x="57"/>
        <item x="44"/>
        <item x="63"/>
        <item x="72"/>
        <item x="131"/>
        <item x="2"/>
        <item x="37"/>
        <item x="190"/>
        <item x="22"/>
        <item x="67"/>
        <item x="186"/>
        <item x="70"/>
        <item x="114"/>
        <item x="115"/>
        <item x="137"/>
        <item x="81"/>
        <item x="68"/>
        <item x="71"/>
        <item x="92"/>
        <item x="157"/>
        <item x="123"/>
        <item x="197"/>
        <item x="122"/>
        <item x="66"/>
        <item x="136"/>
        <item x="211"/>
        <item x="180"/>
        <item x="7"/>
        <item x="23"/>
        <item x="25"/>
        <item x="100"/>
        <item x="60"/>
        <item x="42"/>
        <item x="79"/>
        <item x="20"/>
        <item x="151"/>
        <item x="78"/>
        <item x="160"/>
        <item x="161"/>
        <item x="39"/>
        <item x="98"/>
        <item x="61"/>
        <item x="99"/>
        <item x="164"/>
        <item x="212"/>
        <item x="189"/>
        <item x="119"/>
        <item x="108"/>
        <item x="134"/>
        <item x="203"/>
        <item x="107"/>
        <item x="156"/>
        <item x="215"/>
        <item x="207"/>
        <item x="187"/>
        <item x="210"/>
        <item x="209"/>
        <item x="6"/>
        <item x="4"/>
        <item x="3"/>
        <item x="5"/>
        <item x="43"/>
        <item x="21"/>
        <item x="41"/>
        <item x="105"/>
        <item x="121"/>
        <item x="106"/>
        <item x="120"/>
        <item x="175"/>
        <item x="129"/>
        <item x="135"/>
        <item x="130"/>
        <item x="219"/>
        <item x="220"/>
        <item x="204"/>
        <item x="145"/>
        <item x="116"/>
        <item x="125"/>
        <item x="82"/>
        <item x="80"/>
        <item x="91"/>
        <item x="124"/>
        <item x="177"/>
        <item x="174"/>
        <item x="77"/>
        <item x="76"/>
        <item x="153"/>
        <item x="179"/>
        <item x="200"/>
        <item x="40"/>
        <item x="93"/>
        <item x="36"/>
        <item x="191"/>
        <item x="54"/>
        <item x="55"/>
        <item x="35"/>
        <item x="29"/>
        <item x="27"/>
        <item x="26"/>
        <item x="33"/>
        <item x="32"/>
        <item x="34"/>
        <item x="31"/>
        <item x="38"/>
        <item x="30"/>
        <item x="28"/>
        <item x="16"/>
        <item x="183"/>
        <item x="192"/>
        <item x="173"/>
        <item x="18"/>
        <item x="140"/>
        <item x="141"/>
        <item x="87"/>
        <item x="88"/>
        <item x="165"/>
        <item x="166"/>
        <item x="170"/>
        <item x="167"/>
        <item x="169"/>
        <item x="74"/>
        <item x="9"/>
        <item x="24"/>
        <item x="152"/>
        <item x="111"/>
        <item x="110"/>
        <item x="112"/>
        <item x="154"/>
        <item x="181"/>
        <item x="182"/>
        <item x="132"/>
        <item x="217"/>
        <item x="216"/>
        <item x="218"/>
        <item x="47"/>
        <item x="90"/>
        <item x="198"/>
        <item x="213"/>
        <item x="214"/>
        <item x="48"/>
        <item x="65"/>
        <item x="126"/>
        <item x="159"/>
        <item x="127"/>
        <item x="158"/>
        <item x="138"/>
        <item x="139"/>
        <item x="51"/>
        <item x="50"/>
        <item x="52"/>
        <item x="53"/>
        <item x="49"/>
        <item x="73"/>
        <item x="75"/>
        <item x="84"/>
        <item x="85"/>
        <item x="101"/>
        <item x="147"/>
        <item x="148"/>
        <item x="142"/>
        <item x="102"/>
        <item x="199"/>
        <item x="56"/>
        <item x="118"/>
        <item x="104"/>
        <item x="103"/>
        <item x="8"/>
        <item x="83"/>
        <item x="89"/>
        <item x="128"/>
        <item x="194"/>
        <item x="184"/>
        <item x="149"/>
        <item x="195"/>
        <item x="185"/>
        <item x="205"/>
        <item x="193"/>
        <item x="208"/>
        <item x="46"/>
        <item x="14"/>
        <item x="94"/>
        <item x="13"/>
        <item x="12"/>
        <item x="95"/>
        <item x="172"/>
        <item x="96"/>
        <item x="97"/>
        <item x="146"/>
        <item x="86"/>
        <item x="17"/>
        <item x="19"/>
        <item x="1"/>
        <item x="221"/>
        <item x="227"/>
        <item x="222"/>
        <item x="223"/>
        <item x="224"/>
        <item x="225"/>
        <item x="226"/>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compact="0" showAll="0">
      <items count="172">
        <item x="0"/>
        <item x="1"/>
        <item x="2"/>
        <item x="3"/>
        <item x="4"/>
        <item x="5"/>
        <item x="6"/>
        <item x="7"/>
        <item x="8"/>
        <item x="9"/>
        <item x="10"/>
        <item x="11"/>
        <item x="12"/>
        <item x="13"/>
        <item x="14"/>
        <item x="15"/>
        <item x="16"/>
        <item x="17"/>
        <item x="18"/>
        <item x="20"/>
        <item x="21"/>
        <item x="22"/>
        <item x="23"/>
        <item x="24"/>
        <item x="25"/>
        <item x="26"/>
        <item x="27"/>
        <item x="28"/>
        <item x="29"/>
        <item x="30"/>
        <item x="32"/>
        <item x="33"/>
        <item x="34"/>
        <item x="35"/>
        <item x="36"/>
        <item x="37"/>
        <item x="38"/>
        <item x="39"/>
        <item x="40"/>
        <item x="41"/>
        <item x="42"/>
        <item x="47"/>
        <item x="48"/>
        <item x="55"/>
        <item x="49"/>
        <item x="50"/>
        <item x="51"/>
        <item x="52"/>
        <item x="53"/>
        <item x="54"/>
        <item x="56"/>
        <item x="57"/>
        <item x="58"/>
        <item x="59"/>
        <item x="60"/>
        <item x="61"/>
        <item x="63"/>
        <item x="66"/>
        <item x="67"/>
        <item x="62"/>
        <item x="64"/>
        <item x="68"/>
        <item x="69"/>
        <item x="70"/>
        <item x="71"/>
        <item x="72"/>
        <item x="73"/>
        <item x="74"/>
        <item x="75"/>
        <item x="76"/>
        <item x="77"/>
        <item x="78"/>
        <item x="79"/>
        <item x="80"/>
        <item x="45"/>
        <item x="81"/>
        <item x="82"/>
        <item x="83"/>
        <item x="84"/>
        <item x="85"/>
        <item x="86"/>
        <item x="87"/>
        <item x="88"/>
        <item x="89"/>
        <item x="90"/>
        <item x="91"/>
        <item x="92"/>
        <item x="93"/>
        <item x="94"/>
        <item x="96"/>
        <item x="95"/>
        <item x="97"/>
        <item x="98"/>
        <item x="99"/>
        <item x="100"/>
        <item x="111"/>
        <item x="101"/>
        <item x="104"/>
        <item x="105"/>
        <item x="107"/>
        <item x="108"/>
        <item x="110"/>
        <item x="109"/>
        <item x="112"/>
        <item x="113"/>
        <item x="114"/>
        <item x="115"/>
        <item x="116"/>
        <item x="117"/>
        <item x="118"/>
        <item x="119"/>
        <item x="120"/>
        <item x="121"/>
        <item x="122"/>
        <item x="123"/>
        <item x="124"/>
        <item x="125"/>
        <item x="126"/>
        <item x="127"/>
        <item x="128"/>
        <item x="129"/>
        <item x="152"/>
        <item x="130"/>
        <item x="19"/>
        <item x="31"/>
        <item x="43"/>
        <item x="44"/>
        <item x="46"/>
        <item x="65"/>
        <item x="102"/>
        <item x="103"/>
        <item x="106"/>
        <item x="131"/>
        <item x="132"/>
        <item x="133"/>
        <item x="135"/>
        <item x="134"/>
        <item x="142"/>
        <item x="137"/>
        <item x="136"/>
        <item x="138"/>
        <item x="139"/>
        <item x="140"/>
        <item x="141"/>
        <item x="143"/>
        <item x="144"/>
        <item x="145"/>
        <item x="146"/>
        <item x="147"/>
        <item x="148"/>
        <item x="149"/>
        <item x="150"/>
        <item x="151"/>
        <item x="153"/>
        <item x="154"/>
        <item x="155"/>
        <item x="156"/>
        <item x="157"/>
        <item x="158"/>
        <item x="159"/>
        <item x="160"/>
        <item x="161"/>
        <item x="162"/>
        <item x="163"/>
        <item x="164"/>
        <item x="165"/>
        <item x="166"/>
        <item x="167"/>
        <item x="168"/>
        <item x="169"/>
        <item x="170"/>
        <item t="default"/>
      </items>
    </pivotField>
    <pivotField compact="0" showAll="0">
      <items count="1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axis="axisPage" compact="0" multipleItemSelectionAllowed="1" showAll="0">
      <items count="13">
        <item h="1" m="1" x="6"/>
        <item h="1" m="1" x="2"/>
        <item h="1" m="1" x="3"/>
        <item x="0"/>
        <item h="1" m="1" x="7"/>
        <item h="1" m="1" x="5"/>
        <item h="1" m="1" x="4"/>
        <item h="1" m="1" x="1"/>
        <item h="1" m="1" x="8"/>
        <item h="1" m="1" x="9"/>
        <item h="1" m="1" x="10"/>
        <item h="1" m="1" x="11"/>
        <item t="default"/>
      </items>
    </pivotField>
    <pivotField compact="0" showAll="0">
      <items count="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t="default"/>
      </items>
    </pivotField>
    <pivotField compact="0" showAll="0">
      <items count="2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compact="0" showAll="0">
      <items count="5">
        <item x="1"/>
        <item x="2"/>
        <item x="0"/>
        <item x="3"/>
        <item t="default"/>
      </items>
    </pivotField>
    <pivotField compact="0" sortType="ascending" multipleItemSelectionAllowed="1" showAll="0">
      <items count="73">
        <item h="1" m="1" x="63"/>
        <item h="1" x="3"/>
        <item h="1" m="1" x="68"/>
        <item h="1" m="1" x="65"/>
        <item h="1" m="1" x="64"/>
        <item h="1" m="1" x="60"/>
        <item h="1" x="4"/>
        <item h="1" m="1" x="62"/>
        <item h="1" m="1" x="67"/>
        <item h="1" m="1" x="59"/>
        <item x="1"/>
        <item h="1" x="26"/>
        <item h="1" x="44"/>
        <item h="1" x="7"/>
        <item h="1" x="45"/>
        <item h="1" x="19"/>
        <item h="1" x="23"/>
        <item h="1" x="9"/>
        <item x="10"/>
        <item h="1" x="11"/>
        <item h="1" x="8"/>
        <item h="1" x="5"/>
        <item h="1" x="53"/>
        <item h="1" m="1" x="69"/>
        <item h="1" x="14"/>
        <item h="1" m="1" x="70"/>
        <item h="1" x="32"/>
        <item h="1" x="31"/>
        <item h="1" x="33"/>
        <item x="17"/>
        <item x="43"/>
        <item x="56"/>
        <item x="47"/>
        <item h="1" x="27"/>
        <item h="1" x="39"/>
        <item h="1" x="12"/>
        <item h="1" x="0"/>
        <item h="1" x="48"/>
        <item h="1" x="34"/>
        <item h="1" x="49"/>
        <item h="1" m="1" x="66"/>
        <item h="1" x="52"/>
        <item h="1" x="13"/>
        <item x="18"/>
        <item h="1" x="51"/>
        <item h="1" x="28"/>
        <item h="1" x="25"/>
        <item h="1" x="20"/>
        <item h="1" x="35"/>
        <item h="1" x="36"/>
        <item h="1" x="37"/>
        <item h="1" x="24"/>
        <item h="1" x="50"/>
        <item h="1" x="55"/>
        <item h="1" x="6"/>
        <item h="1" x="58"/>
        <item h="1" x="57"/>
        <item h="1" x="15"/>
        <item h="1" x="42"/>
        <item h="1" x="41"/>
        <item h="1" x="29"/>
        <item h="1" x="54"/>
        <item h="1" x="38"/>
        <item h="1" x="16"/>
        <item h="1" x="46"/>
        <item h="1" x="30"/>
        <item h="1" x="21"/>
        <item x="22"/>
        <item h="1" x="40"/>
        <item h="1" m="1" x="71"/>
        <item h="1" m="1" x="61"/>
        <item h="1" x="2"/>
        <item t="default"/>
      </items>
    </pivotField>
    <pivotField dataField="1" compact="0"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187"/>
        <item x="233"/>
        <item x="234"/>
        <item x="235"/>
        <item x="236"/>
        <item x="237"/>
        <item x="238"/>
        <item x="239"/>
        <item x="240"/>
        <item x="241"/>
        <item x="242"/>
        <item x="243"/>
        <item x="245"/>
        <item x="246"/>
        <item x="247"/>
        <item x="248"/>
        <item x="249"/>
        <item x="250"/>
        <item x="244"/>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dataField="1" compact="0" showAll="0">
      <items count="2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compact="0"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54"/>
        <item x="44"/>
        <item x="45"/>
        <item x="46"/>
        <item x="47"/>
        <item x="48"/>
        <item x="49"/>
        <item x="50"/>
        <item x="51"/>
        <item x="52"/>
        <item x="53"/>
        <item x="55"/>
        <item x="56"/>
        <item x="57"/>
        <item x="58"/>
        <item x="59"/>
        <item x="60"/>
        <item x="61"/>
        <item x="62"/>
        <item x="63"/>
        <item x="73"/>
        <item x="64"/>
        <item x="65"/>
        <item x="66"/>
        <item x="101"/>
        <item x="67"/>
        <item x="68"/>
        <item x="69"/>
        <item x="70"/>
        <item x="71"/>
        <item x="72"/>
        <item x="74"/>
        <item x="75"/>
        <item x="76"/>
        <item x="77"/>
        <item x="78"/>
        <item x="79"/>
        <item x="80"/>
        <item x="81"/>
        <item x="82"/>
        <item x="83"/>
        <item x="84"/>
        <item x="85"/>
        <item x="86"/>
        <item x="87"/>
        <item x="88"/>
        <item x="102"/>
        <item x="89"/>
        <item x="90"/>
        <item x="91"/>
        <item x="92"/>
        <item x="93"/>
        <item x="94"/>
        <item x="95"/>
        <item x="96"/>
        <item x="97"/>
        <item x="98"/>
        <item x="99"/>
        <item x="100"/>
        <item x="103"/>
        <item x="104"/>
        <item x="105"/>
        <item x="106"/>
        <item x="107"/>
        <item x="108"/>
        <item x="109"/>
        <item x="110"/>
        <item x="111"/>
        <item x="112"/>
        <item x="113"/>
        <item x="114"/>
        <item x="115"/>
        <item x="116"/>
        <item x="117"/>
        <item x="118"/>
        <item x="119"/>
        <item x="120"/>
        <item x="121"/>
        <item x="122"/>
        <item x="123"/>
        <item x="124"/>
        <item x="125"/>
        <item x="126"/>
        <item x="135"/>
        <item x="127"/>
        <item x="128"/>
        <item x="129"/>
        <item x="130"/>
        <item x="131"/>
        <item x="132"/>
        <item x="133"/>
        <item x="134"/>
        <item x="136"/>
        <item x="137"/>
        <item x="138"/>
        <item x="139"/>
        <item x="140"/>
        <item x="141"/>
        <item x="142"/>
        <item x="143"/>
        <item x="144"/>
        <item x="145"/>
        <item x="146"/>
        <item x="147"/>
        <item x="148"/>
        <item x="149"/>
        <item x="150"/>
        <item x="151"/>
        <item x="152"/>
        <item x="153"/>
        <item x="154"/>
        <item x="155"/>
        <item x="156"/>
        <item t="default"/>
      </items>
    </pivotField>
    <pivotField compact="0"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8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30"/>
        <item x="225"/>
        <item x="226"/>
        <item x="227"/>
        <item x="228"/>
        <item x="229"/>
        <item x="231"/>
        <item x="232"/>
        <item x="233"/>
        <item x="234"/>
        <item x="235"/>
        <item x="236"/>
        <item x="237"/>
        <item x="238"/>
        <item x="239"/>
        <item x="240"/>
        <item x="241"/>
        <item x="194"/>
        <item x="242"/>
        <item x="243"/>
        <item x="244"/>
        <item x="245"/>
        <item x="246"/>
        <item x="247"/>
        <item x="248"/>
        <item x="249"/>
        <item x="250"/>
        <item x="251"/>
        <item x="252"/>
        <item x="253"/>
        <item x="255"/>
        <item x="256"/>
        <item x="257"/>
        <item x="258"/>
        <item x="259"/>
        <item x="260"/>
        <item x="254"/>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axis="axisPage" compact="0" multipleItemSelectionAllowed="1" showAll="0">
      <items count="9">
        <item h="1" x="4"/>
        <item x="2"/>
        <item x="3"/>
        <item x="1"/>
        <item x="0"/>
        <item m="1" x="7"/>
        <item x="6"/>
        <item x="5"/>
        <item t="default"/>
      </items>
    </pivotField>
    <pivotField compact="0" showAll="0">
      <items count="6">
        <item x="0"/>
        <item x="1"/>
        <item x="2"/>
        <item x="3"/>
        <item x="4"/>
        <item t="default"/>
      </items>
    </pivotField>
    <pivotField compact="0" showAll="0">
      <items count="29">
        <item x="0"/>
        <item x="1"/>
        <item x="2"/>
        <item x="3"/>
        <item x="4"/>
        <item x="24"/>
        <item x="5"/>
        <item x="6"/>
        <item x="7"/>
        <item x="8"/>
        <item x="9"/>
        <item x="10"/>
        <item x="11"/>
        <item x="12"/>
        <item x="13"/>
        <item x="14"/>
        <item x="15"/>
        <item x="16"/>
        <item x="17"/>
        <item x="18"/>
        <item x="19"/>
        <item x="20"/>
        <item x="21"/>
        <item x="22"/>
        <item x="23"/>
        <item x="25"/>
        <item x="26"/>
        <item x="27"/>
        <item t="default"/>
      </items>
    </pivotField>
    <pivotField compact="0" showAll="0">
      <items count="6">
        <item x="0"/>
        <item x="1"/>
        <item x="2"/>
        <item x="3"/>
        <item x="4"/>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axis="axisRow" compact="0" sortType="descending" showAll="0">
      <items count="11">
        <item x="5"/>
        <item x="3"/>
        <item x="7"/>
        <item x="2"/>
        <item x="8"/>
        <item x="9"/>
        <item x="1"/>
        <item x="6"/>
        <item x="4"/>
        <item x="0"/>
        <item t="default"/>
      </items>
      <autoSortScope>
        <pivotArea fieldPosition="0">
          <references count="1">
            <reference field="4294967294" count="1" selected="0">
              <x v="0"/>
            </reference>
          </references>
        </pivotArea>
      </autoSortScope>
    </pivotField>
    <pivotField axis="axisPage" compact="0" multipleItemSelectionAllowed="1" showAll="0">
      <items count="4">
        <item h="1" m="1" x="2"/>
        <item h="1" x="0"/>
        <item x="1"/>
        <item t="default"/>
      </items>
    </pivotField>
    <pivotField axis="axisPage" compact="0" multipleItemSelectionAllowed="1" showAll="0">
      <items count="13">
        <item x="8"/>
        <item x="9"/>
        <item x="10"/>
        <item x="11"/>
        <item x="0"/>
        <item x="1"/>
        <item h="1" x="2"/>
        <item h="1" x="3"/>
        <item h="1" x="7"/>
        <item h="1" x="6"/>
        <item h="1" x="5"/>
        <item h="1" x="4"/>
        <item t="default"/>
      </items>
    </pivotField>
    <pivotField compact="0" showAll="0"/>
  </pivotFields>
  <rowFields count="1">
    <field x="23"/>
  </rowFields>
  <rowItems count="10">
    <i>
      <x v="8"/>
    </i>
    <i>
      <x v="6"/>
    </i>
    <i>
      <x v="7"/>
    </i>
    <i>
      <x v="3"/>
    </i>
    <i>
      <x v="1"/>
    </i>
    <i>
      <x v="2"/>
    </i>
    <i>
      <x v="4"/>
    </i>
    <i>
      <x/>
    </i>
    <i>
      <x v="5"/>
    </i>
    <i t="grand">
      <x/>
    </i>
  </rowItems>
  <colFields count="1">
    <field x="-2"/>
  </colFields>
  <colItems count="2">
    <i>
      <x/>
    </i>
    <i i="1">
      <x v="1"/>
    </i>
  </colItems>
  <pageFields count="4">
    <pageField fld="24"/>
    <pageField fld="25"/>
    <pageField fld="3"/>
    <pageField fld="12"/>
  </pageFields>
  <dataFields count="2">
    <dataField name="求和项:费用金额" fld="8" baseField="0" baseItem="0"/>
    <dataField name="求和项:费用对应吨数"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表1" displayName="表1" ref="A1:AA307" totalsRowShown="0">
  <autoFilter xmlns:etc="http://www.wps.cn/officeDocument/2017/etCustomData" ref="A1:AA307" etc:filterBottomFollowUsedRange="0">
    <filterColumn colId="2">
      <filters>
        <dateGroupItem year="2026" dateTimeGrouping="year"/>
      </filters>
    </filterColumn>
    <filterColumn colId="7">
      <filters>
        <filter val="质量问题（毒素、水分）"/>
        <filter val="品质不达标（容重、水分、毒素、蛋白等）"/>
      </filters>
    </filterColumn>
    <filterColumn colId="23">
      <filters>
        <filter val="水分"/>
      </filters>
    </filterColumn>
  </autoFilter>
  <sortState ref="A1:AA307">
    <sortCondition ref="B1"/>
  </sortState>
  <tableColumns count="27">
    <tableColumn id="1" name="联系单编号" dataDxfId="0"/>
    <tableColumn id="2" name="费用发生时间" dataDxfId="1"/>
    <tableColumn id="3" name="费用申请时间" dataDxfId="2"/>
    <tableColumn id="24" name="费用类型" dataDxfId="3"/>
    <tableColumn id="25" name="主题" dataDxfId="4"/>
    <tableColumn id="4" name="内容" dataDxfId="5"/>
    <tableColumn id="5" name="销售溢价是否覆盖扣款费用" dataDxfId="6"/>
    <tableColumn id="6" name="费用原因分类" dataDxfId="7"/>
    <tableColumn id="23" name="费用金额" dataDxfId="8"/>
    <tableColumn id="7" name="费用对应吨数" dataDxfId="9"/>
    <tableColumn id="8" name="费用对应大船名" dataDxfId="10"/>
    <tableColumn id="9" name="费用对应销售合同号" dataDxfId="11"/>
    <tableColumn id="21" name="发出部门" dataDxfId="12"/>
    <tableColumn id="22" name="接收部门" dataDxfId="13"/>
    <tableColumn id="10" name="发起人" dataDxfId="14"/>
    <tableColumn id="11" name="复核人1" dataDxfId="15"/>
    <tableColumn id="12" name="复核人2" dataDxfId="16"/>
    <tableColumn id="13" name="复核人3" dataDxfId="17"/>
    <tableColumn id="14" name="复核人4" dataDxfId="18"/>
    <tableColumn id="15" name="复核人5" dataDxfId="19"/>
    <tableColumn id="16" name="费用最终承担方" dataDxfId="20"/>
    <tableColumn id="17" name="承担方名称/对应合同号" dataDxfId="21"/>
    <tableColumn id="18" name="复核结果备注" dataDxfId="22"/>
    <tableColumn id="27" name="扣款原因-清洗" dataDxfId="23"/>
    <tableColumn id="19" name="年" dataDxfId="24">
      <calculatedColumnFormula>YEAR(C2)</calculatedColumnFormula>
    </tableColumn>
    <tableColumn id="26" name="月" dataDxfId="25">
      <calculatedColumnFormula>MONTH(C2)</calculatedColumnFormula>
    </tableColumn>
    <tableColumn id="20" name="日" dataDxfId="26">
      <calculatedColumnFormula>DAY(C2)</calculatedColumnFormula>
    </tableColumn>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tabSelected="1" topLeftCell="A10" workbookViewId="0">
      <selection activeCell="H28" sqref="H28:H37"/>
    </sheetView>
  </sheetViews>
  <sheetFormatPr defaultColWidth="9.02654867256637" defaultRowHeight="13.5" outlineLevelCol="7"/>
  <cols>
    <col min="1" max="1" width="17.070796460177"/>
    <col min="2" max="3" width="21.0884955752212"/>
    <col min="4" max="8" width="13.212389380531" customWidth="1"/>
    <col min="9" max="11" width="12.7964601769912"/>
  </cols>
  <sheetData>
    <row r="1" customHeight="1" spans="1:8">
      <c r="A1" t="s">
        <v>0</v>
      </c>
      <c r="B1" s="112">
        <v>2026</v>
      </c>
    </row>
    <row r="2" spans="1:8">
      <c r="A2" t="s">
        <v>1</v>
      </c>
      <c r="B2" t="s">
        <v>2</v>
      </c>
    </row>
    <row r="3" spans="1:8">
      <c r="A3" t="s">
        <v>3</v>
      </c>
      <c r="B3" t="s">
        <v>4</v>
      </c>
    </row>
    <row r="4" spans="1:8">
      <c r="A4" t="s">
        <v>5</v>
      </c>
      <c r="B4" t="s">
        <v>6</v>
      </c>
    </row>
    <row r="6" spans="1:8">
      <c r="A6" t="s">
        <v>7</v>
      </c>
      <c r="B6" t="s">
        <v>8</v>
      </c>
      <c r="C6" t="s">
        <v>9</v>
      </c>
      <c r="D6" t="s">
        <v>10</v>
      </c>
    </row>
    <row r="7" spans="1:8">
      <c r="A7" t="s">
        <v>11</v>
      </c>
      <c r="B7">
        <v>105</v>
      </c>
      <c r="C7">
        <v>1412076.195</v>
      </c>
      <c r="D7">
        <v>93548.5200400001</v>
      </c>
    </row>
    <row r="8" spans="1:8">
      <c r="A8" t="s">
        <v>12</v>
      </c>
      <c r="B8">
        <v>27</v>
      </c>
      <c r="C8">
        <v>232206.34</v>
      </c>
      <c r="D8">
        <v>20856.46</v>
      </c>
    </row>
    <row r="9" spans="1:8">
      <c r="A9" t="s">
        <v>13</v>
      </c>
      <c r="B9">
        <v>28</v>
      </c>
      <c r="C9">
        <v>202600.82</v>
      </c>
      <c r="D9">
        <v>22235.531</v>
      </c>
    </row>
    <row r="10" spans="1:8">
      <c r="A10" t="s">
        <v>14</v>
      </c>
      <c r="B10">
        <v>66</v>
      </c>
      <c r="C10">
        <v>899767.99</v>
      </c>
      <c r="D10">
        <v>106154.7411</v>
      </c>
    </row>
    <row r="11" spans="1:8">
      <c r="A11" t="s">
        <v>15</v>
      </c>
      <c r="B11">
        <v>5</v>
      </c>
      <c r="C11">
        <v>39266.2</v>
      </c>
      <c r="D11">
        <v>2130.36</v>
      </c>
    </row>
    <row r="12" spans="1:8">
      <c r="A12" t="s">
        <v>16</v>
      </c>
      <c r="B12">
        <v>231</v>
      </c>
      <c r="C12">
        <v>2785917.545</v>
      </c>
      <c r="D12">
        <v>244925.61214</v>
      </c>
    </row>
    <row r="14" s="111" customFormat="1" ht="47.25" spans="1:8">
      <c r="A14" s="113" t="s">
        <v>17</v>
      </c>
      <c r="B14" s="113" t="s">
        <v>18</v>
      </c>
      <c r="C14" s="113" t="s">
        <v>19</v>
      </c>
      <c r="D14" s="113" t="s">
        <v>20</v>
      </c>
      <c r="E14" s="113" t="s">
        <v>21</v>
      </c>
      <c r="F14" s="113" t="s">
        <v>22</v>
      </c>
      <c r="G14" s="113" t="s">
        <v>23</v>
      </c>
      <c r="H14" s="113" t="s">
        <v>24</v>
      </c>
    </row>
    <row r="15" ht="15" spans="1:8">
      <c r="A15" s="114" t="s">
        <v>25</v>
      </c>
      <c r="B15" s="115">
        <v>105</v>
      </c>
      <c r="C15" s="116">
        <v>141.2076195</v>
      </c>
      <c r="D15" s="116">
        <v>9.35485200400001</v>
      </c>
      <c r="E15" s="116">
        <f t="shared" ref="E15:E20" si="0">C15/D15</f>
        <v>15.0945861505475</v>
      </c>
      <c r="F15" s="116">
        <v>110.36</v>
      </c>
      <c r="G15" s="116">
        <f t="shared" ref="G15:G20" si="1">C15/F15</f>
        <v>1.27951811797753</v>
      </c>
      <c r="H15" s="117">
        <f t="shared" ref="H15:H20" si="2">D15/F15</f>
        <v>0.084766690866256</v>
      </c>
    </row>
    <row r="16" ht="15" spans="1:8">
      <c r="A16" s="114" t="s">
        <v>26</v>
      </c>
      <c r="B16" s="115">
        <v>27</v>
      </c>
      <c r="C16" s="116">
        <v>23.220634</v>
      </c>
      <c r="D16" s="116">
        <v>2.085646</v>
      </c>
      <c r="E16" s="116">
        <f t="shared" si="0"/>
        <v>11.1335451941509</v>
      </c>
      <c r="F16" s="116">
        <v>77.93</v>
      </c>
      <c r="G16" s="116">
        <f t="shared" si="1"/>
        <v>0.297967842935968</v>
      </c>
      <c r="H16" s="117">
        <f t="shared" si="2"/>
        <v>0.0267630694212755</v>
      </c>
    </row>
    <row r="17" ht="15" spans="1:8">
      <c r="A17" s="114" t="s">
        <v>27</v>
      </c>
      <c r="B17" s="115">
        <v>28</v>
      </c>
      <c r="C17" s="116">
        <v>20.260082</v>
      </c>
      <c r="D17" s="116">
        <v>2.2235531</v>
      </c>
      <c r="E17" s="116">
        <f t="shared" si="0"/>
        <v>9.11158002028375</v>
      </c>
      <c r="F17" s="116">
        <v>51.65</v>
      </c>
      <c r="G17" s="116">
        <f t="shared" si="1"/>
        <v>0.39225715392062</v>
      </c>
      <c r="H17" s="117">
        <f t="shared" si="2"/>
        <v>0.043050398838335</v>
      </c>
    </row>
    <row r="18" ht="15" spans="1:8">
      <c r="A18" s="114" t="s">
        <v>28</v>
      </c>
      <c r="B18" s="115">
        <v>66</v>
      </c>
      <c r="C18" s="116">
        <v>89.976799</v>
      </c>
      <c r="D18" s="116">
        <v>10.61547411</v>
      </c>
      <c r="E18" s="116">
        <f t="shared" si="0"/>
        <v>8.476003809876</v>
      </c>
      <c r="F18" s="116">
        <v>59.37</v>
      </c>
      <c r="G18" s="116">
        <f t="shared" si="1"/>
        <v>1.51552634327101</v>
      </c>
      <c r="H18" s="117">
        <f t="shared" si="2"/>
        <v>0.17880198938858</v>
      </c>
    </row>
    <row r="19" ht="15" spans="1:8">
      <c r="A19" s="114" t="s">
        <v>29</v>
      </c>
      <c r="B19" s="115">
        <v>5</v>
      </c>
      <c r="C19" s="116">
        <v>3.92662</v>
      </c>
      <c r="D19" s="116">
        <v>0.213036</v>
      </c>
      <c r="E19" s="116">
        <f t="shared" si="0"/>
        <v>18.4317204603917</v>
      </c>
      <c r="F19" s="116">
        <v>43.73</v>
      </c>
      <c r="G19" s="116">
        <f t="shared" si="1"/>
        <v>0.0897923622227304</v>
      </c>
      <c r="H19" s="117">
        <f t="shared" si="2"/>
        <v>0.00487162131260005</v>
      </c>
    </row>
    <row r="20" ht="14.6" spans="1:8">
      <c r="A20" s="118" t="s">
        <v>16</v>
      </c>
      <c r="B20" s="119">
        <v>231</v>
      </c>
      <c r="C20" s="120">
        <v>278.5917545</v>
      </c>
      <c r="D20" s="120">
        <v>24.492561214</v>
      </c>
      <c r="E20" s="120">
        <f t="shared" si="0"/>
        <v>11.3745456045143</v>
      </c>
      <c r="F20" s="120">
        <v>343.04</v>
      </c>
      <c r="G20" s="120">
        <f t="shared" si="1"/>
        <v>0.81212615001166</v>
      </c>
      <c r="H20" s="121">
        <f t="shared" si="2"/>
        <v>0.0713985576434235</v>
      </c>
    </row>
    <row r="21" spans="1:8">
      <c r="C21">
        <v>10000</v>
      </c>
    </row>
    <row r="22" spans="1:8">
      <c r="A22" t="s">
        <v>0</v>
      </c>
      <c r="B22" s="122">
        <v>2026</v>
      </c>
      <c r="C22">
        <f>C20-264.19</f>
        <v>14.4017545</v>
      </c>
    </row>
    <row r="23" spans="1:8">
      <c r="A23" t="s">
        <v>1</v>
      </c>
      <c r="B23" t="s">
        <v>2</v>
      </c>
    </row>
    <row r="24" spans="1:8">
      <c r="A24" t="s">
        <v>5</v>
      </c>
      <c r="B24" t="s">
        <v>4</v>
      </c>
    </row>
    <row r="25" spans="1:8">
      <c r="A25" t="s">
        <v>7</v>
      </c>
      <c r="B25" t="s">
        <v>2</v>
      </c>
    </row>
    <row r="27" ht="15.75" spans="1:8">
      <c r="A27" t="s">
        <v>30</v>
      </c>
      <c r="B27" t="s">
        <v>9</v>
      </c>
      <c r="C27" t="s">
        <v>10</v>
      </c>
      <c r="F27" s="123" t="s">
        <v>31</v>
      </c>
      <c r="G27" s="123" t="s">
        <v>32</v>
      </c>
      <c r="H27" s="123" t="s">
        <v>33</v>
      </c>
    </row>
    <row r="28" ht="14.6" spans="1:8">
      <c r="A28" t="s">
        <v>34</v>
      </c>
      <c r="B28">
        <v>1332384.74</v>
      </c>
      <c r="C28">
        <v>131575.94514</v>
      </c>
      <c r="F28" s="118" t="s">
        <v>34</v>
      </c>
      <c r="G28" s="120">
        <v>1332384.74</v>
      </c>
      <c r="H28" s="121">
        <f t="shared" ref="H28:H37" si="3">G28/$G$37</f>
        <v>0.478257061983505</v>
      </c>
    </row>
    <row r="29" ht="14.6" spans="1:8">
      <c r="A29" t="s">
        <v>35</v>
      </c>
      <c r="B29">
        <v>804044.5</v>
      </c>
      <c r="C29">
        <v>70629.11</v>
      </c>
      <c r="F29" s="118" t="s">
        <v>35</v>
      </c>
      <c r="G29" s="120">
        <v>804044.5</v>
      </c>
      <c r="H29" s="121">
        <f t="shared" si="3"/>
        <v>0.28861030056078</v>
      </c>
    </row>
    <row r="30" ht="14.6" spans="1:8">
      <c r="A30" t="s">
        <v>36</v>
      </c>
      <c r="B30">
        <v>248896.05</v>
      </c>
      <c r="C30">
        <v>10349.282</v>
      </c>
      <c r="F30" s="118" t="s">
        <v>36</v>
      </c>
      <c r="G30" s="120">
        <v>248896.05</v>
      </c>
      <c r="H30" s="121">
        <f t="shared" si="3"/>
        <v>0.0893407812613492</v>
      </c>
    </row>
    <row r="31" ht="14.6" spans="1:8">
      <c r="A31" t="s">
        <v>37</v>
      </c>
      <c r="B31">
        <v>194483.72</v>
      </c>
      <c r="C31">
        <v>23431.145</v>
      </c>
      <c r="F31" s="118" t="s">
        <v>37</v>
      </c>
      <c r="G31" s="120">
        <v>194483.72</v>
      </c>
      <c r="H31" s="121">
        <f t="shared" si="3"/>
        <v>0.0698095750712536</v>
      </c>
    </row>
    <row r="32" ht="14.6" spans="1:8">
      <c r="A32" t="s">
        <v>38</v>
      </c>
      <c r="B32">
        <v>104388.11</v>
      </c>
      <c r="C32">
        <v>7967.19</v>
      </c>
      <c r="F32" s="118" t="s">
        <v>38</v>
      </c>
      <c r="G32" s="120">
        <v>104388.11</v>
      </c>
      <c r="H32" s="121">
        <f t="shared" si="3"/>
        <v>0.0374699208838214</v>
      </c>
    </row>
    <row r="33" ht="14.6" spans="1:8">
      <c r="A33" t="s">
        <v>39</v>
      </c>
      <c r="B33">
        <v>48519.425</v>
      </c>
      <c r="C33">
        <v>20.04</v>
      </c>
      <c r="F33" s="118" t="s">
        <v>39</v>
      </c>
      <c r="G33" s="120">
        <v>48519.425</v>
      </c>
      <c r="H33" s="121">
        <f t="shared" si="3"/>
        <v>0.0174159587339833</v>
      </c>
    </row>
    <row r="34" ht="14.6" spans="1:8">
      <c r="A34" t="s">
        <v>40</v>
      </c>
      <c r="B34">
        <v>45000</v>
      </c>
      <c r="C34">
        <v>446.5</v>
      </c>
      <c r="F34" s="118" t="s">
        <v>40</v>
      </c>
      <c r="G34" s="120">
        <v>45000</v>
      </c>
      <c r="H34" s="121">
        <f t="shared" si="3"/>
        <v>0.0161526675765273</v>
      </c>
    </row>
    <row r="35" ht="14.6" spans="1:8">
      <c r="A35" t="s">
        <v>41</v>
      </c>
      <c r="B35">
        <v>4309.1</v>
      </c>
      <c r="C35">
        <v>506.4</v>
      </c>
      <c r="F35" s="118" t="s">
        <v>41</v>
      </c>
      <c r="G35" s="120">
        <v>4309.1</v>
      </c>
      <c r="H35" s="121">
        <f t="shared" si="3"/>
        <v>0.00154674355231142</v>
      </c>
    </row>
    <row r="36" ht="14.6" spans="1:8">
      <c r="A36" t="s">
        <v>42</v>
      </c>
      <c r="B36">
        <v>3891.9</v>
      </c>
      <c r="C36"/>
      <c r="F36" s="118" t="s">
        <v>42</v>
      </c>
      <c r="G36" s="120">
        <v>3891.9</v>
      </c>
      <c r="H36" s="121">
        <f t="shared" si="3"/>
        <v>0.00139699037646859</v>
      </c>
    </row>
    <row r="37" ht="14.6" spans="1:8">
      <c r="A37" t="s">
        <v>16</v>
      </c>
      <c r="B37">
        <v>2785917.545</v>
      </c>
      <c r="C37">
        <v>244925.61214</v>
      </c>
      <c r="F37" s="118" t="s">
        <v>16</v>
      </c>
      <c r="G37" s="120">
        <v>2785917.545</v>
      </c>
      <c r="H37" s="121">
        <f t="shared" si="3"/>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07"/>
  <sheetViews>
    <sheetView topLeftCell="F1" workbookViewId="0">
      <pane ySplit="1" topLeftCell="A2" activePane="bottomLeft" state="frozen"/>
      <selection/>
      <selection pane="bottomLeft" activeCell="X91" sqref="X91"/>
    </sheetView>
  </sheetViews>
  <sheetFormatPr defaultColWidth="44.8761061946903" defaultRowHeight="13.5"/>
  <cols>
    <col min="1" max="1" width="44.8761061946903" style="21" customWidth="1"/>
    <col min="2" max="3" width="19.9203539823009" style="24" customWidth="1"/>
    <col min="4" max="4" width="19.9203539823009" style="25" customWidth="1"/>
    <col min="5" max="5" width="44.8761061946903" style="25" customWidth="1"/>
    <col min="6" max="8" width="44.8761061946903" style="21" customWidth="1"/>
    <col min="9" max="23" width="44.8761061946903" style="21" hidden="1" customWidth="1"/>
    <col min="24" max="16384" width="44.8761061946903" style="21" customWidth="1"/>
  </cols>
  <sheetData>
    <row r="1" s="21" customFormat="1" ht="28" customHeight="1" spans="1:27">
      <c r="A1" s="26" t="s">
        <v>43</v>
      </c>
      <c r="B1" s="27" t="s">
        <v>44</v>
      </c>
      <c r="C1" s="27" t="s">
        <v>45</v>
      </c>
      <c r="D1" s="26" t="s">
        <v>5</v>
      </c>
      <c r="E1" s="26" t="s">
        <v>46</v>
      </c>
      <c r="F1" s="26" t="s">
        <v>47</v>
      </c>
      <c r="G1" s="26" t="s">
        <v>48</v>
      </c>
      <c r="H1" s="26" t="s">
        <v>49</v>
      </c>
      <c r="I1" s="26" t="s">
        <v>50</v>
      </c>
      <c r="J1" s="26" t="s">
        <v>51</v>
      </c>
      <c r="K1" s="26" t="s">
        <v>52</v>
      </c>
      <c r="L1" s="26" t="s">
        <v>53</v>
      </c>
      <c r="M1" s="26" t="s">
        <v>7</v>
      </c>
      <c r="N1" s="26" t="s">
        <v>54</v>
      </c>
      <c r="O1" s="26" t="s">
        <v>55</v>
      </c>
      <c r="P1" s="26" t="s">
        <v>56</v>
      </c>
      <c r="Q1" s="26" t="s">
        <v>57</v>
      </c>
      <c r="R1" s="26" t="s">
        <v>58</v>
      </c>
      <c r="S1" s="26" t="s">
        <v>59</v>
      </c>
      <c r="T1" s="26" t="s">
        <v>60</v>
      </c>
      <c r="U1" s="28" t="s">
        <v>61</v>
      </c>
      <c r="V1" s="28" t="s">
        <v>62</v>
      </c>
      <c r="W1" s="28" t="s">
        <v>63</v>
      </c>
      <c r="X1" s="28" t="s">
        <v>30</v>
      </c>
      <c r="Y1" s="28" t="s">
        <v>0</v>
      </c>
      <c r="Z1" s="28" t="s">
        <v>1</v>
      </c>
      <c r="AA1" s="28" t="s">
        <v>3</v>
      </c>
    </row>
    <row r="2" ht="13.85" hidden="1" spans="1:27">
      <c r="A2" s="26" t="s">
        <v>64</v>
      </c>
      <c r="B2" s="27">
        <v>45752</v>
      </c>
      <c r="C2" s="27">
        <v>45782</v>
      </c>
      <c r="D2" s="26" t="s">
        <v>6</v>
      </c>
      <c r="E2" s="26" t="s">
        <v>65</v>
      </c>
      <c r="F2" s="26" t="s">
        <v>66</v>
      </c>
      <c r="G2" s="26"/>
      <c r="H2" s="26" t="s">
        <v>67</v>
      </c>
      <c r="I2" s="26">
        <v>2099.7</v>
      </c>
      <c r="J2" s="26">
        <v>209.97</v>
      </c>
      <c r="K2" s="26"/>
      <c r="L2" s="26"/>
      <c r="M2" s="26" t="s">
        <v>14</v>
      </c>
      <c r="N2" s="29" t="s">
        <v>68</v>
      </c>
      <c r="O2" s="26" t="s">
        <v>69</v>
      </c>
      <c r="P2" s="26" t="s">
        <v>14</v>
      </c>
      <c r="Q2" s="26" t="s">
        <v>70</v>
      </c>
      <c r="R2" s="26"/>
      <c r="S2" s="26"/>
      <c r="T2" s="26"/>
      <c r="U2" s="26" t="s">
        <v>71</v>
      </c>
      <c r="V2" s="26"/>
      <c r="W2" s="26"/>
      <c r="X2" s="26"/>
      <c r="Y2" s="30">
        <f t="shared" ref="Y2:Y65" si="0">YEAR(C2)</f>
        <v>2025</v>
      </c>
      <c r="Z2" s="30">
        <f t="shared" ref="Z2:Z65" si="1">MONTH(C2)</f>
        <v>5</v>
      </c>
      <c r="AA2" s="30">
        <f t="shared" ref="AA2:AA65" si="2">DAY(C2)</f>
        <v>5</v>
      </c>
    </row>
    <row r="3" ht="13.85" hidden="1" spans="1:27">
      <c r="A3" s="26"/>
      <c r="B3" s="31" t="s">
        <v>72</v>
      </c>
      <c r="C3" s="27">
        <v>45817</v>
      </c>
      <c r="D3" s="26" t="s">
        <v>6</v>
      </c>
      <c r="E3" s="29" t="s">
        <v>73</v>
      </c>
      <c r="F3" s="29" t="s">
        <v>74</v>
      </c>
      <c r="G3" s="26"/>
      <c r="H3" s="26" t="s">
        <v>75</v>
      </c>
      <c r="I3" s="26">
        <v>11099.4</v>
      </c>
      <c r="J3" s="26">
        <v>554.97</v>
      </c>
      <c r="K3" s="26"/>
      <c r="L3" s="26" t="s">
        <v>76</v>
      </c>
      <c r="M3" s="29" t="s">
        <v>13</v>
      </c>
      <c r="N3" s="26"/>
      <c r="O3" s="29" t="s">
        <v>77</v>
      </c>
      <c r="P3" s="29" t="s">
        <v>13</v>
      </c>
      <c r="Q3" s="26" t="s">
        <v>70</v>
      </c>
      <c r="R3" s="26"/>
      <c r="S3" s="26"/>
      <c r="T3" s="26"/>
      <c r="U3" s="26"/>
      <c r="V3" s="26"/>
      <c r="W3" s="26"/>
      <c r="X3" s="26"/>
      <c r="Y3" s="30">
        <f t="shared" si="0"/>
        <v>2025</v>
      </c>
      <c r="Z3" s="30">
        <f t="shared" si="1"/>
        <v>6</v>
      </c>
      <c r="AA3" s="30">
        <f t="shared" si="2"/>
        <v>9</v>
      </c>
    </row>
    <row r="4" ht="13.85" hidden="1" spans="1:27">
      <c r="A4" s="26"/>
      <c r="B4" s="31" t="s">
        <v>78</v>
      </c>
      <c r="C4" s="27">
        <v>45826</v>
      </c>
      <c r="D4" s="26" t="s">
        <v>6</v>
      </c>
      <c r="E4" s="29" t="s">
        <v>79</v>
      </c>
      <c r="F4" s="29" t="s">
        <v>80</v>
      </c>
      <c r="G4" s="26"/>
      <c r="H4" s="26" t="s">
        <v>75</v>
      </c>
      <c r="I4" s="32">
        <v>2704.76</v>
      </c>
      <c r="J4" s="33">
        <v>471.075</v>
      </c>
      <c r="K4" s="26"/>
      <c r="L4" s="26"/>
      <c r="M4" s="29" t="s">
        <v>14</v>
      </c>
      <c r="N4" s="29" t="s">
        <v>81</v>
      </c>
      <c r="O4" s="29" t="s">
        <v>82</v>
      </c>
      <c r="P4" s="26" t="s">
        <v>14</v>
      </c>
      <c r="Q4" s="26" t="s">
        <v>70</v>
      </c>
      <c r="R4" s="26"/>
      <c r="S4" s="26"/>
      <c r="T4" s="26"/>
      <c r="U4" s="26"/>
      <c r="V4" s="26"/>
      <c r="W4" s="26"/>
      <c r="X4" s="26"/>
      <c r="Y4" s="30">
        <f t="shared" si="0"/>
        <v>2025</v>
      </c>
      <c r="Z4" s="30">
        <f t="shared" si="1"/>
        <v>6</v>
      </c>
      <c r="AA4" s="30">
        <f t="shared" si="2"/>
        <v>18</v>
      </c>
    </row>
    <row r="5" ht="13.85" hidden="1" spans="1:27">
      <c r="A5" s="26"/>
      <c r="B5" s="31" t="s">
        <v>83</v>
      </c>
      <c r="C5" s="27">
        <v>45826</v>
      </c>
      <c r="D5" s="26" t="s">
        <v>6</v>
      </c>
      <c r="E5" s="29" t="s">
        <v>84</v>
      </c>
      <c r="F5" s="29" t="s">
        <v>85</v>
      </c>
      <c r="G5" s="26"/>
      <c r="H5" s="26" t="s">
        <v>75</v>
      </c>
      <c r="I5" s="32">
        <v>2204.8</v>
      </c>
      <c r="J5" s="33">
        <v>414.4</v>
      </c>
      <c r="K5" s="26"/>
      <c r="L5" s="26"/>
      <c r="M5" s="29" t="s">
        <v>14</v>
      </c>
      <c r="N5" s="29" t="s">
        <v>81</v>
      </c>
      <c r="O5" s="29" t="s">
        <v>82</v>
      </c>
      <c r="P5" s="26" t="s">
        <v>14</v>
      </c>
      <c r="Q5" s="26" t="s">
        <v>70</v>
      </c>
      <c r="R5" s="26"/>
      <c r="S5" s="26"/>
      <c r="T5" s="26"/>
      <c r="U5" s="26"/>
      <c r="V5" s="26"/>
      <c r="W5" s="26"/>
      <c r="X5" s="26"/>
      <c r="Y5" s="30">
        <f t="shared" si="0"/>
        <v>2025</v>
      </c>
      <c r="Z5" s="30">
        <f t="shared" si="1"/>
        <v>6</v>
      </c>
      <c r="AA5" s="30">
        <f t="shared" si="2"/>
        <v>18</v>
      </c>
    </row>
    <row r="6" ht="13.85" hidden="1" spans="1:27">
      <c r="A6" s="26"/>
      <c r="B6" s="27">
        <v>45811</v>
      </c>
      <c r="C6" s="27">
        <v>45826</v>
      </c>
      <c r="D6" s="26" t="s">
        <v>6</v>
      </c>
      <c r="E6" s="29" t="s">
        <v>86</v>
      </c>
      <c r="F6" s="29" t="s">
        <v>87</v>
      </c>
      <c r="G6" s="26"/>
      <c r="H6" s="26" t="s">
        <v>75</v>
      </c>
      <c r="I6" s="32">
        <v>1071.4</v>
      </c>
      <c r="J6" s="33">
        <v>221.905</v>
      </c>
      <c r="K6" s="26"/>
      <c r="L6" s="26"/>
      <c r="M6" s="29" t="s">
        <v>14</v>
      </c>
      <c r="N6" s="29" t="s">
        <v>81</v>
      </c>
      <c r="O6" s="29" t="s">
        <v>82</v>
      </c>
      <c r="P6" s="26" t="s">
        <v>14</v>
      </c>
      <c r="Q6" s="26" t="s">
        <v>70</v>
      </c>
      <c r="R6" s="26"/>
      <c r="S6" s="26"/>
      <c r="T6" s="26"/>
      <c r="U6" s="26"/>
      <c r="V6" s="26"/>
      <c r="W6" s="26"/>
      <c r="X6" s="26"/>
      <c r="Y6" s="30">
        <f t="shared" si="0"/>
        <v>2025</v>
      </c>
      <c r="Z6" s="30">
        <f t="shared" si="1"/>
        <v>6</v>
      </c>
      <c r="AA6" s="30">
        <f t="shared" si="2"/>
        <v>18</v>
      </c>
    </row>
    <row r="7" ht="14.6" hidden="1" spans="1:27">
      <c r="A7" s="34" t="s">
        <v>88</v>
      </c>
      <c r="B7" s="27">
        <v>45866</v>
      </c>
      <c r="C7" s="27">
        <v>45866</v>
      </c>
      <c r="D7" s="26" t="s">
        <v>6</v>
      </c>
      <c r="E7" s="26" t="s">
        <v>89</v>
      </c>
      <c r="F7" s="26"/>
      <c r="G7" s="26"/>
      <c r="H7" s="26"/>
      <c r="I7" s="26">
        <v>11255</v>
      </c>
      <c r="J7" s="35">
        <v>11255</v>
      </c>
      <c r="K7" s="29" t="s">
        <v>90</v>
      </c>
      <c r="L7" s="34" t="s">
        <v>91</v>
      </c>
      <c r="M7" s="29" t="s">
        <v>14</v>
      </c>
      <c r="N7" s="29" t="s">
        <v>81</v>
      </c>
      <c r="O7" s="29" t="s">
        <v>82</v>
      </c>
      <c r="P7" s="26" t="s">
        <v>14</v>
      </c>
      <c r="Q7" s="26" t="s">
        <v>70</v>
      </c>
      <c r="R7" s="26"/>
      <c r="S7" s="26"/>
      <c r="T7" s="26"/>
      <c r="U7" s="26"/>
      <c r="V7" s="26"/>
      <c r="W7" s="26"/>
      <c r="X7" s="26"/>
      <c r="Y7" s="30">
        <f t="shared" si="0"/>
        <v>2025</v>
      </c>
      <c r="Z7" s="30">
        <f t="shared" si="1"/>
        <v>7</v>
      </c>
      <c r="AA7" s="30">
        <f t="shared" si="2"/>
        <v>28</v>
      </c>
    </row>
    <row r="8" ht="13.85" hidden="1" spans="1:27">
      <c r="A8" s="29" t="s">
        <v>92</v>
      </c>
      <c r="B8" s="27">
        <v>45880</v>
      </c>
      <c r="C8" s="27">
        <v>45880</v>
      </c>
      <c r="D8" s="26" t="s">
        <v>6</v>
      </c>
      <c r="E8" s="26" t="s">
        <v>93</v>
      </c>
      <c r="F8" s="26"/>
      <c r="G8" s="26"/>
      <c r="H8" s="26"/>
      <c r="I8" s="26">
        <v>1782</v>
      </c>
      <c r="J8" s="35">
        <v>1782</v>
      </c>
      <c r="K8" s="29" t="s">
        <v>94</v>
      </c>
      <c r="L8" s="29" t="s">
        <v>95</v>
      </c>
      <c r="M8" s="29" t="s">
        <v>14</v>
      </c>
      <c r="N8" s="29" t="s">
        <v>81</v>
      </c>
      <c r="O8" s="29" t="s">
        <v>82</v>
      </c>
      <c r="P8" s="26" t="s">
        <v>14</v>
      </c>
      <c r="Q8" s="26" t="s">
        <v>70</v>
      </c>
      <c r="R8" s="26"/>
      <c r="S8" s="26"/>
      <c r="T8" s="26"/>
      <c r="U8" s="26"/>
      <c r="V8" s="26"/>
      <c r="W8" s="26"/>
      <c r="X8" s="26"/>
      <c r="Y8" s="30">
        <f t="shared" si="0"/>
        <v>2025</v>
      </c>
      <c r="Z8" s="30">
        <f t="shared" si="1"/>
        <v>8</v>
      </c>
      <c r="AA8" s="30">
        <f t="shared" si="2"/>
        <v>11</v>
      </c>
    </row>
    <row r="9" ht="13.85" hidden="1" spans="1:27">
      <c r="A9" s="29" t="s">
        <v>96</v>
      </c>
      <c r="B9" s="27">
        <v>45889</v>
      </c>
      <c r="C9" s="27">
        <v>45889</v>
      </c>
      <c r="D9" s="26" t="s">
        <v>6</v>
      </c>
      <c r="E9" s="26" t="s">
        <v>97</v>
      </c>
      <c r="F9" s="26"/>
      <c r="G9" s="26"/>
      <c r="H9" s="26"/>
      <c r="I9" s="26">
        <v>10655.1</v>
      </c>
      <c r="J9" s="35">
        <v>10655.1</v>
      </c>
      <c r="K9" s="29" t="s">
        <v>98</v>
      </c>
      <c r="L9" s="29" t="s">
        <v>99</v>
      </c>
      <c r="M9" s="29" t="s">
        <v>14</v>
      </c>
      <c r="N9" s="29" t="s">
        <v>81</v>
      </c>
      <c r="O9" s="29" t="s">
        <v>82</v>
      </c>
      <c r="P9" s="26" t="s">
        <v>14</v>
      </c>
      <c r="Q9" s="26" t="s">
        <v>70</v>
      </c>
      <c r="R9" s="26"/>
      <c r="S9" s="26"/>
      <c r="T9" s="26"/>
      <c r="U9" s="26"/>
      <c r="V9" s="26"/>
      <c r="W9" s="26"/>
      <c r="X9" s="26"/>
      <c r="Y9" s="30">
        <f t="shared" si="0"/>
        <v>2025</v>
      </c>
      <c r="Z9" s="30">
        <f t="shared" si="1"/>
        <v>8</v>
      </c>
      <c r="AA9" s="30">
        <f t="shared" si="2"/>
        <v>20</v>
      </c>
    </row>
    <row r="10" ht="13.85" hidden="1" spans="1:27">
      <c r="A10" s="29" t="s">
        <v>100</v>
      </c>
      <c r="B10" s="27">
        <v>45889</v>
      </c>
      <c r="C10" s="27">
        <v>45889</v>
      </c>
      <c r="D10" s="26" t="s">
        <v>6</v>
      </c>
      <c r="E10" s="26" t="s">
        <v>101</v>
      </c>
      <c r="F10" s="26"/>
      <c r="G10" s="26"/>
      <c r="H10" s="26"/>
      <c r="I10" s="26">
        <v>4698.52</v>
      </c>
      <c r="J10" s="35">
        <v>4698.52</v>
      </c>
      <c r="K10" s="29" t="s">
        <v>102</v>
      </c>
      <c r="L10" s="29" t="s">
        <v>103</v>
      </c>
      <c r="M10" s="29" t="s">
        <v>14</v>
      </c>
      <c r="N10" s="29" t="s">
        <v>81</v>
      </c>
      <c r="O10" s="29" t="s">
        <v>82</v>
      </c>
      <c r="P10" s="26" t="s">
        <v>14</v>
      </c>
      <c r="Q10" s="26" t="s">
        <v>70</v>
      </c>
      <c r="R10" s="26"/>
      <c r="S10" s="26"/>
      <c r="T10" s="26"/>
      <c r="U10" s="26"/>
      <c r="V10" s="26"/>
      <c r="W10" s="26"/>
      <c r="X10" s="26"/>
      <c r="Y10" s="30">
        <f t="shared" si="0"/>
        <v>2025</v>
      </c>
      <c r="Z10" s="30">
        <f t="shared" si="1"/>
        <v>8</v>
      </c>
      <c r="AA10" s="30">
        <f t="shared" si="2"/>
        <v>20</v>
      </c>
    </row>
    <row r="11" ht="13.85" hidden="1" spans="1:27">
      <c r="A11" s="29" t="s">
        <v>104</v>
      </c>
      <c r="B11" s="27">
        <v>45888</v>
      </c>
      <c r="C11" s="27">
        <v>45888</v>
      </c>
      <c r="D11" s="26" t="s">
        <v>6</v>
      </c>
      <c r="E11" s="26" t="s">
        <v>105</v>
      </c>
      <c r="F11" s="26"/>
      <c r="G11" s="26"/>
      <c r="H11" s="26"/>
      <c r="I11" s="26">
        <v>936</v>
      </c>
      <c r="J11" s="35">
        <v>936</v>
      </c>
      <c r="K11" s="29" t="s">
        <v>98</v>
      </c>
      <c r="L11" s="26" t="s">
        <v>106</v>
      </c>
      <c r="M11" s="29" t="s">
        <v>14</v>
      </c>
      <c r="N11" s="29" t="s">
        <v>81</v>
      </c>
      <c r="O11" s="29" t="s">
        <v>82</v>
      </c>
      <c r="P11" s="26" t="s">
        <v>14</v>
      </c>
      <c r="Q11" s="26" t="s">
        <v>70</v>
      </c>
      <c r="R11" s="26"/>
      <c r="S11" s="26"/>
      <c r="T11" s="26"/>
      <c r="U11" s="26"/>
      <c r="V11" s="26"/>
      <c r="W11" s="26"/>
      <c r="X11" s="26"/>
      <c r="Y11" s="30">
        <f t="shared" si="0"/>
        <v>2025</v>
      </c>
      <c r="Z11" s="30">
        <f t="shared" si="1"/>
        <v>8</v>
      </c>
      <c r="AA11" s="30">
        <f t="shared" si="2"/>
        <v>19</v>
      </c>
    </row>
    <row r="12" ht="13.85" hidden="1" spans="1:27">
      <c r="A12" s="29" t="s">
        <v>107</v>
      </c>
      <c r="B12" s="27">
        <v>45888</v>
      </c>
      <c r="C12" s="27">
        <v>45888</v>
      </c>
      <c r="D12" s="26" t="s">
        <v>6</v>
      </c>
      <c r="E12" s="26" t="s">
        <v>108</v>
      </c>
      <c r="F12" s="26"/>
      <c r="G12" s="26"/>
      <c r="H12" s="26"/>
      <c r="I12" s="26">
        <v>311.4</v>
      </c>
      <c r="J12" s="35">
        <v>311.4</v>
      </c>
      <c r="K12" s="29" t="s">
        <v>109</v>
      </c>
      <c r="L12" s="29" t="s">
        <v>110</v>
      </c>
      <c r="M12" s="29" t="s">
        <v>14</v>
      </c>
      <c r="N12" s="29" t="s">
        <v>81</v>
      </c>
      <c r="O12" s="29" t="s">
        <v>82</v>
      </c>
      <c r="P12" s="26" t="s">
        <v>14</v>
      </c>
      <c r="Q12" s="26" t="s">
        <v>70</v>
      </c>
      <c r="R12" s="26"/>
      <c r="S12" s="26"/>
      <c r="T12" s="26"/>
      <c r="U12" s="26"/>
      <c r="V12" s="26"/>
      <c r="W12" s="26"/>
      <c r="X12" s="26"/>
      <c r="Y12" s="30">
        <f t="shared" si="0"/>
        <v>2025</v>
      </c>
      <c r="Z12" s="30">
        <f t="shared" si="1"/>
        <v>8</v>
      </c>
      <c r="AA12" s="30">
        <f t="shared" si="2"/>
        <v>19</v>
      </c>
    </row>
    <row r="13" ht="13.85" hidden="1" spans="1:27">
      <c r="A13" s="29" t="s">
        <v>111</v>
      </c>
      <c r="B13" s="27">
        <v>46001</v>
      </c>
      <c r="C13" s="27">
        <v>46002</v>
      </c>
      <c r="D13" s="26" t="s">
        <v>6</v>
      </c>
      <c r="E13" s="26" t="s">
        <v>112</v>
      </c>
      <c r="F13" s="29" t="s">
        <v>113</v>
      </c>
      <c r="G13" s="26"/>
      <c r="H13" s="26" t="s">
        <v>75</v>
      </c>
      <c r="I13" s="26">
        <v>1003.1</v>
      </c>
      <c r="J13" s="26">
        <v>100.31</v>
      </c>
      <c r="K13" s="29" t="s">
        <v>114</v>
      </c>
      <c r="L13" s="29" t="s">
        <v>111</v>
      </c>
      <c r="M13" s="29" t="s">
        <v>11</v>
      </c>
      <c r="N13" s="29" t="s">
        <v>81</v>
      </c>
      <c r="O13" s="29" t="s">
        <v>115</v>
      </c>
      <c r="P13" s="29" t="s">
        <v>11</v>
      </c>
      <c r="Q13" s="29" t="s">
        <v>70</v>
      </c>
      <c r="R13" s="26"/>
      <c r="S13" s="26"/>
      <c r="T13" s="26"/>
      <c r="U13" s="26"/>
      <c r="V13" s="26"/>
      <c r="W13" s="26"/>
      <c r="X13" s="26"/>
      <c r="Y13" s="30">
        <f t="shared" si="0"/>
        <v>2025</v>
      </c>
      <c r="Z13" s="30">
        <f t="shared" si="1"/>
        <v>12</v>
      </c>
      <c r="AA13" s="30">
        <f t="shared" si="2"/>
        <v>11</v>
      </c>
    </row>
    <row r="14" ht="13.85" hidden="1" spans="1:27">
      <c r="A14" s="29" t="s">
        <v>116</v>
      </c>
      <c r="B14" s="27">
        <v>46001</v>
      </c>
      <c r="C14" s="27">
        <v>46002</v>
      </c>
      <c r="D14" s="26" t="s">
        <v>6</v>
      </c>
      <c r="E14" s="29" t="s">
        <v>112</v>
      </c>
      <c r="F14" s="29" t="s">
        <v>117</v>
      </c>
      <c r="G14" s="26"/>
      <c r="H14" s="26" t="s">
        <v>75</v>
      </c>
      <c r="I14" s="26">
        <v>1535.9</v>
      </c>
      <c r="J14" s="26">
        <v>153.59</v>
      </c>
      <c r="K14" s="29" t="s">
        <v>118</v>
      </c>
      <c r="L14" s="29" t="s">
        <v>116</v>
      </c>
      <c r="M14" s="29" t="s">
        <v>11</v>
      </c>
      <c r="N14" s="29" t="s">
        <v>81</v>
      </c>
      <c r="O14" s="29" t="s">
        <v>115</v>
      </c>
      <c r="P14" s="29" t="s">
        <v>11</v>
      </c>
      <c r="Q14" s="29" t="s">
        <v>70</v>
      </c>
      <c r="R14" s="26"/>
      <c r="S14" s="26"/>
      <c r="T14" s="26"/>
      <c r="U14" s="26"/>
      <c r="V14" s="26"/>
      <c r="W14" s="26"/>
      <c r="X14" s="26"/>
      <c r="Y14" s="30">
        <f t="shared" si="0"/>
        <v>2025</v>
      </c>
      <c r="Z14" s="30">
        <f t="shared" si="1"/>
        <v>12</v>
      </c>
      <c r="AA14" s="30">
        <f t="shared" si="2"/>
        <v>11</v>
      </c>
    </row>
    <row r="15" ht="13.85" hidden="1" spans="1:27">
      <c r="A15" s="29" t="s">
        <v>119</v>
      </c>
      <c r="B15" s="27">
        <v>45925</v>
      </c>
      <c r="C15" s="27">
        <v>46000</v>
      </c>
      <c r="D15" s="29" t="s">
        <v>6</v>
      </c>
      <c r="E15" s="29" t="s">
        <v>120</v>
      </c>
      <c r="F15" s="29" t="s">
        <v>121</v>
      </c>
      <c r="G15" s="26"/>
      <c r="H15" s="26" t="s">
        <v>122</v>
      </c>
      <c r="I15" s="26">
        <v>23574.6</v>
      </c>
      <c r="J15" s="26">
        <v>46.19</v>
      </c>
      <c r="K15" s="29" t="s">
        <v>123</v>
      </c>
      <c r="L15" s="26" t="s">
        <v>124</v>
      </c>
      <c r="M15" s="29" t="s">
        <v>11</v>
      </c>
      <c r="N15" s="29" t="s">
        <v>81</v>
      </c>
      <c r="O15" s="29" t="s">
        <v>125</v>
      </c>
      <c r="P15" s="29" t="s">
        <v>11</v>
      </c>
      <c r="Q15" s="29" t="s">
        <v>70</v>
      </c>
      <c r="R15" s="26"/>
      <c r="S15" s="26"/>
      <c r="T15" s="26"/>
      <c r="U15" s="26"/>
      <c r="V15" s="26"/>
      <c r="W15" s="26"/>
      <c r="X15" s="26"/>
      <c r="Y15" s="30">
        <f t="shared" si="0"/>
        <v>2025</v>
      </c>
      <c r="Z15" s="30">
        <f t="shared" si="1"/>
        <v>12</v>
      </c>
      <c r="AA15" s="30">
        <f t="shared" si="2"/>
        <v>9</v>
      </c>
    </row>
    <row r="16" ht="14.6" hidden="1" spans="1:27">
      <c r="A16" s="26" t="s">
        <v>126</v>
      </c>
      <c r="B16" s="27">
        <v>45925</v>
      </c>
      <c r="C16" s="27">
        <v>46000</v>
      </c>
      <c r="D16" s="29" t="s">
        <v>6</v>
      </c>
      <c r="E16" s="29" t="s">
        <v>120</v>
      </c>
      <c r="F16" s="29" t="s">
        <v>127</v>
      </c>
      <c r="G16" s="26"/>
      <c r="H16" s="26" t="s">
        <v>67</v>
      </c>
      <c r="I16" s="26">
        <v>7965.9</v>
      </c>
      <c r="J16" s="26">
        <v>142.33</v>
      </c>
      <c r="K16" s="34"/>
      <c r="L16" s="26" t="s">
        <v>124</v>
      </c>
      <c r="M16" s="29" t="s">
        <v>11</v>
      </c>
      <c r="N16" s="29" t="s">
        <v>81</v>
      </c>
      <c r="O16" s="29" t="s">
        <v>125</v>
      </c>
      <c r="P16" s="29" t="s">
        <v>11</v>
      </c>
      <c r="Q16" s="29" t="s">
        <v>70</v>
      </c>
      <c r="R16" s="26"/>
      <c r="S16" s="26"/>
      <c r="T16" s="26"/>
      <c r="U16" s="26"/>
      <c r="V16" s="26"/>
      <c r="W16" s="26"/>
      <c r="X16" s="26"/>
      <c r="Y16" s="30">
        <f t="shared" si="0"/>
        <v>2025</v>
      </c>
      <c r="Z16" s="30">
        <f t="shared" si="1"/>
        <v>12</v>
      </c>
      <c r="AA16" s="30">
        <f t="shared" si="2"/>
        <v>9</v>
      </c>
    </row>
    <row r="17" ht="13.85" hidden="1" spans="1:27">
      <c r="A17" s="29" t="s">
        <v>128</v>
      </c>
      <c r="B17" s="27">
        <v>45980</v>
      </c>
      <c r="C17" s="27">
        <v>46002</v>
      </c>
      <c r="D17" s="29" t="s">
        <v>6</v>
      </c>
      <c r="E17" s="29" t="s">
        <v>129</v>
      </c>
      <c r="F17" s="29" t="s">
        <v>130</v>
      </c>
      <c r="G17" s="26"/>
      <c r="H17" s="26" t="s">
        <v>67</v>
      </c>
      <c r="I17" s="26">
        <v>5451.6</v>
      </c>
      <c r="J17" s="26"/>
      <c r="K17" s="29" t="s">
        <v>131</v>
      </c>
      <c r="L17" s="29" t="s">
        <v>128</v>
      </c>
      <c r="M17" s="29" t="s">
        <v>11</v>
      </c>
      <c r="N17" s="29" t="s">
        <v>81</v>
      </c>
      <c r="O17" s="29" t="s">
        <v>132</v>
      </c>
      <c r="P17" s="29" t="s">
        <v>11</v>
      </c>
      <c r="Q17" s="29" t="s">
        <v>70</v>
      </c>
      <c r="R17" s="26"/>
      <c r="S17" s="26"/>
      <c r="T17" s="26"/>
      <c r="U17" s="26"/>
      <c r="V17" s="26"/>
      <c r="W17" s="26"/>
      <c r="X17" s="26"/>
      <c r="Y17" s="30">
        <f t="shared" si="0"/>
        <v>2025</v>
      </c>
      <c r="Z17" s="30">
        <f t="shared" si="1"/>
        <v>12</v>
      </c>
      <c r="AA17" s="30">
        <f t="shared" si="2"/>
        <v>11</v>
      </c>
    </row>
    <row r="18" ht="13.85" hidden="1" spans="1:27">
      <c r="A18" s="29" t="s">
        <v>133</v>
      </c>
      <c r="B18" s="27">
        <v>45982</v>
      </c>
      <c r="C18" s="27">
        <v>46002</v>
      </c>
      <c r="D18" s="29" t="s">
        <v>6</v>
      </c>
      <c r="E18" s="29" t="s">
        <v>134</v>
      </c>
      <c r="F18" s="29" t="s">
        <v>135</v>
      </c>
      <c r="G18" s="26"/>
      <c r="H18" s="26" t="s">
        <v>67</v>
      </c>
      <c r="I18" s="26">
        <v>6649</v>
      </c>
      <c r="J18" s="26"/>
      <c r="K18" s="29" t="s">
        <v>136</v>
      </c>
      <c r="L18" s="29" t="s">
        <v>133</v>
      </c>
      <c r="M18" s="29" t="s">
        <v>11</v>
      </c>
      <c r="N18" s="29" t="s">
        <v>81</v>
      </c>
      <c r="O18" s="29" t="s">
        <v>132</v>
      </c>
      <c r="P18" s="29" t="s">
        <v>11</v>
      </c>
      <c r="Q18" s="29" t="s">
        <v>70</v>
      </c>
      <c r="R18" s="26"/>
      <c r="S18" s="26"/>
      <c r="T18" s="26"/>
      <c r="U18" s="26"/>
      <c r="V18" s="26"/>
      <c r="W18" s="26"/>
      <c r="X18" s="26"/>
      <c r="Y18" s="30">
        <f t="shared" si="0"/>
        <v>2025</v>
      </c>
      <c r="Z18" s="30">
        <f t="shared" si="1"/>
        <v>12</v>
      </c>
      <c r="AA18" s="30">
        <f t="shared" si="2"/>
        <v>11</v>
      </c>
    </row>
    <row r="19" ht="13.85" hidden="1" spans="1:27">
      <c r="A19" s="26" t="s">
        <v>137</v>
      </c>
      <c r="B19" s="27">
        <v>45985</v>
      </c>
      <c r="C19" s="27">
        <v>46002</v>
      </c>
      <c r="D19" s="29" t="s">
        <v>6</v>
      </c>
      <c r="E19" s="29" t="s">
        <v>138</v>
      </c>
      <c r="F19" s="29" t="s">
        <v>139</v>
      </c>
      <c r="G19" s="26"/>
      <c r="H19" s="26" t="s">
        <v>67</v>
      </c>
      <c r="I19" s="26">
        <v>1344.8</v>
      </c>
      <c r="J19" s="26"/>
      <c r="K19" s="29" t="s">
        <v>131</v>
      </c>
      <c r="L19" s="26" t="s">
        <v>137</v>
      </c>
      <c r="M19" s="29" t="s">
        <v>11</v>
      </c>
      <c r="N19" s="29" t="s">
        <v>81</v>
      </c>
      <c r="O19" s="29" t="s">
        <v>132</v>
      </c>
      <c r="P19" s="29" t="s">
        <v>11</v>
      </c>
      <c r="Q19" s="29" t="s">
        <v>70</v>
      </c>
      <c r="R19" s="26"/>
      <c r="S19" s="26"/>
      <c r="T19" s="26"/>
      <c r="U19" s="26"/>
      <c r="V19" s="26"/>
      <c r="W19" s="26"/>
      <c r="X19" s="26"/>
      <c r="Y19" s="30">
        <f t="shared" si="0"/>
        <v>2025</v>
      </c>
      <c r="Z19" s="30">
        <f t="shared" si="1"/>
        <v>12</v>
      </c>
      <c r="AA19" s="30">
        <f t="shared" si="2"/>
        <v>11</v>
      </c>
    </row>
    <row r="20" ht="13.85" hidden="1" spans="1:27">
      <c r="A20" s="29" t="s">
        <v>140</v>
      </c>
      <c r="B20" s="27">
        <v>45988</v>
      </c>
      <c r="C20" s="27">
        <v>46020</v>
      </c>
      <c r="D20" s="26" t="s">
        <v>6</v>
      </c>
      <c r="E20" s="29" t="s">
        <v>141</v>
      </c>
      <c r="F20" s="29" t="s">
        <v>142</v>
      </c>
      <c r="G20" s="26"/>
      <c r="H20" s="26" t="s">
        <v>75</v>
      </c>
      <c r="I20" s="29">
        <v>1967.6</v>
      </c>
      <c r="J20" s="29">
        <v>98.38</v>
      </c>
      <c r="K20" s="29" t="s">
        <v>143</v>
      </c>
      <c r="L20" s="29" t="s">
        <v>140</v>
      </c>
      <c r="M20" s="29" t="s">
        <v>11</v>
      </c>
      <c r="N20" s="29" t="s">
        <v>81</v>
      </c>
      <c r="O20" s="29" t="s">
        <v>132</v>
      </c>
      <c r="P20" s="29"/>
      <c r="Q20" s="29"/>
      <c r="R20" s="26"/>
      <c r="S20" s="26"/>
      <c r="T20" s="26"/>
      <c r="U20" s="26"/>
      <c r="V20" s="26"/>
      <c r="W20" s="26"/>
      <c r="X20" s="26"/>
      <c r="Y20" s="30">
        <f t="shared" si="0"/>
        <v>2025</v>
      </c>
      <c r="Z20" s="30">
        <f t="shared" si="1"/>
        <v>12</v>
      </c>
      <c r="AA20" s="30">
        <f t="shared" si="2"/>
        <v>29</v>
      </c>
    </row>
    <row r="21" ht="13.85" hidden="1" spans="1:27">
      <c r="A21" s="29" t="s">
        <v>144</v>
      </c>
      <c r="B21" s="27">
        <v>45979</v>
      </c>
      <c r="C21" s="31">
        <v>46002</v>
      </c>
      <c r="D21" s="29" t="s">
        <v>6</v>
      </c>
      <c r="E21" s="29" t="s">
        <v>145</v>
      </c>
      <c r="F21" s="29" t="s">
        <v>146</v>
      </c>
      <c r="G21" s="26"/>
      <c r="H21" s="26" t="s">
        <v>67</v>
      </c>
      <c r="I21" s="26">
        <v>14134.8</v>
      </c>
      <c r="J21" s="26">
        <v>706.74</v>
      </c>
      <c r="K21" s="29" t="s">
        <v>147</v>
      </c>
      <c r="L21" s="29" t="s">
        <v>144</v>
      </c>
      <c r="M21" s="29" t="s">
        <v>12</v>
      </c>
      <c r="N21" s="29" t="s">
        <v>81</v>
      </c>
      <c r="O21" s="29" t="s">
        <v>148</v>
      </c>
      <c r="P21" s="29" t="s">
        <v>81</v>
      </c>
      <c r="Q21" s="29" t="s">
        <v>70</v>
      </c>
      <c r="R21" s="29"/>
      <c r="S21" s="26"/>
      <c r="T21" s="26"/>
      <c r="U21" s="26"/>
      <c r="V21" s="26"/>
      <c r="W21" s="26"/>
      <c r="X21" s="26"/>
      <c r="Y21" s="30">
        <f t="shared" si="0"/>
        <v>2025</v>
      </c>
      <c r="Z21" s="30">
        <f t="shared" si="1"/>
        <v>12</v>
      </c>
      <c r="AA21" s="30">
        <f t="shared" si="2"/>
        <v>11</v>
      </c>
    </row>
    <row r="22" ht="13.85" hidden="1" spans="1:27">
      <c r="A22" s="29" t="s">
        <v>149</v>
      </c>
      <c r="B22" s="27">
        <v>45933</v>
      </c>
      <c r="C22" s="27">
        <v>46002</v>
      </c>
      <c r="D22" s="26" t="s">
        <v>6</v>
      </c>
      <c r="E22" s="29" t="s">
        <v>150</v>
      </c>
      <c r="F22" s="29" t="s">
        <v>151</v>
      </c>
      <c r="G22" s="26"/>
      <c r="H22" s="26" t="s">
        <v>122</v>
      </c>
      <c r="I22" s="29">
        <v>21035.21</v>
      </c>
      <c r="J22" s="26">
        <v>62.723</v>
      </c>
      <c r="K22" s="29"/>
      <c r="L22" s="26" t="s">
        <v>152</v>
      </c>
      <c r="M22" s="29" t="s">
        <v>11</v>
      </c>
      <c r="N22" s="29" t="s">
        <v>81</v>
      </c>
      <c r="O22" s="29" t="s">
        <v>125</v>
      </c>
      <c r="P22" s="29" t="s">
        <v>11</v>
      </c>
      <c r="Q22" s="29" t="s">
        <v>70</v>
      </c>
      <c r="R22" s="26"/>
      <c r="S22" s="26"/>
      <c r="T22" s="26"/>
      <c r="U22" s="26"/>
      <c r="V22" s="26"/>
      <c r="W22" s="26"/>
      <c r="X22" s="26"/>
      <c r="Y22" s="30">
        <f t="shared" si="0"/>
        <v>2025</v>
      </c>
      <c r="Z22" s="30">
        <f t="shared" si="1"/>
        <v>12</v>
      </c>
      <c r="AA22" s="30">
        <f t="shared" si="2"/>
        <v>11</v>
      </c>
    </row>
    <row r="23" ht="13.85" hidden="1" spans="1:27">
      <c r="A23" s="26" t="s">
        <v>153</v>
      </c>
      <c r="B23" s="27">
        <v>46002</v>
      </c>
      <c r="C23" s="27">
        <v>46002</v>
      </c>
      <c r="D23" s="26" t="s">
        <v>6</v>
      </c>
      <c r="E23" s="26" t="s">
        <v>154</v>
      </c>
      <c r="F23" s="29" t="s">
        <v>155</v>
      </c>
      <c r="G23" s="26"/>
      <c r="H23" s="26" t="s">
        <v>75</v>
      </c>
      <c r="I23" s="26">
        <v>18983.6</v>
      </c>
      <c r="J23" s="26">
        <v>949.18</v>
      </c>
      <c r="K23" s="36" t="s">
        <v>156</v>
      </c>
      <c r="L23" s="26" t="s">
        <v>153</v>
      </c>
      <c r="M23" s="29" t="s">
        <v>12</v>
      </c>
      <c r="N23" s="29" t="s">
        <v>81</v>
      </c>
      <c r="O23" s="29" t="s">
        <v>157</v>
      </c>
      <c r="P23" s="29" t="s">
        <v>81</v>
      </c>
      <c r="Q23" s="29" t="s">
        <v>70</v>
      </c>
      <c r="R23" s="26"/>
      <c r="S23" s="26"/>
      <c r="T23" s="26"/>
      <c r="U23" s="26"/>
      <c r="V23" s="26"/>
      <c r="W23" s="26"/>
      <c r="X23" s="26"/>
      <c r="Y23" s="30">
        <f t="shared" si="0"/>
        <v>2025</v>
      </c>
      <c r="Z23" s="30">
        <f t="shared" si="1"/>
        <v>12</v>
      </c>
      <c r="AA23" s="30">
        <f t="shared" si="2"/>
        <v>11</v>
      </c>
    </row>
    <row r="24" ht="13.85" hidden="1" spans="1:27">
      <c r="A24" s="29" t="s">
        <v>158</v>
      </c>
      <c r="B24" s="27">
        <v>45895</v>
      </c>
      <c r="C24" s="27">
        <v>45988</v>
      </c>
      <c r="D24" s="26" t="s">
        <v>6</v>
      </c>
      <c r="E24" s="29" t="s">
        <v>159</v>
      </c>
      <c r="F24" s="29" t="s">
        <v>160</v>
      </c>
      <c r="G24" s="26"/>
      <c r="H24" s="26" t="s">
        <v>75</v>
      </c>
      <c r="I24" s="29">
        <v>4801.5</v>
      </c>
      <c r="J24" s="29">
        <v>160.05</v>
      </c>
      <c r="K24" s="29" t="s">
        <v>161</v>
      </c>
      <c r="L24" s="29" t="s">
        <v>162</v>
      </c>
      <c r="M24" s="29" t="s">
        <v>12</v>
      </c>
      <c r="N24" s="29" t="s">
        <v>81</v>
      </c>
      <c r="O24" s="29" t="s">
        <v>148</v>
      </c>
      <c r="P24" s="29" t="s">
        <v>81</v>
      </c>
      <c r="Q24" s="29" t="s">
        <v>70</v>
      </c>
      <c r="R24" s="26"/>
      <c r="S24" s="26"/>
      <c r="T24" s="26"/>
      <c r="U24" s="26"/>
      <c r="V24" s="26"/>
      <c r="W24" s="26"/>
      <c r="X24" s="26"/>
      <c r="Y24" s="30">
        <f t="shared" si="0"/>
        <v>2025</v>
      </c>
      <c r="Z24" s="30">
        <f t="shared" si="1"/>
        <v>11</v>
      </c>
      <c r="AA24" s="30">
        <f t="shared" si="2"/>
        <v>27</v>
      </c>
    </row>
    <row r="25" ht="13.85" hidden="1" spans="1:27">
      <c r="A25" s="29" t="s">
        <v>163</v>
      </c>
      <c r="B25" s="31">
        <v>40703</v>
      </c>
      <c r="C25" s="27">
        <v>46000</v>
      </c>
      <c r="D25" s="29" t="s">
        <v>6</v>
      </c>
      <c r="E25" s="26" t="s">
        <v>93</v>
      </c>
      <c r="F25" s="29" t="s">
        <v>164</v>
      </c>
      <c r="G25" s="26"/>
      <c r="H25" s="26"/>
      <c r="I25" s="26"/>
      <c r="J25" s="26"/>
      <c r="K25" s="26"/>
      <c r="L25" s="26"/>
      <c r="M25" s="26"/>
      <c r="N25" s="26"/>
      <c r="O25" s="26"/>
      <c r="P25" s="26"/>
      <c r="Q25" s="26"/>
      <c r="R25" s="26"/>
      <c r="S25" s="26"/>
      <c r="T25" s="26"/>
      <c r="U25" s="26"/>
      <c r="V25" s="26"/>
      <c r="W25" s="26"/>
      <c r="X25" s="26"/>
      <c r="Y25" s="30">
        <f t="shared" si="0"/>
        <v>2025</v>
      </c>
      <c r="Z25" s="30">
        <f t="shared" si="1"/>
        <v>12</v>
      </c>
      <c r="AA25" s="30">
        <f t="shared" si="2"/>
        <v>9</v>
      </c>
    </row>
    <row r="26" ht="13.85" hidden="1" spans="1:27">
      <c r="A26" s="26" t="s">
        <v>165</v>
      </c>
      <c r="B26" s="27">
        <v>45983</v>
      </c>
      <c r="C26" s="27">
        <v>46005</v>
      </c>
      <c r="D26" s="29" t="s">
        <v>6</v>
      </c>
      <c r="E26" s="29" t="s">
        <v>166</v>
      </c>
      <c r="F26" s="26"/>
      <c r="G26" s="26"/>
      <c r="H26" s="26"/>
      <c r="I26" s="26"/>
      <c r="J26" s="26"/>
      <c r="K26" s="26"/>
      <c r="L26" s="26"/>
      <c r="M26" s="26"/>
      <c r="N26" s="26"/>
      <c r="O26" s="26"/>
      <c r="P26" s="26"/>
      <c r="Q26" s="26"/>
      <c r="R26" s="26"/>
      <c r="S26" s="26"/>
      <c r="T26" s="26"/>
      <c r="U26" s="26"/>
      <c r="V26" s="26"/>
      <c r="W26" s="26"/>
      <c r="X26" s="26"/>
      <c r="Y26" s="30">
        <f t="shared" si="0"/>
        <v>2025</v>
      </c>
      <c r="Z26" s="30">
        <f t="shared" si="1"/>
        <v>12</v>
      </c>
      <c r="AA26" s="30">
        <f t="shared" si="2"/>
        <v>14</v>
      </c>
    </row>
    <row r="27" ht="13.85" hidden="1" spans="1:27">
      <c r="A27" s="29" t="s">
        <v>167</v>
      </c>
      <c r="B27" s="27">
        <v>45975</v>
      </c>
      <c r="C27" s="27">
        <v>46005</v>
      </c>
      <c r="D27" s="29" t="s">
        <v>6</v>
      </c>
      <c r="E27" s="29" t="s">
        <v>168</v>
      </c>
      <c r="F27" s="29" t="s">
        <v>169</v>
      </c>
      <c r="G27" s="37"/>
      <c r="H27" s="37" t="s">
        <v>75</v>
      </c>
      <c r="I27" s="26">
        <v>7791</v>
      </c>
      <c r="J27" s="26">
        <v>389.55</v>
      </c>
      <c r="K27" s="26"/>
      <c r="L27" s="29" t="s">
        <v>167</v>
      </c>
      <c r="M27" s="29" t="s">
        <v>13</v>
      </c>
      <c r="N27" s="29" t="s">
        <v>81</v>
      </c>
      <c r="O27" s="29" t="s">
        <v>170</v>
      </c>
      <c r="P27" s="26"/>
      <c r="Q27" s="26"/>
      <c r="R27" s="26"/>
      <c r="S27" s="26"/>
      <c r="T27" s="26"/>
      <c r="U27" s="26"/>
      <c r="V27" s="26"/>
      <c r="W27" s="26"/>
      <c r="X27" s="26"/>
      <c r="Y27" s="30">
        <f t="shared" si="0"/>
        <v>2025</v>
      </c>
      <c r="Z27" s="30">
        <f t="shared" si="1"/>
        <v>12</v>
      </c>
      <c r="AA27" s="30">
        <f t="shared" si="2"/>
        <v>14</v>
      </c>
    </row>
    <row r="28" ht="13.85" hidden="1" spans="1:27">
      <c r="A28" s="29" t="s">
        <v>171</v>
      </c>
      <c r="B28" s="31" t="s">
        <v>172</v>
      </c>
      <c r="C28" s="27">
        <v>46006</v>
      </c>
      <c r="D28" s="29" t="s">
        <v>6</v>
      </c>
      <c r="E28" s="29" t="s">
        <v>173</v>
      </c>
      <c r="F28" s="29" t="s">
        <v>174</v>
      </c>
      <c r="G28" s="37"/>
      <c r="H28" s="37" t="s">
        <v>67</v>
      </c>
      <c r="I28" s="26">
        <v>14164.5</v>
      </c>
      <c r="J28" s="26">
        <v>472.15</v>
      </c>
      <c r="K28" s="26" t="s">
        <v>175</v>
      </c>
      <c r="L28" s="29" t="s">
        <v>171</v>
      </c>
      <c r="M28" s="29" t="s">
        <v>13</v>
      </c>
      <c r="N28" s="29" t="s">
        <v>81</v>
      </c>
      <c r="O28" s="29" t="s">
        <v>170</v>
      </c>
      <c r="P28" s="26"/>
      <c r="Q28" s="26"/>
      <c r="R28" s="26"/>
      <c r="S28" s="26"/>
      <c r="T28" s="26"/>
      <c r="U28" s="26"/>
      <c r="V28" s="26"/>
      <c r="W28" s="26"/>
      <c r="X28" s="26"/>
      <c r="Y28" s="30">
        <f t="shared" si="0"/>
        <v>2025</v>
      </c>
      <c r="Z28" s="30">
        <f t="shared" si="1"/>
        <v>12</v>
      </c>
      <c r="AA28" s="30">
        <f t="shared" si="2"/>
        <v>15</v>
      </c>
    </row>
    <row r="29" ht="13.85" hidden="1" spans="1:27">
      <c r="A29" s="29" t="s">
        <v>176</v>
      </c>
      <c r="B29" s="27">
        <v>45867</v>
      </c>
      <c r="C29" s="27">
        <v>46006</v>
      </c>
      <c r="D29" s="29" t="s">
        <v>6</v>
      </c>
      <c r="E29" s="29" t="s">
        <v>177</v>
      </c>
      <c r="F29" s="29" t="s">
        <v>178</v>
      </c>
      <c r="G29" s="29"/>
      <c r="H29" s="29" t="s">
        <v>179</v>
      </c>
      <c r="I29" s="26">
        <v>91846.45</v>
      </c>
      <c r="J29" s="26"/>
      <c r="K29" s="29" t="s">
        <v>180</v>
      </c>
      <c r="L29" s="29" t="s">
        <v>176</v>
      </c>
      <c r="M29" s="29" t="s">
        <v>11</v>
      </c>
      <c r="N29" s="29" t="s">
        <v>81</v>
      </c>
      <c r="O29" s="29" t="s">
        <v>181</v>
      </c>
      <c r="P29" s="26"/>
      <c r="Q29" s="26"/>
      <c r="R29" s="26"/>
      <c r="S29" s="26"/>
      <c r="T29" s="26"/>
      <c r="U29" s="26"/>
      <c r="V29" s="26"/>
      <c r="W29" s="26"/>
      <c r="X29" s="26"/>
      <c r="Y29" s="30">
        <f t="shared" si="0"/>
        <v>2025</v>
      </c>
      <c r="Z29" s="30">
        <f t="shared" si="1"/>
        <v>12</v>
      </c>
      <c r="AA29" s="30">
        <f t="shared" si="2"/>
        <v>15</v>
      </c>
    </row>
    <row r="30" ht="30" hidden="1" customHeight="1" spans="1:27">
      <c r="A30" s="26"/>
      <c r="B30" s="27">
        <v>46001</v>
      </c>
      <c r="C30" s="27">
        <v>46006</v>
      </c>
      <c r="D30" s="29" t="s">
        <v>6</v>
      </c>
      <c r="E30" s="29" t="s">
        <v>182</v>
      </c>
      <c r="F30" s="29" t="s">
        <v>183</v>
      </c>
      <c r="G30" s="29"/>
      <c r="H30" s="29" t="s">
        <v>98</v>
      </c>
      <c r="I30" s="26">
        <v>29949.34</v>
      </c>
      <c r="J30" s="26">
        <v>2994.934</v>
      </c>
      <c r="K30" s="29" t="s">
        <v>184</v>
      </c>
      <c r="L30" s="29" t="s">
        <v>185</v>
      </c>
      <c r="M30" s="29" t="s">
        <v>13</v>
      </c>
      <c r="N30" s="29" t="s">
        <v>81</v>
      </c>
      <c r="O30" s="29" t="s">
        <v>186</v>
      </c>
      <c r="P30" s="26"/>
      <c r="Q30" s="26"/>
      <c r="R30" s="26"/>
      <c r="S30" s="26"/>
      <c r="T30" s="26"/>
      <c r="U30" s="26"/>
      <c r="V30" s="26"/>
      <c r="W30" s="26"/>
      <c r="X30" s="26"/>
      <c r="Y30" s="30">
        <f t="shared" si="0"/>
        <v>2025</v>
      </c>
      <c r="Z30" s="30">
        <f t="shared" si="1"/>
        <v>12</v>
      </c>
      <c r="AA30" s="30">
        <f t="shared" si="2"/>
        <v>15</v>
      </c>
    </row>
    <row r="31" ht="13.85" hidden="1" spans="1:27">
      <c r="A31" s="29" t="s">
        <v>187</v>
      </c>
      <c r="B31" s="27">
        <v>45987</v>
      </c>
      <c r="C31" s="27">
        <v>46006</v>
      </c>
      <c r="D31" s="29" t="s">
        <v>6</v>
      </c>
      <c r="E31" s="29" t="s">
        <v>177</v>
      </c>
      <c r="F31" s="29" t="s">
        <v>188</v>
      </c>
      <c r="G31" s="29"/>
      <c r="H31" s="29" t="s">
        <v>189</v>
      </c>
      <c r="I31" s="26">
        <v>519.6</v>
      </c>
      <c r="J31" s="26">
        <v>0.3</v>
      </c>
      <c r="K31" s="29" t="s">
        <v>190</v>
      </c>
      <c r="L31" s="29" t="s">
        <v>187</v>
      </c>
      <c r="M31" s="29" t="s">
        <v>11</v>
      </c>
      <c r="N31" s="29" t="s">
        <v>81</v>
      </c>
      <c r="O31" s="29" t="s">
        <v>181</v>
      </c>
      <c r="P31" s="26"/>
      <c r="Q31" s="26"/>
      <c r="R31" s="26"/>
      <c r="S31" s="26"/>
      <c r="T31" s="26"/>
      <c r="U31" s="26"/>
      <c r="V31" s="26"/>
      <c r="W31" s="26"/>
      <c r="X31" s="26"/>
      <c r="Y31" s="30">
        <f t="shared" si="0"/>
        <v>2025</v>
      </c>
      <c r="Z31" s="30">
        <f t="shared" si="1"/>
        <v>12</v>
      </c>
      <c r="AA31" s="30">
        <f t="shared" si="2"/>
        <v>15</v>
      </c>
    </row>
    <row r="32" ht="13.85" hidden="1" spans="1:27">
      <c r="A32" s="29" t="s">
        <v>191</v>
      </c>
      <c r="B32" s="27">
        <v>45943</v>
      </c>
      <c r="C32" s="27">
        <v>46006</v>
      </c>
      <c r="D32" s="29" t="s">
        <v>6</v>
      </c>
      <c r="E32" s="29" t="s">
        <v>192</v>
      </c>
      <c r="F32" s="29" t="s">
        <v>193</v>
      </c>
      <c r="G32" s="37"/>
      <c r="H32" s="37" t="s">
        <v>75</v>
      </c>
      <c r="I32" s="26">
        <v>9482.4</v>
      </c>
      <c r="J32" s="26">
        <v>316.08</v>
      </c>
      <c r="K32" s="26" t="s">
        <v>194</v>
      </c>
      <c r="L32" s="29" t="s">
        <v>191</v>
      </c>
      <c r="M32" s="29" t="s">
        <v>12</v>
      </c>
      <c r="N32" s="29" t="s">
        <v>81</v>
      </c>
      <c r="O32" s="29" t="s">
        <v>148</v>
      </c>
      <c r="P32" s="29" t="s">
        <v>81</v>
      </c>
      <c r="Q32" s="29" t="s">
        <v>70</v>
      </c>
      <c r="R32" s="26"/>
      <c r="S32" s="26"/>
      <c r="T32" s="26"/>
      <c r="U32" s="26"/>
      <c r="V32" s="26"/>
      <c r="W32" s="26"/>
      <c r="X32" s="26"/>
      <c r="Y32" s="30">
        <f t="shared" si="0"/>
        <v>2025</v>
      </c>
      <c r="Z32" s="30">
        <f t="shared" si="1"/>
        <v>12</v>
      </c>
      <c r="AA32" s="30">
        <f t="shared" si="2"/>
        <v>15</v>
      </c>
    </row>
    <row r="33" ht="13.85" hidden="1" spans="1:27">
      <c r="A33" s="29" t="s">
        <v>195</v>
      </c>
      <c r="B33" s="27">
        <v>45943</v>
      </c>
      <c r="C33" s="27">
        <v>46006</v>
      </c>
      <c r="D33" s="29" t="s">
        <v>6</v>
      </c>
      <c r="E33" s="29" t="s">
        <v>192</v>
      </c>
      <c r="F33" s="29" t="s">
        <v>193</v>
      </c>
      <c r="G33" s="37"/>
      <c r="H33" s="37" t="s">
        <v>75</v>
      </c>
      <c r="I33" s="26">
        <v>7481.1</v>
      </c>
      <c r="J33" s="26">
        <v>249.37</v>
      </c>
      <c r="K33" s="26" t="s">
        <v>194</v>
      </c>
      <c r="L33" s="29" t="s">
        <v>195</v>
      </c>
      <c r="M33" s="29" t="s">
        <v>12</v>
      </c>
      <c r="N33" s="29" t="s">
        <v>81</v>
      </c>
      <c r="O33" s="29" t="s">
        <v>148</v>
      </c>
      <c r="P33" s="29" t="s">
        <v>81</v>
      </c>
      <c r="Q33" s="29" t="s">
        <v>70</v>
      </c>
      <c r="R33" s="26"/>
      <c r="S33" s="26"/>
      <c r="T33" s="26"/>
      <c r="U33" s="26"/>
      <c r="V33" s="26"/>
      <c r="W33" s="26"/>
      <c r="X33" s="26"/>
      <c r="Y33" s="30">
        <f t="shared" si="0"/>
        <v>2025</v>
      </c>
      <c r="Z33" s="30">
        <f t="shared" si="1"/>
        <v>12</v>
      </c>
      <c r="AA33" s="30">
        <f t="shared" si="2"/>
        <v>15</v>
      </c>
    </row>
    <row r="34" ht="13.85" hidden="1" spans="1:27">
      <c r="A34" s="29" t="s">
        <v>196</v>
      </c>
      <c r="B34" s="27">
        <v>45947</v>
      </c>
      <c r="C34" s="27">
        <v>46006</v>
      </c>
      <c r="D34" s="29" t="s">
        <v>6</v>
      </c>
      <c r="E34" s="29" t="s">
        <v>192</v>
      </c>
      <c r="F34" s="29" t="s">
        <v>193</v>
      </c>
      <c r="G34" s="37"/>
      <c r="H34" s="37" t="s">
        <v>75</v>
      </c>
      <c r="I34" s="26">
        <v>14221.2</v>
      </c>
      <c r="J34" s="26">
        <v>474.04</v>
      </c>
      <c r="K34" s="29" t="s">
        <v>197</v>
      </c>
      <c r="L34" s="29" t="s">
        <v>196</v>
      </c>
      <c r="M34" s="29" t="s">
        <v>12</v>
      </c>
      <c r="N34" s="29" t="s">
        <v>81</v>
      </c>
      <c r="O34" s="29" t="s">
        <v>148</v>
      </c>
      <c r="P34" s="29" t="s">
        <v>81</v>
      </c>
      <c r="Q34" s="29" t="s">
        <v>70</v>
      </c>
      <c r="R34" s="26"/>
      <c r="S34" s="26"/>
      <c r="T34" s="26"/>
      <c r="U34" s="26"/>
      <c r="V34" s="26"/>
      <c r="W34" s="26"/>
      <c r="X34" s="26"/>
      <c r="Y34" s="30">
        <f t="shared" si="0"/>
        <v>2025</v>
      </c>
      <c r="Z34" s="30">
        <f t="shared" si="1"/>
        <v>12</v>
      </c>
      <c r="AA34" s="30">
        <f t="shared" si="2"/>
        <v>15</v>
      </c>
    </row>
    <row r="35" ht="13.85" hidden="1" spans="1:27">
      <c r="A35" s="29" t="s">
        <v>198</v>
      </c>
      <c r="B35" s="27">
        <v>45943</v>
      </c>
      <c r="C35" s="27">
        <v>46006</v>
      </c>
      <c r="D35" s="29" t="s">
        <v>6</v>
      </c>
      <c r="E35" s="29" t="s">
        <v>192</v>
      </c>
      <c r="F35" s="29" t="s">
        <v>193</v>
      </c>
      <c r="G35" s="37"/>
      <c r="H35" s="37" t="s">
        <v>75</v>
      </c>
      <c r="I35" s="26">
        <v>8663.4</v>
      </c>
      <c r="J35" s="26">
        <v>288.78</v>
      </c>
      <c r="K35" s="29" t="s">
        <v>199</v>
      </c>
      <c r="L35" s="29" t="s">
        <v>198</v>
      </c>
      <c r="M35" s="29" t="s">
        <v>12</v>
      </c>
      <c r="N35" s="29" t="s">
        <v>81</v>
      </c>
      <c r="O35" s="29" t="s">
        <v>148</v>
      </c>
      <c r="P35" s="29" t="s">
        <v>81</v>
      </c>
      <c r="Q35" s="29" t="s">
        <v>70</v>
      </c>
      <c r="R35" s="26"/>
      <c r="S35" s="26"/>
      <c r="T35" s="26"/>
      <c r="U35" s="26"/>
      <c r="V35" s="26"/>
      <c r="W35" s="26"/>
      <c r="X35" s="26"/>
      <c r="Y35" s="30">
        <f t="shared" si="0"/>
        <v>2025</v>
      </c>
      <c r="Z35" s="30">
        <f t="shared" si="1"/>
        <v>12</v>
      </c>
      <c r="AA35" s="30">
        <f t="shared" si="2"/>
        <v>15</v>
      </c>
    </row>
    <row r="36" ht="13.85" hidden="1" spans="1:27">
      <c r="A36" s="29" t="s">
        <v>200</v>
      </c>
      <c r="B36" s="27">
        <v>45950</v>
      </c>
      <c r="C36" s="27">
        <v>46006</v>
      </c>
      <c r="D36" s="29" t="s">
        <v>6</v>
      </c>
      <c r="E36" s="29" t="s">
        <v>192</v>
      </c>
      <c r="F36" s="29" t="s">
        <v>193</v>
      </c>
      <c r="G36" s="37"/>
      <c r="H36" s="37" t="s">
        <v>75</v>
      </c>
      <c r="I36" s="26">
        <v>14747.1</v>
      </c>
      <c r="J36" s="26">
        <v>491.57</v>
      </c>
      <c r="K36" s="26" t="s">
        <v>201</v>
      </c>
      <c r="L36" s="29" t="s">
        <v>200</v>
      </c>
      <c r="M36" s="29" t="s">
        <v>12</v>
      </c>
      <c r="N36" s="29" t="s">
        <v>81</v>
      </c>
      <c r="O36" s="29" t="s">
        <v>148</v>
      </c>
      <c r="P36" s="29" t="s">
        <v>81</v>
      </c>
      <c r="Q36" s="29" t="s">
        <v>70</v>
      </c>
      <c r="R36" s="26"/>
      <c r="S36" s="26"/>
      <c r="T36" s="26"/>
      <c r="U36" s="26"/>
      <c r="V36" s="26"/>
      <c r="W36" s="26"/>
      <c r="X36" s="26"/>
      <c r="Y36" s="30">
        <f t="shared" si="0"/>
        <v>2025</v>
      </c>
      <c r="Z36" s="30">
        <f t="shared" si="1"/>
        <v>12</v>
      </c>
      <c r="AA36" s="30">
        <f t="shared" si="2"/>
        <v>15</v>
      </c>
    </row>
    <row r="37" ht="13.85" hidden="1" spans="1:27">
      <c r="A37" s="29" t="s">
        <v>202</v>
      </c>
      <c r="B37" s="27">
        <v>45943</v>
      </c>
      <c r="C37" s="27">
        <v>46006</v>
      </c>
      <c r="D37" s="29" t="s">
        <v>6</v>
      </c>
      <c r="E37" s="29" t="s">
        <v>192</v>
      </c>
      <c r="F37" s="29" t="s">
        <v>193</v>
      </c>
      <c r="G37" s="37"/>
      <c r="H37" s="37" t="s">
        <v>75</v>
      </c>
      <c r="I37" s="26">
        <v>11266.2</v>
      </c>
      <c r="J37" s="26">
        <v>375.54</v>
      </c>
      <c r="K37" s="26" t="s">
        <v>194</v>
      </c>
      <c r="L37" s="29" t="s">
        <v>202</v>
      </c>
      <c r="M37" s="29" t="s">
        <v>12</v>
      </c>
      <c r="N37" s="29" t="s">
        <v>81</v>
      </c>
      <c r="O37" s="29" t="s">
        <v>148</v>
      </c>
      <c r="P37" s="29" t="s">
        <v>81</v>
      </c>
      <c r="Q37" s="29" t="s">
        <v>70</v>
      </c>
      <c r="R37" s="26"/>
      <c r="S37" s="26"/>
      <c r="T37" s="26"/>
      <c r="U37" s="26"/>
      <c r="V37" s="26"/>
      <c r="W37" s="26"/>
      <c r="X37" s="26"/>
      <c r="Y37" s="30">
        <f t="shared" si="0"/>
        <v>2025</v>
      </c>
      <c r="Z37" s="30">
        <f t="shared" si="1"/>
        <v>12</v>
      </c>
      <c r="AA37" s="30">
        <f t="shared" si="2"/>
        <v>15</v>
      </c>
    </row>
    <row r="38" ht="13.85" hidden="1" spans="1:27">
      <c r="A38" s="29" t="s">
        <v>203</v>
      </c>
      <c r="B38" s="27">
        <v>45943</v>
      </c>
      <c r="C38" s="27">
        <v>46006</v>
      </c>
      <c r="D38" s="29" t="s">
        <v>6</v>
      </c>
      <c r="E38" s="29" t="s">
        <v>192</v>
      </c>
      <c r="F38" s="29" t="s">
        <v>193</v>
      </c>
      <c r="G38" s="37"/>
      <c r="H38" s="37" t="s">
        <v>75</v>
      </c>
      <c r="I38" s="26">
        <v>4800</v>
      </c>
      <c r="J38" s="26">
        <v>160</v>
      </c>
      <c r="K38" s="26" t="s">
        <v>194</v>
      </c>
      <c r="L38" s="29" t="s">
        <v>203</v>
      </c>
      <c r="M38" s="29" t="s">
        <v>12</v>
      </c>
      <c r="N38" s="29" t="s">
        <v>81</v>
      </c>
      <c r="O38" s="29" t="s">
        <v>148</v>
      </c>
      <c r="P38" s="29" t="s">
        <v>81</v>
      </c>
      <c r="Q38" s="29" t="s">
        <v>70</v>
      </c>
      <c r="R38" s="26"/>
      <c r="S38" s="26"/>
      <c r="T38" s="26"/>
      <c r="U38" s="26"/>
      <c r="V38" s="26"/>
      <c r="W38" s="26"/>
      <c r="X38" s="26"/>
      <c r="Y38" s="30">
        <f t="shared" si="0"/>
        <v>2025</v>
      </c>
      <c r="Z38" s="30">
        <f t="shared" si="1"/>
        <v>12</v>
      </c>
      <c r="AA38" s="30">
        <f t="shared" si="2"/>
        <v>15</v>
      </c>
    </row>
    <row r="39" ht="13.85" hidden="1" spans="1:27">
      <c r="A39" s="29" t="s">
        <v>204</v>
      </c>
      <c r="B39" s="27">
        <v>45943</v>
      </c>
      <c r="C39" s="27">
        <v>46006</v>
      </c>
      <c r="D39" s="29" t="s">
        <v>6</v>
      </c>
      <c r="E39" s="29" t="s">
        <v>192</v>
      </c>
      <c r="F39" s="29" t="s">
        <v>193</v>
      </c>
      <c r="G39" s="37"/>
      <c r="H39" s="37" t="s">
        <v>75</v>
      </c>
      <c r="I39" s="26">
        <v>12204</v>
      </c>
      <c r="J39" s="26">
        <v>406.8</v>
      </c>
      <c r="K39" s="26" t="s">
        <v>194</v>
      </c>
      <c r="L39" s="29" t="s">
        <v>204</v>
      </c>
      <c r="M39" s="29" t="s">
        <v>12</v>
      </c>
      <c r="N39" s="29" t="s">
        <v>81</v>
      </c>
      <c r="O39" s="29" t="s">
        <v>148</v>
      </c>
      <c r="P39" s="29" t="s">
        <v>81</v>
      </c>
      <c r="Q39" s="29" t="s">
        <v>70</v>
      </c>
      <c r="R39" s="26"/>
      <c r="S39" s="26"/>
      <c r="T39" s="26"/>
      <c r="U39" s="26"/>
      <c r="V39" s="26"/>
      <c r="W39" s="26"/>
      <c r="X39" s="26"/>
      <c r="Y39" s="30">
        <f t="shared" si="0"/>
        <v>2025</v>
      </c>
      <c r="Z39" s="30">
        <f t="shared" si="1"/>
        <v>12</v>
      </c>
      <c r="AA39" s="30">
        <f t="shared" si="2"/>
        <v>15</v>
      </c>
    </row>
    <row r="40" ht="13.85" hidden="1" spans="1:27">
      <c r="A40" s="29" t="s">
        <v>205</v>
      </c>
      <c r="B40" s="27">
        <v>45943</v>
      </c>
      <c r="C40" s="27">
        <v>46006</v>
      </c>
      <c r="D40" s="29" t="s">
        <v>6</v>
      </c>
      <c r="E40" s="29" t="s">
        <v>192</v>
      </c>
      <c r="F40" s="29" t="s">
        <v>193</v>
      </c>
      <c r="G40" s="37"/>
      <c r="H40" s="37" t="s">
        <v>75</v>
      </c>
      <c r="I40" s="26">
        <v>14578.5</v>
      </c>
      <c r="J40" s="26">
        <v>485.95</v>
      </c>
      <c r="K40" s="26" t="s">
        <v>201</v>
      </c>
      <c r="L40" s="29" t="s">
        <v>205</v>
      </c>
      <c r="M40" s="29" t="s">
        <v>12</v>
      </c>
      <c r="N40" s="29" t="s">
        <v>81</v>
      </c>
      <c r="O40" s="29" t="s">
        <v>148</v>
      </c>
      <c r="P40" s="29" t="s">
        <v>81</v>
      </c>
      <c r="Q40" s="29" t="s">
        <v>70</v>
      </c>
      <c r="R40" s="26"/>
      <c r="S40" s="26"/>
      <c r="T40" s="26"/>
      <c r="U40" s="26"/>
      <c r="V40" s="26"/>
      <c r="W40" s="26"/>
      <c r="X40" s="26"/>
      <c r="Y40" s="30">
        <f t="shared" si="0"/>
        <v>2025</v>
      </c>
      <c r="Z40" s="30">
        <f t="shared" si="1"/>
        <v>12</v>
      </c>
      <c r="AA40" s="30">
        <f t="shared" si="2"/>
        <v>15</v>
      </c>
    </row>
    <row r="41" ht="13.85" hidden="1" spans="1:27">
      <c r="A41" s="29" t="s">
        <v>206</v>
      </c>
      <c r="B41" s="27">
        <v>45946</v>
      </c>
      <c r="C41" s="27">
        <v>46006</v>
      </c>
      <c r="D41" s="29" t="s">
        <v>6</v>
      </c>
      <c r="E41" s="29" t="s">
        <v>192</v>
      </c>
      <c r="F41" s="29" t="s">
        <v>193</v>
      </c>
      <c r="G41" s="37"/>
      <c r="H41" s="37" t="s">
        <v>75</v>
      </c>
      <c r="I41" s="26">
        <v>24489</v>
      </c>
      <c r="J41" s="26">
        <v>816.3</v>
      </c>
      <c r="K41" s="26" t="s">
        <v>207</v>
      </c>
      <c r="L41" s="29" t="s">
        <v>206</v>
      </c>
      <c r="M41" s="29" t="s">
        <v>12</v>
      </c>
      <c r="N41" s="29" t="s">
        <v>81</v>
      </c>
      <c r="O41" s="29" t="s">
        <v>148</v>
      </c>
      <c r="P41" s="29" t="s">
        <v>81</v>
      </c>
      <c r="Q41" s="29" t="s">
        <v>70</v>
      </c>
      <c r="R41" s="26"/>
      <c r="S41" s="26"/>
      <c r="T41" s="26"/>
      <c r="U41" s="26"/>
      <c r="V41" s="26"/>
      <c r="W41" s="26"/>
      <c r="X41" s="26"/>
      <c r="Y41" s="30">
        <f t="shared" si="0"/>
        <v>2025</v>
      </c>
      <c r="Z41" s="30">
        <f t="shared" si="1"/>
        <v>12</v>
      </c>
      <c r="AA41" s="30">
        <f t="shared" si="2"/>
        <v>15</v>
      </c>
    </row>
    <row r="42" ht="13.85" hidden="1" spans="1:27">
      <c r="A42" s="29" t="s">
        <v>208</v>
      </c>
      <c r="B42" s="27">
        <v>45957</v>
      </c>
      <c r="C42" s="27">
        <v>46001</v>
      </c>
      <c r="D42" s="29" t="s">
        <v>6</v>
      </c>
      <c r="E42" s="29" t="s">
        <v>209</v>
      </c>
      <c r="F42" s="29" t="s">
        <v>210</v>
      </c>
      <c r="G42" s="37"/>
      <c r="H42" s="37" t="s">
        <v>67</v>
      </c>
      <c r="I42" s="26">
        <v>30382</v>
      </c>
      <c r="J42" s="26">
        <v>1500</v>
      </c>
      <c r="K42" s="29" t="s">
        <v>211</v>
      </c>
      <c r="L42" s="26" t="s">
        <v>208</v>
      </c>
      <c r="M42" s="29" t="s">
        <v>14</v>
      </c>
      <c r="N42" s="29" t="s">
        <v>81</v>
      </c>
      <c r="O42" s="29" t="s">
        <v>212</v>
      </c>
      <c r="P42" s="26"/>
      <c r="Q42" s="26"/>
      <c r="R42" s="26"/>
      <c r="S42" s="26"/>
      <c r="T42" s="26"/>
      <c r="U42" s="26"/>
      <c r="V42" s="26"/>
      <c r="W42" s="26"/>
      <c r="X42" s="26"/>
      <c r="Y42" s="30">
        <f t="shared" si="0"/>
        <v>2025</v>
      </c>
      <c r="Z42" s="30">
        <f t="shared" si="1"/>
        <v>12</v>
      </c>
      <c r="AA42" s="30">
        <f t="shared" si="2"/>
        <v>10</v>
      </c>
    </row>
    <row r="43" ht="13.85" hidden="1" spans="1:27">
      <c r="A43" s="29" t="s">
        <v>213</v>
      </c>
      <c r="B43" s="27">
        <v>45950</v>
      </c>
      <c r="C43" s="27">
        <v>45988</v>
      </c>
      <c r="D43" s="29" t="s">
        <v>6</v>
      </c>
      <c r="E43" s="26" t="s">
        <v>214</v>
      </c>
      <c r="F43" s="29" t="s">
        <v>215</v>
      </c>
      <c r="G43" s="37"/>
      <c r="H43" s="37" t="s">
        <v>67</v>
      </c>
      <c r="I43" s="26">
        <v>97622</v>
      </c>
      <c r="J43" s="26">
        <v>1952.44</v>
      </c>
      <c r="K43" s="29" t="s">
        <v>211</v>
      </c>
      <c r="L43" s="26" t="s">
        <v>216</v>
      </c>
      <c r="M43" s="29" t="s">
        <v>14</v>
      </c>
      <c r="N43" s="29" t="s">
        <v>81</v>
      </c>
      <c r="O43" s="29" t="s">
        <v>217</v>
      </c>
      <c r="P43" s="29" t="s">
        <v>81</v>
      </c>
      <c r="Q43" s="29" t="s">
        <v>70</v>
      </c>
      <c r="R43" s="26"/>
      <c r="S43" s="26"/>
      <c r="T43" s="26"/>
      <c r="U43" s="26"/>
      <c r="V43" s="26"/>
      <c r="W43" s="26"/>
      <c r="X43" s="26"/>
      <c r="Y43" s="30">
        <f t="shared" si="0"/>
        <v>2025</v>
      </c>
      <c r="Z43" s="30">
        <f t="shared" si="1"/>
        <v>11</v>
      </c>
      <c r="AA43" s="30">
        <f t="shared" si="2"/>
        <v>27</v>
      </c>
    </row>
    <row r="44" ht="13.85" hidden="1" spans="1:27">
      <c r="A44" s="29" t="s">
        <v>216</v>
      </c>
      <c r="B44" s="27">
        <v>45961</v>
      </c>
      <c r="C44" s="27">
        <v>46006</v>
      </c>
      <c r="D44" s="29" t="s">
        <v>6</v>
      </c>
      <c r="E44" s="29" t="s">
        <v>218</v>
      </c>
      <c r="F44" s="29" t="s">
        <v>219</v>
      </c>
      <c r="G44" s="26"/>
      <c r="H44" s="26"/>
      <c r="I44" s="26"/>
      <c r="J44" s="26"/>
      <c r="K44" s="26"/>
      <c r="L44" s="26"/>
      <c r="M44" s="26"/>
      <c r="N44" s="26"/>
      <c r="O44" s="26"/>
      <c r="P44" s="26"/>
      <c r="Q44" s="26"/>
      <c r="R44" s="26"/>
      <c r="S44" s="26"/>
      <c r="T44" s="26"/>
      <c r="U44" s="26"/>
      <c r="V44" s="26"/>
      <c r="W44" s="26"/>
      <c r="X44" s="26"/>
      <c r="Y44" s="30">
        <f t="shared" si="0"/>
        <v>2025</v>
      </c>
      <c r="Z44" s="30">
        <f t="shared" si="1"/>
        <v>12</v>
      </c>
      <c r="AA44" s="30">
        <f t="shared" si="2"/>
        <v>15</v>
      </c>
    </row>
    <row r="45" ht="13.85" hidden="1" spans="1:27">
      <c r="A45" s="29" t="s">
        <v>220</v>
      </c>
      <c r="B45" s="31" t="s">
        <v>221</v>
      </c>
      <c r="C45" s="27">
        <v>46000</v>
      </c>
      <c r="D45" s="29" t="s">
        <v>6</v>
      </c>
      <c r="E45" s="26" t="s">
        <v>93</v>
      </c>
      <c r="F45" s="29" t="s">
        <v>222</v>
      </c>
      <c r="G45" s="26"/>
      <c r="H45" s="26"/>
      <c r="I45" s="26"/>
      <c r="J45" s="26"/>
      <c r="K45" s="26"/>
      <c r="L45" s="26"/>
      <c r="M45" s="26"/>
      <c r="N45" s="26"/>
      <c r="O45" s="26"/>
      <c r="P45" s="26"/>
      <c r="Q45" s="26"/>
      <c r="R45" s="26"/>
      <c r="S45" s="26"/>
      <c r="T45" s="26"/>
      <c r="U45" s="26"/>
      <c r="V45" s="26"/>
      <c r="W45" s="26"/>
      <c r="X45" s="26"/>
      <c r="Y45" s="30">
        <f t="shared" si="0"/>
        <v>2025</v>
      </c>
      <c r="Z45" s="30">
        <f t="shared" si="1"/>
        <v>12</v>
      </c>
      <c r="AA45" s="30">
        <f t="shared" si="2"/>
        <v>9</v>
      </c>
    </row>
    <row r="46" ht="13.85" hidden="1" spans="1:27">
      <c r="A46" s="29" t="s">
        <v>223</v>
      </c>
      <c r="B46" s="27">
        <v>45989</v>
      </c>
      <c r="C46" s="27">
        <v>46000</v>
      </c>
      <c r="D46" s="26" t="s">
        <v>6</v>
      </c>
      <c r="E46" s="29" t="s">
        <v>224</v>
      </c>
      <c r="F46" s="29" t="s">
        <v>225</v>
      </c>
      <c r="G46" s="26"/>
      <c r="H46" s="26" t="s">
        <v>75</v>
      </c>
      <c r="I46" s="29">
        <v>32.32</v>
      </c>
      <c r="J46" s="29">
        <v>161.6</v>
      </c>
      <c r="K46" s="29" t="s">
        <v>226</v>
      </c>
      <c r="L46" s="29" t="s">
        <v>227</v>
      </c>
      <c r="M46" s="29" t="s">
        <v>15</v>
      </c>
      <c r="N46" s="29" t="s">
        <v>81</v>
      </c>
      <c r="O46" s="29" t="s">
        <v>228</v>
      </c>
      <c r="P46" s="29"/>
      <c r="Q46" s="29"/>
      <c r="R46" s="26"/>
      <c r="S46" s="26"/>
      <c r="T46" s="26"/>
      <c r="U46" s="26"/>
      <c r="V46" s="26"/>
      <c r="W46" s="26"/>
      <c r="X46" s="26"/>
      <c r="Y46" s="30">
        <f t="shared" si="0"/>
        <v>2025</v>
      </c>
      <c r="Z46" s="30">
        <f t="shared" si="1"/>
        <v>12</v>
      </c>
      <c r="AA46" s="30">
        <f t="shared" si="2"/>
        <v>9</v>
      </c>
    </row>
    <row r="47" ht="13.85" hidden="1" spans="1:27">
      <c r="A47" s="29" t="s">
        <v>229</v>
      </c>
      <c r="B47" s="27">
        <v>46001</v>
      </c>
      <c r="C47" s="27">
        <v>46007</v>
      </c>
      <c r="D47" s="26" t="s">
        <v>6</v>
      </c>
      <c r="E47" s="29" t="s">
        <v>230</v>
      </c>
      <c r="F47" s="29" t="s">
        <v>231</v>
      </c>
      <c r="G47" s="26"/>
      <c r="H47" s="26" t="s">
        <v>75</v>
      </c>
      <c r="I47" s="29">
        <v>9872.5</v>
      </c>
      <c r="J47" s="29">
        <v>233.08</v>
      </c>
      <c r="K47" s="29" t="s">
        <v>232</v>
      </c>
      <c r="L47" s="29" t="s">
        <v>229</v>
      </c>
      <c r="M47" s="29" t="s">
        <v>14</v>
      </c>
      <c r="N47" s="29" t="s">
        <v>81</v>
      </c>
      <c r="O47" s="29" t="s">
        <v>212</v>
      </c>
      <c r="P47" s="29"/>
      <c r="Q47" s="29"/>
      <c r="R47" s="26"/>
      <c r="S47" s="26"/>
      <c r="T47" s="26"/>
      <c r="U47" s="26"/>
      <c r="V47" s="26"/>
      <c r="W47" s="26"/>
      <c r="X47" s="26"/>
      <c r="Y47" s="30">
        <f t="shared" si="0"/>
        <v>2025</v>
      </c>
      <c r="Z47" s="30">
        <f t="shared" si="1"/>
        <v>12</v>
      </c>
      <c r="AA47" s="30">
        <f t="shared" si="2"/>
        <v>16</v>
      </c>
    </row>
    <row r="48" ht="13.85" hidden="1" spans="1:27">
      <c r="A48" s="29" t="s">
        <v>233</v>
      </c>
      <c r="B48" s="27">
        <v>45980</v>
      </c>
      <c r="C48" s="27">
        <v>46001</v>
      </c>
      <c r="D48" s="26" t="s">
        <v>6</v>
      </c>
      <c r="E48" s="29" t="s">
        <v>234</v>
      </c>
      <c r="F48" s="29" t="s">
        <v>235</v>
      </c>
      <c r="G48" s="26"/>
      <c r="H48" s="26" t="s">
        <v>236</v>
      </c>
      <c r="I48" s="29">
        <v>38576.65</v>
      </c>
      <c r="J48" s="29">
        <v>477.09</v>
      </c>
      <c r="K48" s="29" t="s">
        <v>237</v>
      </c>
      <c r="L48" s="29" t="s">
        <v>233</v>
      </c>
      <c r="M48" s="29" t="s">
        <v>14</v>
      </c>
      <c r="N48" s="29" t="s">
        <v>81</v>
      </c>
      <c r="O48" s="29" t="s">
        <v>238</v>
      </c>
      <c r="P48" s="29"/>
      <c r="Q48" s="29"/>
      <c r="R48" s="26"/>
      <c r="S48" s="26"/>
      <c r="T48" s="26"/>
      <c r="U48" s="26"/>
      <c r="V48" s="26"/>
      <c r="W48" s="26"/>
      <c r="X48" s="26"/>
      <c r="Y48" s="30">
        <f t="shared" si="0"/>
        <v>2025</v>
      </c>
      <c r="Z48" s="30">
        <f t="shared" si="1"/>
        <v>12</v>
      </c>
      <c r="AA48" s="30">
        <f t="shared" si="2"/>
        <v>10</v>
      </c>
    </row>
    <row r="49" ht="13.85" hidden="1" spans="1:27">
      <c r="A49" s="29" t="s">
        <v>239</v>
      </c>
      <c r="B49" s="27">
        <v>45987</v>
      </c>
      <c r="C49" s="27">
        <v>46001</v>
      </c>
      <c r="D49" s="26" t="s">
        <v>6</v>
      </c>
      <c r="E49" s="29" t="s">
        <v>234</v>
      </c>
      <c r="F49" s="29" t="s">
        <v>240</v>
      </c>
      <c r="G49" s="26"/>
      <c r="H49" s="26" t="s">
        <v>75</v>
      </c>
      <c r="I49" s="29">
        <v>5240.75</v>
      </c>
      <c r="J49" s="29">
        <v>505.74</v>
      </c>
      <c r="K49" s="29" t="s">
        <v>241</v>
      </c>
      <c r="L49" s="29" t="s">
        <v>233</v>
      </c>
      <c r="M49" s="29" t="s">
        <v>14</v>
      </c>
      <c r="N49" s="29" t="s">
        <v>81</v>
      </c>
      <c r="O49" s="29" t="s">
        <v>238</v>
      </c>
      <c r="P49" s="29"/>
      <c r="Q49" s="29"/>
      <c r="R49" s="26"/>
      <c r="S49" s="26"/>
      <c r="T49" s="26"/>
      <c r="U49" s="26"/>
      <c r="V49" s="26"/>
      <c r="W49" s="26"/>
      <c r="X49" s="26"/>
      <c r="Y49" s="30">
        <f t="shared" si="0"/>
        <v>2025</v>
      </c>
      <c r="Z49" s="30">
        <f t="shared" si="1"/>
        <v>12</v>
      </c>
      <c r="AA49" s="30">
        <f t="shared" si="2"/>
        <v>10</v>
      </c>
    </row>
    <row r="50" ht="13.85" hidden="1" spans="1:27">
      <c r="A50" s="29" t="s">
        <v>165</v>
      </c>
      <c r="B50" s="27">
        <v>45984</v>
      </c>
      <c r="C50" s="27">
        <v>46007</v>
      </c>
      <c r="D50" s="26" t="s">
        <v>6</v>
      </c>
      <c r="E50" s="29" t="s">
        <v>242</v>
      </c>
      <c r="F50" s="29" t="s">
        <v>243</v>
      </c>
      <c r="G50" s="26"/>
      <c r="H50" s="26" t="s">
        <v>75</v>
      </c>
      <c r="I50" s="29">
        <v>2224.53</v>
      </c>
      <c r="J50" s="29">
        <v>196.3</v>
      </c>
      <c r="K50" s="29" t="s">
        <v>241</v>
      </c>
      <c r="L50" s="29" t="s">
        <v>165</v>
      </c>
      <c r="M50" s="29" t="s">
        <v>14</v>
      </c>
      <c r="N50" s="29" t="s">
        <v>81</v>
      </c>
      <c r="O50" s="29" t="s">
        <v>238</v>
      </c>
      <c r="P50" s="29"/>
      <c r="Q50" s="29"/>
      <c r="R50" s="26"/>
      <c r="S50" s="26"/>
      <c r="T50" s="26"/>
      <c r="U50" s="26"/>
      <c r="V50" s="26"/>
      <c r="W50" s="26"/>
      <c r="X50" s="26"/>
      <c r="Y50" s="30">
        <f t="shared" si="0"/>
        <v>2025</v>
      </c>
      <c r="Z50" s="30">
        <f t="shared" si="1"/>
        <v>12</v>
      </c>
      <c r="AA50" s="30">
        <f t="shared" si="2"/>
        <v>16</v>
      </c>
    </row>
    <row r="51" ht="13.85" hidden="1" spans="1:27">
      <c r="A51" s="29" t="s">
        <v>244</v>
      </c>
      <c r="B51" s="27">
        <v>45960</v>
      </c>
      <c r="C51" s="27">
        <v>45994</v>
      </c>
      <c r="D51" s="26" t="s">
        <v>6</v>
      </c>
      <c r="E51" s="29" t="s">
        <v>245</v>
      </c>
      <c r="F51" s="29" t="s">
        <v>246</v>
      </c>
      <c r="G51" s="26"/>
      <c r="H51" s="26" t="s">
        <v>75</v>
      </c>
      <c r="I51" s="29">
        <v>6151.2</v>
      </c>
      <c r="J51" s="29">
        <v>102.52</v>
      </c>
      <c r="K51" s="29" t="s">
        <v>247</v>
      </c>
      <c r="L51" s="29" t="s">
        <v>244</v>
      </c>
      <c r="M51" s="29" t="s">
        <v>14</v>
      </c>
      <c r="N51" s="29" t="s">
        <v>81</v>
      </c>
      <c r="O51" s="29" t="s">
        <v>238</v>
      </c>
      <c r="P51" s="29"/>
      <c r="Q51" s="29"/>
      <c r="R51" s="26"/>
      <c r="S51" s="26"/>
      <c r="T51" s="26"/>
      <c r="U51" s="26"/>
      <c r="V51" s="26"/>
      <c r="W51" s="26"/>
      <c r="X51" s="26"/>
      <c r="Y51" s="30">
        <f t="shared" si="0"/>
        <v>2025</v>
      </c>
      <c r="Z51" s="30">
        <f t="shared" si="1"/>
        <v>12</v>
      </c>
      <c r="AA51" s="30">
        <f t="shared" si="2"/>
        <v>3</v>
      </c>
    </row>
    <row r="52" ht="13.85" hidden="1" spans="1:27">
      <c r="A52" s="29" t="s">
        <v>248</v>
      </c>
      <c r="B52" s="27">
        <v>45952</v>
      </c>
      <c r="C52" s="27">
        <v>45952</v>
      </c>
      <c r="D52" s="26" t="s">
        <v>6</v>
      </c>
      <c r="E52" s="29" t="s">
        <v>249</v>
      </c>
      <c r="F52" s="29" t="s">
        <v>250</v>
      </c>
      <c r="G52" s="26"/>
      <c r="H52" s="26" t="s">
        <v>75</v>
      </c>
      <c r="I52" s="38">
        <v>2030</v>
      </c>
      <c r="J52" s="29">
        <v>209.155</v>
      </c>
      <c r="K52" s="29" t="s">
        <v>251</v>
      </c>
      <c r="L52" s="29" t="s">
        <v>248</v>
      </c>
      <c r="M52" s="29" t="s">
        <v>14</v>
      </c>
      <c r="N52" s="29" t="s">
        <v>81</v>
      </c>
      <c r="O52" s="29" t="s">
        <v>238</v>
      </c>
      <c r="P52" s="29"/>
      <c r="Q52" s="29"/>
      <c r="R52" s="26"/>
      <c r="S52" s="26"/>
      <c r="T52" s="26"/>
      <c r="U52" s="26"/>
      <c r="V52" s="26"/>
      <c r="W52" s="26"/>
      <c r="X52" s="26"/>
      <c r="Y52" s="30">
        <f t="shared" si="0"/>
        <v>2025</v>
      </c>
      <c r="Z52" s="30">
        <f t="shared" si="1"/>
        <v>10</v>
      </c>
      <c r="AA52" s="30">
        <f t="shared" si="2"/>
        <v>22</v>
      </c>
    </row>
    <row r="53" ht="13.85" hidden="1" spans="1:27">
      <c r="A53" s="29" t="s">
        <v>252</v>
      </c>
      <c r="B53" s="27">
        <v>45916</v>
      </c>
      <c r="C53" s="27">
        <v>45916</v>
      </c>
      <c r="D53" s="26" t="s">
        <v>6</v>
      </c>
      <c r="E53" s="29" t="s">
        <v>253</v>
      </c>
      <c r="F53" s="29" t="s">
        <v>254</v>
      </c>
      <c r="G53" s="26"/>
      <c r="H53" s="26" t="s">
        <v>67</v>
      </c>
      <c r="I53" s="29">
        <v>39975.2</v>
      </c>
      <c r="J53" s="29">
        <v>699.62</v>
      </c>
      <c r="K53" s="29" t="s">
        <v>255</v>
      </c>
      <c r="L53" s="29" t="s">
        <v>252</v>
      </c>
      <c r="M53" s="29" t="s">
        <v>11</v>
      </c>
      <c r="N53" s="29"/>
      <c r="O53" s="29"/>
      <c r="P53" s="29"/>
      <c r="Q53" s="29"/>
      <c r="R53" s="26"/>
      <c r="S53" s="26"/>
      <c r="T53" s="26"/>
      <c r="U53" s="26"/>
      <c r="V53" s="26"/>
      <c r="W53" s="26"/>
      <c r="X53" s="26"/>
      <c r="Y53" s="30">
        <f t="shared" si="0"/>
        <v>2025</v>
      </c>
      <c r="Z53" s="30">
        <f t="shared" si="1"/>
        <v>9</v>
      </c>
      <c r="AA53" s="30">
        <f t="shared" si="2"/>
        <v>16</v>
      </c>
    </row>
    <row r="54" ht="13.85" hidden="1" spans="1:27">
      <c r="A54" s="29" t="s">
        <v>256</v>
      </c>
      <c r="B54" s="27">
        <v>46000</v>
      </c>
      <c r="C54" s="27">
        <v>46009</v>
      </c>
      <c r="D54" s="29" t="s">
        <v>6</v>
      </c>
      <c r="E54" s="29" t="s">
        <v>257</v>
      </c>
      <c r="F54" s="29" t="s">
        <v>258</v>
      </c>
      <c r="G54" s="26"/>
      <c r="H54" s="26" t="s">
        <v>75</v>
      </c>
      <c r="I54" s="29">
        <v>2439.9</v>
      </c>
      <c r="J54" s="29">
        <v>162.66</v>
      </c>
      <c r="K54" s="29" t="s">
        <v>259</v>
      </c>
      <c r="L54" s="29" t="s">
        <v>256</v>
      </c>
      <c r="M54" s="29" t="s">
        <v>256</v>
      </c>
      <c r="N54" s="29"/>
      <c r="O54" s="29"/>
      <c r="P54" s="29"/>
      <c r="Q54" s="29"/>
      <c r="R54" s="26"/>
      <c r="S54" s="26"/>
      <c r="T54" s="26"/>
      <c r="U54" s="26"/>
      <c r="V54" s="26"/>
      <c r="W54" s="26"/>
      <c r="X54" s="26"/>
      <c r="Y54" s="30">
        <f t="shared" si="0"/>
        <v>2025</v>
      </c>
      <c r="Z54" s="30">
        <f t="shared" si="1"/>
        <v>12</v>
      </c>
      <c r="AA54" s="30">
        <f t="shared" si="2"/>
        <v>18</v>
      </c>
    </row>
    <row r="55" ht="13.85" hidden="1" spans="1:27">
      <c r="A55" s="29" t="s">
        <v>260</v>
      </c>
      <c r="B55" s="27">
        <v>45991</v>
      </c>
      <c r="C55" s="27">
        <v>46010</v>
      </c>
      <c r="D55" s="29" t="s">
        <v>6</v>
      </c>
      <c r="E55" s="29" t="s">
        <v>261</v>
      </c>
      <c r="F55" s="29" t="s">
        <v>262</v>
      </c>
      <c r="G55" s="26"/>
      <c r="H55" s="26" t="s">
        <v>67</v>
      </c>
      <c r="I55" s="29">
        <v>14963.16</v>
      </c>
      <c r="J55" s="29">
        <v>997.544</v>
      </c>
      <c r="K55" s="29" t="s">
        <v>184</v>
      </c>
      <c r="L55" s="29" t="s">
        <v>260</v>
      </c>
      <c r="M55" s="29" t="s">
        <v>11</v>
      </c>
      <c r="N55" s="29" t="s">
        <v>81</v>
      </c>
      <c r="O55" s="29" t="s">
        <v>263</v>
      </c>
      <c r="P55" s="29"/>
      <c r="Q55" s="29"/>
      <c r="R55" s="26"/>
      <c r="S55" s="26"/>
      <c r="T55" s="26"/>
      <c r="U55" s="26"/>
      <c r="V55" s="26"/>
      <c r="W55" s="26"/>
      <c r="X55" s="26"/>
      <c r="Y55" s="30">
        <f t="shared" si="0"/>
        <v>2025</v>
      </c>
      <c r="Z55" s="30">
        <f t="shared" si="1"/>
        <v>12</v>
      </c>
      <c r="AA55" s="30">
        <f t="shared" si="2"/>
        <v>19</v>
      </c>
    </row>
    <row r="56" ht="13.85" hidden="1" spans="1:27">
      <c r="A56" s="29" t="s">
        <v>264</v>
      </c>
      <c r="B56" s="27">
        <v>46001</v>
      </c>
      <c r="C56" s="27">
        <v>46010</v>
      </c>
      <c r="D56" s="29" t="s">
        <v>6</v>
      </c>
      <c r="E56" s="29" t="s">
        <v>265</v>
      </c>
      <c r="F56" s="29" t="s">
        <v>266</v>
      </c>
      <c r="G56" s="26"/>
      <c r="H56" s="26" t="s">
        <v>67</v>
      </c>
      <c r="I56" s="29">
        <v>1617.6</v>
      </c>
      <c r="J56" s="29">
        <v>161.76</v>
      </c>
      <c r="K56" s="29" t="s">
        <v>267</v>
      </c>
      <c r="L56" s="29" t="s">
        <v>264</v>
      </c>
      <c r="M56" s="29" t="s">
        <v>11</v>
      </c>
      <c r="N56" s="29" t="s">
        <v>81</v>
      </c>
      <c r="O56" s="29" t="s">
        <v>268</v>
      </c>
      <c r="P56" s="29"/>
      <c r="Q56" s="29"/>
      <c r="R56" s="26"/>
      <c r="S56" s="26"/>
      <c r="T56" s="26"/>
      <c r="U56" s="26"/>
      <c r="V56" s="26"/>
      <c r="W56" s="26"/>
      <c r="X56" s="26"/>
      <c r="Y56" s="30">
        <f t="shared" si="0"/>
        <v>2025</v>
      </c>
      <c r="Z56" s="30">
        <f t="shared" si="1"/>
        <v>12</v>
      </c>
      <c r="AA56" s="30">
        <f t="shared" si="2"/>
        <v>19</v>
      </c>
    </row>
    <row r="57" ht="13.85" hidden="1" spans="1:27">
      <c r="A57" s="29" t="s">
        <v>269</v>
      </c>
      <c r="B57" s="27">
        <v>46001</v>
      </c>
      <c r="C57" s="27">
        <v>46010</v>
      </c>
      <c r="D57" s="29" t="s">
        <v>6</v>
      </c>
      <c r="E57" s="29" t="s">
        <v>265</v>
      </c>
      <c r="F57" s="29" t="s">
        <v>270</v>
      </c>
      <c r="G57" s="26"/>
      <c r="H57" s="26" t="s">
        <v>67</v>
      </c>
      <c r="I57" s="29">
        <v>1896.8</v>
      </c>
      <c r="J57" s="29">
        <v>189.68</v>
      </c>
      <c r="K57" s="29" t="s">
        <v>267</v>
      </c>
      <c r="L57" s="29" t="s">
        <v>269</v>
      </c>
      <c r="M57" s="29" t="s">
        <v>11</v>
      </c>
      <c r="N57" s="29" t="s">
        <v>81</v>
      </c>
      <c r="O57" s="29" t="s">
        <v>268</v>
      </c>
      <c r="P57" s="29"/>
      <c r="Q57" s="29"/>
      <c r="R57" s="26"/>
      <c r="S57" s="26"/>
      <c r="T57" s="26"/>
      <c r="U57" s="26"/>
      <c r="V57" s="26"/>
      <c r="W57" s="26"/>
      <c r="X57" s="26"/>
      <c r="Y57" s="30">
        <f t="shared" si="0"/>
        <v>2025</v>
      </c>
      <c r="Z57" s="30">
        <f t="shared" si="1"/>
        <v>12</v>
      </c>
      <c r="AA57" s="30">
        <f t="shared" si="2"/>
        <v>19</v>
      </c>
    </row>
    <row r="58" ht="13.85" hidden="1" spans="1:27">
      <c r="A58" s="29" t="s">
        <v>271</v>
      </c>
      <c r="B58" s="27">
        <v>46001</v>
      </c>
      <c r="C58" s="27">
        <v>46010</v>
      </c>
      <c r="D58" s="29" t="s">
        <v>6</v>
      </c>
      <c r="E58" s="29" t="s">
        <v>265</v>
      </c>
      <c r="F58" s="29" t="s">
        <v>272</v>
      </c>
      <c r="G58" s="26"/>
      <c r="H58" s="26" t="s">
        <v>75</v>
      </c>
      <c r="I58" s="29">
        <v>292</v>
      </c>
      <c r="J58" s="29">
        <v>29.2</v>
      </c>
      <c r="K58" s="29" t="s">
        <v>267</v>
      </c>
      <c r="L58" s="29" t="s">
        <v>271</v>
      </c>
      <c r="M58" s="29" t="s">
        <v>11</v>
      </c>
      <c r="N58" s="29" t="s">
        <v>81</v>
      </c>
      <c r="O58" s="29" t="s">
        <v>268</v>
      </c>
      <c r="P58" s="29"/>
      <c r="Q58" s="29"/>
      <c r="R58" s="26"/>
      <c r="S58" s="26"/>
      <c r="T58" s="26"/>
      <c r="U58" s="26"/>
      <c r="V58" s="26"/>
      <c r="W58" s="26"/>
      <c r="X58" s="26"/>
      <c r="Y58" s="30">
        <f t="shared" si="0"/>
        <v>2025</v>
      </c>
      <c r="Z58" s="30">
        <f t="shared" si="1"/>
        <v>12</v>
      </c>
      <c r="AA58" s="30">
        <f t="shared" si="2"/>
        <v>19</v>
      </c>
    </row>
    <row r="59" ht="13.85" hidden="1" spans="1:27">
      <c r="A59" s="29" t="s">
        <v>273</v>
      </c>
      <c r="B59" s="27">
        <v>46001</v>
      </c>
      <c r="C59" s="27">
        <v>46010</v>
      </c>
      <c r="D59" s="29" t="s">
        <v>6</v>
      </c>
      <c r="E59" s="29" t="s">
        <v>265</v>
      </c>
      <c r="F59" s="29" t="s">
        <v>274</v>
      </c>
      <c r="G59" s="26"/>
      <c r="H59" s="26" t="s">
        <v>75</v>
      </c>
      <c r="I59" s="29">
        <v>11542</v>
      </c>
      <c r="J59" s="29">
        <v>1154.2</v>
      </c>
      <c r="K59" s="29" t="s">
        <v>275</v>
      </c>
      <c r="L59" s="29" t="s">
        <v>273</v>
      </c>
      <c r="M59" s="29" t="s">
        <v>11</v>
      </c>
      <c r="N59" s="29" t="s">
        <v>81</v>
      </c>
      <c r="O59" s="29" t="s">
        <v>268</v>
      </c>
      <c r="P59" s="29"/>
      <c r="Q59" s="29"/>
      <c r="R59" s="26"/>
      <c r="S59" s="26"/>
      <c r="T59" s="26"/>
      <c r="U59" s="26"/>
      <c r="V59" s="26"/>
      <c r="W59" s="26"/>
      <c r="X59" s="26"/>
      <c r="Y59" s="30">
        <f t="shared" si="0"/>
        <v>2025</v>
      </c>
      <c r="Z59" s="30">
        <f t="shared" si="1"/>
        <v>12</v>
      </c>
      <c r="AA59" s="30">
        <f t="shared" si="2"/>
        <v>19</v>
      </c>
    </row>
    <row r="60" ht="13.85" hidden="1" spans="1:27">
      <c r="A60" s="29" t="s">
        <v>276</v>
      </c>
      <c r="B60" s="27">
        <v>46001</v>
      </c>
      <c r="C60" s="27">
        <v>46010</v>
      </c>
      <c r="D60" s="29" t="s">
        <v>6</v>
      </c>
      <c r="E60" s="29" t="s">
        <v>265</v>
      </c>
      <c r="F60" s="29" t="s">
        <v>277</v>
      </c>
      <c r="G60" s="26"/>
      <c r="H60" s="26" t="s">
        <v>67</v>
      </c>
      <c r="I60" s="29">
        <v>8239.8</v>
      </c>
      <c r="J60" s="29">
        <v>549.32</v>
      </c>
      <c r="K60" s="29" t="s">
        <v>278</v>
      </c>
      <c r="L60" s="29" t="s">
        <v>276</v>
      </c>
      <c r="M60" s="29" t="s">
        <v>11</v>
      </c>
      <c r="N60" s="29" t="s">
        <v>81</v>
      </c>
      <c r="O60" s="29" t="s">
        <v>268</v>
      </c>
      <c r="P60" s="29"/>
      <c r="Q60" s="29"/>
      <c r="R60" s="26"/>
      <c r="S60" s="26"/>
      <c r="T60" s="26"/>
      <c r="U60" s="26"/>
      <c r="V60" s="26"/>
      <c r="W60" s="26"/>
      <c r="X60" s="26"/>
      <c r="Y60" s="30">
        <f t="shared" si="0"/>
        <v>2025</v>
      </c>
      <c r="Z60" s="30">
        <f t="shared" si="1"/>
        <v>12</v>
      </c>
      <c r="AA60" s="30">
        <f t="shared" si="2"/>
        <v>19</v>
      </c>
    </row>
    <row r="61" ht="16.1" hidden="1" spans="1:27">
      <c r="A61" s="39" t="s">
        <v>279</v>
      </c>
      <c r="B61" s="27">
        <v>45920</v>
      </c>
      <c r="C61" s="27">
        <v>46010</v>
      </c>
      <c r="D61" s="29" t="s">
        <v>6</v>
      </c>
      <c r="E61" s="29" t="s">
        <v>280</v>
      </c>
      <c r="F61" s="29" t="s">
        <v>281</v>
      </c>
      <c r="G61" s="26"/>
      <c r="H61" s="26" t="s">
        <v>75</v>
      </c>
      <c r="I61" s="40">
        <v>7560.3</v>
      </c>
      <c r="J61" s="40">
        <v>252.01</v>
      </c>
      <c r="K61" s="40" t="s">
        <v>282</v>
      </c>
      <c r="L61" s="40" t="s">
        <v>279</v>
      </c>
      <c r="M61" s="29" t="s">
        <v>12</v>
      </c>
      <c r="N61" s="29" t="s">
        <v>81</v>
      </c>
      <c r="O61" s="29" t="s">
        <v>148</v>
      </c>
      <c r="P61" s="29"/>
      <c r="Q61" s="29"/>
      <c r="R61" s="26"/>
      <c r="S61" s="26"/>
      <c r="T61" s="26"/>
      <c r="U61" s="26"/>
      <c r="V61" s="26"/>
      <c r="W61" s="26"/>
      <c r="X61" s="26"/>
      <c r="Y61" s="30">
        <f t="shared" si="0"/>
        <v>2025</v>
      </c>
      <c r="Z61" s="30">
        <f t="shared" si="1"/>
        <v>12</v>
      </c>
      <c r="AA61" s="30">
        <f t="shared" si="2"/>
        <v>19</v>
      </c>
    </row>
    <row r="62" ht="16.1" hidden="1" spans="1:27">
      <c r="A62" s="29" t="s">
        <v>283</v>
      </c>
      <c r="B62" s="27">
        <v>45941</v>
      </c>
      <c r="C62" s="27">
        <v>46010</v>
      </c>
      <c r="D62" s="29" t="s">
        <v>6</v>
      </c>
      <c r="E62" s="39" t="s">
        <v>284</v>
      </c>
      <c r="F62" s="29" t="s">
        <v>285</v>
      </c>
      <c r="G62" s="26"/>
      <c r="H62" s="26" t="s">
        <v>75</v>
      </c>
      <c r="I62" s="40">
        <v>35080.4</v>
      </c>
      <c r="J62" s="40">
        <v>1754.02</v>
      </c>
      <c r="K62" s="40" t="s">
        <v>286</v>
      </c>
      <c r="L62" s="39" t="s">
        <v>283</v>
      </c>
      <c r="M62" s="29" t="s">
        <v>12</v>
      </c>
      <c r="N62" s="29" t="s">
        <v>81</v>
      </c>
      <c r="O62" s="29" t="s">
        <v>148</v>
      </c>
      <c r="P62" s="29"/>
      <c r="Q62" s="29"/>
      <c r="R62" s="26"/>
      <c r="S62" s="26"/>
      <c r="T62" s="26"/>
      <c r="U62" s="26"/>
      <c r="V62" s="26"/>
      <c r="W62" s="26"/>
      <c r="X62" s="26"/>
      <c r="Y62" s="30">
        <f t="shared" si="0"/>
        <v>2025</v>
      </c>
      <c r="Z62" s="30">
        <f t="shared" si="1"/>
        <v>12</v>
      </c>
      <c r="AA62" s="30">
        <f t="shared" si="2"/>
        <v>19</v>
      </c>
    </row>
    <row r="63" ht="13.85" hidden="1" spans="1:27">
      <c r="A63" s="29" t="s">
        <v>287</v>
      </c>
      <c r="B63" s="27">
        <v>45997</v>
      </c>
      <c r="C63" s="27">
        <v>46013</v>
      </c>
      <c r="D63" s="26" t="s">
        <v>6</v>
      </c>
      <c r="E63" s="29" t="s">
        <v>288</v>
      </c>
      <c r="F63" s="29" t="s">
        <v>289</v>
      </c>
      <c r="G63" s="26"/>
      <c r="H63" s="26" t="s">
        <v>75</v>
      </c>
      <c r="I63" s="29">
        <v>19919.16</v>
      </c>
      <c r="J63" s="29">
        <v>995.958</v>
      </c>
      <c r="K63" s="29" t="s">
        <v>290</v>
      </c>
      <c r="L63" s="29" t="s">
        <v>287</v>
      </c>
      <c r="M63" s="29" t="s">
        <v>11</v>
      </c>
      <c r="N63" s="29" t="s">
        <v>81</v>
      </c>
      <c r="O63" s="29" t="s">
        <v>125</v>
      </c>
      <c r="P63" s="29" t="s">
        <v>11</v>
      </c>
      <c r="Q63" s="29" t="s">
        <v>70</v>
      </c>
      <c r="R63" s="26"/>
      <c r="S63" s="26"/>
      <c r="T63" s="26"/>
      <c r="U63" s="26"/>
      <c r="V63" s="26"/>
      <c r="W63" s="26"/>
      <c r="X63" s="26"/>
      <c r="Y63" s="30">
        <f t="shared" si="0"/>
        <v>2025</v>
      </c>
      <c r="Z63" s="30">
        <f t="shared" si="1"/>
        <v>12</v>
      </c>
      <c r="AA63" s="30">
        <f t="shared" si="2"/>
        <v>22</v>
      </c>
    </row>
    <row r="64" ht="13.85" hidden="1" spans="1:27">
      <c r="A64" s="29" t="s">
        <v>291</v>
      </c>
      <c r="B64" s="27">
        <v>45989</v>
      </c>
      <c r="C64" s="27">
        <v>46013</v>
      </c>
      <c r="D64" s="26" t="s">
        <v>6</v>
      </c>
      <c r="E64" s="29" t="s">
        <v>292</v>
      </c>
      <c r="F64" s="29" t="s">
        <v>293</v>
      </c>
      <c r="G64" s="26"/>
      <c r="H64" s="26" t="s">
        <v>75</v>
      </c>
      <c r="I64" s="29">
        <v>5133.43</v>
      </c>
      <c r="J64" s="29">
        <v>167.16</v>
      </c>
      <c r="K64" s="29" t="s">
        <v>294</v>
      </c>
      <c r="L64" s="29" t="s">
        <v>291</v>
      </c>
      <c r="M64" s="29" t="s">
        <v>14</v>
      </c>
      <c r="N64" s="29" t="s">
        <v>81</v>
      </c>
      <c r="O64" s="29" t="s">
        <v>238</v>
      </c>
      <c r="P64" s="29"/>
      <c r="Q64" s="29"/>
      <c r="R64" s="26"/>
      <c r="S64" s="26"/>
      <c r="T64" s="26"/>
      <c r="U64" s="26"/>
      <c r="V64" s="26"/>
      <c r="W64" s="26"/>
      <c r="X64" s="26"/>
      <c r="Y64" s="30">
        <f t="shared" si="0"/>
        <v>2025</v>
      </c>
      <c r="Z64" s="30">
        <f t="shared" si="1"/>
        <v>12</v>
      </c>
      <c r="AA64" s="30">
        <f t="shared" si="2"/>
        <v>22</v>
      </c>
    </row>
    <row r="65" ht="13.85" hidden="1" spans="1:27">
      <c r="A65" s="29" t="s">
        <v>295</v>
      </c>
      <c r="B65" s="27">
        <v>45957</v>
      </c>
      <c r="C65" s="27">
        <v>46013</v>
      </c>
      <c r="D65" s="26" t="s">
        <v>6</v>
      </c>
      <c r="E65" s="29" t="s">
        <v>296</v>
      </c>
      <c r="F65" s="29" t="s">
        <v>297</v>
      </c>
      <c r="G65" s="26"/>
      <c r="H65" s="26" t="s">
        <v>75</v>
      </c>
      <c r="I65" s="29">
        <v>4898.7</v>
      </c>
      <c r="J65" s="29">
        <v>164.39</v>
      </c>
      <c r="K65" s="29" t="s">
        <v>298</v>
      </c>
      <c r="L65" s="29" t="s">
        <v>295</v>
      </c>
      <c r="M65" s="29" t="s">
        <v>14</v>
      </c>
      <c r="N65" s="29" t="s">
        <v>81</v>
      </c>
      <c r="O65" s="29" t="s">
        <v>238</v>
      </c>
      <c r="P65" s="29"/>
      <c r="Q65" s="29"/>
      <c r="R65" s="26"/>
      <c r="S65" s="26"/>
      <c r="T65" s="26"/>
      <c r="U65" s="26"/>
      <c r="V65" s="26"/>
      <c r="W65" s="26"/>
      <c r="X65" s="26"/>
      <c r="Y65" s="30">
        <f t="shared" si="0"/>
        <v>2025</v>
      </c>
      <c r="Z65" s="30">
        <f t="shared" si="1"/>
        <v>12</v>
      </c>
      <c r="AA65" s="30">
        <f t="shared" si="2"/>
        <v>22</v>
      </c>
    </row>
    <row r="66" ht="13.85" hidden="1" spans="1:27">
      <c r="A66" s="29" t="s">
        <v>299</v>
      </c>
      <c r="B66" s="27">
        <v>45981</v>
      </c>
      <c r="C66" s="27">
        <v>46014</v>
      </c>
      <c r="D66" s="26" t="s">
        <v>6</v>
      </c>
      <c r="E66" s="29" t="s">
        <v>300</v>
      </c>
      <c r="F66" s="29" t="s">
        <v>301</v>
      </c>
      <c r="G66" s="26"/>
      <c r="H66" s="26" t="s">
        <v>75</v>
      </c>
      <c r="I66" s="29">
        <v>324</v>
      </c>
      <c r="J66" s="29">
        <v>32.4</v>
      </c>
      <c r="K66" s="29" t="s">
        <v>302</v>
      </c>
      <c r="L66" s="29" t="s">
        <v>299</v>
      </c>
      <c r="M66" s="29" t="s">
        <v>11</v>
      </c>
      <c r="N66" s="29" t="s">
        <v>81</v>
      </c>
      <c r="O66" s="29" t="s">
        <v>181</v>
      </c>
      <c r="P66" s="29"/>
      <c r="Q66" s="29"/>
      <c r="R66" s="26"/>
      <c r="S66" s="26"/>
      <c r="T66" s="26"/>
      <c r="U66" s="26"/>
      <c r="V66" s="26"/>
      <c r="W66" s="26"/>
      <c r="X66" s="26"/>
      <c r="Y66" s="30">
        <f t="shared" ref="Y66:Y129" si="3">YEAR(C66)</f>
        <v>2025</v>
      </c>
      <c r="Z66" s="30">
        <f t="shared" ref="Z66:Z129" si="4">MONTH(C66)</f>
        <v>12</v>
      </c>
      <c r="AA66" s="30">
        <f t="shared" ref="AA66:AA129" si="5">DAY(C66)</f>
        <v>23</v>
      </c>
    </row>
    <row r="67" ht="17.65" hidden="1" spans="1:27">
      <c r="A67" s="41" t="s">
        <v>303</v>
      </c>
      <c r="B67" s="31" t="s">
        <v>304</v>
      </c>
      <c r="C67" s="27">
        <v>46014</v>
      </c>
      <c r="D67" s="29" t="s">
        <v>6</v>
      </c>
      <c r="E67" s="29" t="s">
        <v>305</v>
      </c>
      <c r="F67" s="29" t="s">
        <v>306</v>
      </c>
      <c r="G67" s="26"/>
      <c r="H67" s="26" t="s">
        <v>67</v>
      </c>
      <c r="I67" s="41">
        <v>21584.2</v>
      </c>
      <c r="J67" s="41">
        <v>3119.12</v>
      </c>
      <c r="K67" s="29" t="s">
        <v>307</v>
      </c>
      <c r="L67" s="41" t="s">
        <v>303</v>
      </c>
      <c r="M67" s="29" t="s">
        <v>14</v>
      </c>
      <c r="N67" s="29" t="s">
        <v>81</v>
      </c>
      <c r="O67" s="29" t="s">
        <v>308</v>
      </c>
      <c r="P67" s="29"/>
      <c r="Q67" s="29"/>
      <c r="R67" s="26"/>
      <c r="S67" s="26"/>
      <c r="T67" s="26"/>
      <c r="U67" s="26"/>
      <c r="V67" s="26"/>
      <c r="W67" s="26"/>
      <c r="X67" s="26"/>
      <c r="Y67" s="30">
        <f t="shared" si="3"/>
        <v>2025</v>
      </c>
      <c r="Z67" s="30">
        <f t="shared" si="4"/>
        <v>12</v>
      </c>
      <c r="AA67" s="30">
        <f t="shared" si="5"/>
        <v>23</v>
      </c>
    </row>
    <row r="68" ht="13.85" hidden="1" spans="1:27">
      <c r="A68" s="29" t="s">
        <v>309</v>
      </c>
      <c r="B68" s="31" t="s">
        <v>310</v>
      </c>
      <c r="C68" s="27">
        <v>46014</v>
      </c>
      <c r="D68" s="29" t="s">
        <v>6</v>
      </c>
      <c r="E68" s="29" t="s">
        <v>311</v>
      </c>
      <c r="F68" s="29" t="s">
        <v>312</v>
      </c>
      <c r="G68" s="26"/>
      <c r="H68" s="26" t="s">
        <v>75</v>
      </c>
      <c r="I68" s="42">
        <v>20202.8</v>
      </c>
      <c r="J68" s="42">
        <v>1914.88</v>
      </c>
      <c r="K68" s="29" t="s">
        <v>313</v>
      </c>
      <c r="L68" s="29" t="s">
        <v>309</v>
      </c>
      <c r="M68" s="29" t="s">
        <v>14</v>
      </c>
      <c r="N68" s="29" t="s">
        <v>81</v>
      </c>
      <c r="O68" s="29" t="s">
        <v>308</v>
      </c>
      <c r="P68" s="26"/>
      <c r="Q68" s="26"/>
      <c r="R68" s="26"/>
      <c r="S68" s="26"/>
      <c r="T68" s="26"/>
      <c r="U68" s="26"/>
      <c r="V68" s="26"/>
      <c r="W68" s="26"/>
      <c r="X68" s="26"/>
      <c r="Y68" s="30">
        <f t="shared" si="3"/>
        <v>2025</v>
      </c>
      <c r="Z68" s="30">
        <f t="shared" si="4"/>
        <v>12</v>
      </c>
      <c r="AA68" s="30">
        <f t="shared" si="5"/>
        <v>23</v>
      </c>
    </row>
    <row r="69" ht="13.85" hidden="1" spans="1:27">
      <c r="A69" s="29"/>
      <c r="B69" s="31">
        <v>46009</v>
      </c>
      <c r="C69" s="31">
        <v>46015</v>
      </c>
      <c r="D69" s="29" t="s">
        <v>6</v>
      </c>
      <c r="E69" s="29" t="s">
        <v>112</v>
      </c>
      <c r="F69" s="29" t="s">
        <v>314</v>
      </c>
      <c r="G69" s="26"/>
      <c r="H69" s="26" t="s">
        <v>315</v>
      </c>
      <c r="I69" s="29">
        <v>1457.5</v>
      </c>
      <c r="J69" s="29">
        <v>145.75</v>
      </c>
      <c r="K69" s="29" t="s">
        <v>118</v>
      </c>
      <c r="L69" s="29" t="s">
        <v>316</v>
      </c>
      <c r="M69" s="29" t="s">
        <v>11</v>
      </c>
      <c r="N69" s="29" t="s">
        <v>81</v>
      </c>
      <c r="O69" s="29" t="s">
        <v>115</v>
      </c>
      <c r="P69" s="29"/>
      <c r="Q69" s="29"/>
      <c r="R69" s="26"/>
      <c r="S69" s="26"/>
      <c r="T69" s="26"/>
      <c r="U69" s="26"/>
      <c r="V69" s="26"/>
      <c r="W69" s="26"/>
      <c r="X69" s="26"/>
      <c r="Y69" s="30">
        <f t="shared" si="3"/>
        <v>2025</v>
      </c>
      <c r="Z69" s="30">
        <f t="shared" si="4"/>
        <v>12</v>
      </c>
      <c r="AA69" s="30">
        <f t="shared" si="5"/>
        <v>24</v>
      </c>
    </row>
    <row r="70" ht="13.85" hidden="1" spans="1:27">
      <c r="A70" s="29" t="s">
        <v>317</v>
      </c>
      <c r="B70" s="31" t="s">
        <v>318</v>
      </c>
      <c r="C70" s="31">
        <v>46015</v>
      </c>
      <c r="D70" s="29" t="s">
        <v>6</v>
      </c>
      <c r="E70" s="29" t="s">
        <v>319</v>
      </c>
      <c r="F70" s="29" t="s">
        <v>320</v>
      </c>
      <c r="G70" s="26"/>
      <c r="H70" s="26" t="s">
        <v>75</v>
      </c>
      <c r="I70" s="29">
        <v>29754</v>
      </c>
      <c r="J70" s="29">
        <v>1487.7</v>
      </c>
      <c r="K70" s="29" t="s">
        <v>321</v>
      </c>
      <c r="L70" s="29" t="s">
        <v>317</v>
      </c>
      <c r="M70" s="29" t="s">
        <v>15</v>
      </c>
      <c r="N70" s="29" t="s">
        <v>81</v>
      </c>
      <c r="O70" s="29" t="s">
        <v>228</v>
      </c>
      <c r="P70" s="29"/>
      <c r="Q70" s="29"/>
      <c r="R70" s="26"/>
      <c r="S70" s="26"/>
      <c r="T70" s="26"/>
      <c r="U70" s="26"/>
      <c r="V70" s="26"/>
      <c r="W70" s="26"/>
      <c r="X70" s="26"/>
      <c r="Y70" s="30">
        <f t="shared" si="3"/>
        <v>2025</v>
      </c>
      <c r="Z70" s="30">
        <f t="shared" si="4"/>
        <v>12</v>
      </c>
      <c r="AA70" s="30">
        <f t="shared" si="5"/>
        <v>24</v>
      </c>
    </row>
    <row r="71" ht="13.85" hidden="1" spans="1:27">
      <c r="A71" s="29" t="s">
        <v>322</v>
      </c>
      <c r="B71" s="31" t="s">
        <v>323</v>
      </c>
      <c r="C71" s="27">
        <v>46016</v>
      </c>
      <c r="D71" s="29" t="s">
        <v>6</v>
      </c>
      <c r="E71" s="29" t="s">
        <v>324</v>
      </c>
      <c r="F71" s="29" t="s">
        <v>325</v>
      </c>
      <c r="G71" s="26"/>
      <c r="H71" s="26" t="s">
        <v>75</v>
      </c>
      <c r="I71" s="29">
        <v>1971.9</v>
      </c>
      <c r="J71" s="29">
        <v>100.74</v>
      </c>
      <c r="K71" s="29" t="s">
        <v>326</v>
      </c>
      <c r="L71" s="29" t="s">
        <v>309</v>
      </c>
      <c r="M71" s="29" t="s">
        <v>14</v>
      </c>
      <c r="N71" s="29" t="s">
        <v>81</v>
      </c>
      <c r="O71" s="29" t="s">
        <v>238</v>
      </c>
      <c r="P71" s="29"/>
      <c r="Q71" s="29"/>
      <c r="R71" s="26"/>
      <c r="S71" s="26"/>
      <c r="T71" s="26"/>
      <c r="U71" s="26"/>
      <c r="V71" s="26"/>
      <c r="W71" s="26"/>
      <c r="X71" s="26"/>
      <c r="Y71" s="30">
        <f t="shared" si="3"/>
        <v>2025</v>
      </c>
      <c r="Z71" s="30">
        <f t="shared" si="4"/>
        <v>12</v>
      </c>
      <c r="AA71" s="30">
        <f t="shared" si="5"/>
        <v>25</v>
      </c>
    </row>
    <row r="72" ht="13.85" hidden="1" spans="1:27">
      <c r="A72" s="29" t="s">
        <v>327</v>
      </c>
      <c r="B72" s="27">
        <v>45990</v>
      </c>
      <c r="C72" s="27">
        <v>46020</v>
      </c>
      <c r="D72" s="26" t="s">
        <v>6</v>
      </c>
      <c r="E72" s="29" t="s">
        <v>141</v>
      </c>
      <c r="F72" s="29" t="s">
        <v>328</v>
      </c>
      <c r="G72" s="26"/>
      <c r="H72" s="26" t="s">
        <v>75</v>
      </c>
      <c r="I72" s="29">
        <v>2010</v>
      </c>
      <c r="J72" s="29">
        <v>64.92</v>
      </c>
      <c r="K72" s="29" t="s">
        <v>267</v>
      </c>
      <c r="L72" s="29" t="s">
        <v>327</v>
      </c>
      <c r="M72" s="29" t="s">
        <v>11</v>
      </c>
      <c r="N72" s="29" t="s">
        <v>81</v>
      </c>
      <c r="O72" s="29" t="s">
        <v>132</v>
      </c>
      <c r="P72" s="29"/>
      <c r="Q72" s="29"/>
      <c r="R72" s="26"/>
      <c r="S72" s="26"/>
      <c r="T72" s="26"/>
      <c r="U72" s="26"/>
      <c r="V72" s="26"/>
      <c r="W72" s="26"/>
      <c r="X72" s="26"/>
      <c r="Y72" s="30">
        <f t="shared" si="3"/>
        <v>2025</v>
      </c>
      <c r="Z72" s="30">
        <f t="shared" si="4"/>
        <v>12</v>
      </c>
      <c r="AA72" s="30">
        <f t="shared" si="5"/>
        <v>29</v>
      </c>
    </row>
    <row r="73" ht="13.85" hidden="1" spans="1:27">
      <c r="A73" s="29" t="s">
        <v>329</v>
      </c>
      <c r="B73" s="27">
        <v>46005</v>
      </c>
      <c r="C73" s="27">
        <v>46017</v>
      </c>
      <c r="D73" s="26" t="s">
        <v>6</v>
      </c>
      <c r="E73" s="29" t="s">
        <v>330</v>
      </c>
      <c r="F73" s="29" t="s">
        <v>331</v>
      </c>
      <c r="G73" s="26"/>
      <c r="H73" s="26" t="s">
        <v>75</v>
      </c>
      <c r="I73" s="29">
        <v>2000.4</v>
      </c>
      <c r="J73" s="29">
        <v>200.04</v>
      </c>
      <c r="K73" s="29" t="s">
        <v>332</v>
      </c>
      <c r="L73" s="29" t="s">
        <v>329</v>
      </c>
      <c r="M73" s="29" t="s">
        <v>11</v>
      </c>
      <c r="N73" s="29" t="s">
        <v>81</v>
      </c>
      <c r="O73" s="29" t="s">
        <v>263</v>
      </c>
      <c r="P73" s="29"/>
      <c r="Q73" s="29"/>
      <c r="R73" s="26"/>
      <c r="S73" s="26"/>
      <c r="T73" s="26"/>
      <c r="U73" s="26"/>
      <c r="V73" s="26"/>
      <c r="W73" s="26"/>
      <c r="X73" s="26"/>
      <c r="Y73" s="30">
        <f t="shared" si="3"/>
        <v>2025</v>
      </c>
      <c r="Z73" s="30">
        <f t="shared" si="4"/>
        <v>12</v>
      </c>
      <c r="AA73" s="30">
        <f t="shared" si="5"/>
        <v>26</v>
      </c>
    </row>
    <row r="74" ht="13.85" spans="1:27">
      <c r="A74" s="29" t="s">
        <v>333</v>
      </c>
      <c r="B74" s="31">
        <v>45997</v>
      </c>
      <c r="C74" s="27">
        <v>46034</v>
      </c>
      <c r="D74" s="29" t="s">
        <v>6</v>
      </c>
      <c r="E74" s="29" t="s">
        <v>334</v>
      </c>
      <c r="F74" s="29" t="s">
        <v>335</v>
      </c>
      <c r="G74" s="26"/>
      <c r="H74" s="26" t="s">
        <v>75</v>
      </c>
      <c r="I74" s="29">
        <v>942.55</v>
      </c>
      <c r="J74" s="29">
        <v>26.93</v>
      </c>
      <c r="K74" s="29" t="s">
        <v>336</v>
      </c>
      <c r="L74" s="29" t="s">
        <v>333</v>
      </c>
      <c r="M74" s="29" t="s">
        <v>11</v>
      </c>
      <c r="N74" s="29" t="s">
        <v>81</v>
      </c>
      <c r="O74" s="29" t="s">
        <v>132</v>
      </c>
      <c r="P74" s="29"/>
      <c r="Q74" s="29"/>
      <c r="R74" s="26"/>
      <c r="S74" s="26"/>
      <c r="T74" s="26"/>
      <c r="U74" s="26"/>
      <c r="V74" s="26"/>
      <c r="W74" s="26"/>
      <c r="X74" s="26" t="s">
        <v>35</v>
      </c>
      <c r="Y74" s="30">
        <f t="shared" si="3"/>
        <v>2026</v>
      </c>
      <c r="Z74" s="30">
        <f t="shared" si="4"/>
        <v>1</v>
      </c>
      <c r="AA74" s="30">
        <f t="shared" si="5"/>
        <v>12</v>
      </c>
    </row>
    <row r="75" ht="13.85" hidden="1" spans="1:27">
      <c r="A75" s="29" t="s">
        <v>337</v>
      </c>
      <c r="B75" s="27">
        <v>45990</v>
      </c>
      <c r="C75" s="27">
        <v>46020</v>
      </c>
      <c r="D75" s="26" t="s">
        <v>6</v>
      </c>
      <c r="E75" s="29" t="s">
        <v>338</v>
      </c>
      <c r="F75" s="29" t="s">
        <v>339</v>
      </c>
      <c r="G75" s="26"/>
      <c r="H75" s="26" t="s">
        <v>75</v>
      </c>
      <c r="I75" s="29">
        <v>816.3</v>
      </c>
      <c r="J75" s="29">
        <v>27.21</v>
      </c>
      <c r="K75" s="29" t="s">
        <v>340</v>
      </c>
      <c r="L75" s="29" t="s">
        <v>337</v>
      </c>
      <c r="M75" s="29" t="s">
        <v>15</v>
      </c>
      <c r="N75" s="29" t="s">
        <v>81</v>
      </c>
      <c r="O75" s="29" t="s">
        <v>228</v>
      </c>
      <c r="P75" s="29"/>
      <c r="Q75" s="29"/>
      <c r="R75" s="26"/>
      <c r="S75" s="26"/>
      <c r="T75" s="26"/>
      <c r="U75" s="26"/>
      <c r="V75" s="26"/>
      <c r="W75" s="26"/>
      <c r="X75" s="26"/>
      <c r="Y75" s="30">
        <f t="shared" si="3"/>
        <v>2025</v>
      </c>
      <c r="Z75" s="30">
        <f t="shared" si="4"/>
        <v>12</v>
      </c>
      <c r="AA75" s="30">
        <f t="shared" si="5"/>
        <v>29</v>
      </c>
    </row>
    <row r="76" ht="13.85" hidden="1" spans="1:27">
      <c r="A76" s="29" t="s">
        <v>341</v>
      </c>
      <c r="B76" s="27">
        <v>45994</v>
      </c>
      <c r="C76" s="27">
        <v>46021</v>
      </c>
      <c r="D76" s="26" t="s">
        <v>6</v>
      </c>
      <c r="E76" s="29" t="s">
        <v>342</v>
      </c>
      <c r="F76" s="29" t="s">
        <v>343</v>
      </c>
      <c r="G76" s="26"/>
      <c r="H76" s="26" t="s">
        <v>122</v>
      </c>
      <c r="I76" s="29">
        <v>10096.2</v>
      </c>
      <c r="J76" s="29">
        <v>4.26</v>
      </c>
      <c r="K76" s="29" t="s">
        <v>344</v>
      </c>
      <c r="L76" s="29" t="s">
        <v>341</v>
      </c>
      <c r="M76" s="29" t="s">
        <v>12</v>
      </c>
      <c r="N76" s="29" t="s">
        <v>81</v>
      </c>
      <c r="O76" s="29" t="s">
        <v>345</v>
      </c>
      <c r="P76" s="29"/>
      <c r="Q76" s="29"/>
      <c r="R76" s="26"/>
      <c r="S76" s="26"/>
      <c r="T76" s="26"/>
      <c r="U76" s="26"/>
      <c r="V76" s="26"/>
      <c r="W76" s="26"/>
      <c r="X76" s="26"/>
      <c r="Y76" s="30">
        <f t="shared" si="3"/>
        <v>2025</v>
      </c>
      <c r="Z76" s="30">
        <f t="shared" si="4"/>
        <v>12</v>
      </c>
      <c r="AA76" s="30">
        <f t="shared" si="5"/>
        <v>30</v>
      </c>
    </row>
    <row r="77" ht="16.1" spans="1:27">
      <c r="A77" s="29" t="s">
        <v>346</v>
      </c>
      <c r="B77" s="27">
        <v>46010</v>
      </c>
      <c r="C77" s="27">
        <v>46027</v>
      </c>
      <c r="D77" s="29" t="s">
        <v>6</v>
      </c>
      <c r="E77" s="29" t="s">
        <v>347</v>
      </c>
      <c r="F77" s="43" t="s">
        <v>348</v>
      </c>
      <c r="G77" s="26"/>
      <c r="H77" s="26" t="s">
        <v>75</v>
      </c>
      <c r="I77" s="29">
        <v>23556.96</v>
      </c>
      <c r="J77" s="29">
        <v>996.818</v>
      </c>
      <c r="K77" s="29" t="s">
        <v>349</v>
      </c>
      <c r="L77" s="29" t="s">
        <v>346</v>
      </c>
      <c r="M77" s="29" t="s">
        <v>11</v>
      </c>
      <c r="N77" s="29" t="s">
        <v>81</v>
      </c>
      <c r="O77" s="29" t="s">
        <v>350</v>
      </c>
      <c r="P77" s="29"/>
      <c r="Q77" s="29"/>
      <c r="R77" s="26"/>
      <c r="S77" s="26"/>
      <c r="T77" s="26"/>
      <c r="U77" s="26"/>
      <c r="V77" s="26"/>
      <c r="W77" s="26"/>
      <c r="X77" s="26" t="s">
        <v>35</v>
      </c>
      <c r="Y77" s="30">
        <f t="shared" si="3"/>
        <v>2026</v>
      </c>
      <c r="Z77" s="30">
        <f t="shared" si="4"/>
        <v>1</v>
      </c>
      <c r="AA77" s="30">
        <f t="shared" si="5"/>
        <v>5</v>
      </c>
    </row>
    <row r="78" ht="13.85" spans="1:27">
      <c r="A78" s="29"/>
      <c r="B78" s="27">
        <v>46008</v>
      </c>
      <c r="C78" s="27">
        <v>46029</v>
      </c>
      <c r="D78" s="29" t="s">
        <v>6</v>
      </c>
      <c r="E78" s="29" t="s">
        <v>351</v>
      </c>
      <c r="F78" s="29" t="s">
        <v>352</v>
      </c>
      <c r="G78" s="26"/>
      <c r="H78" s="26" t="s">
        <v>75</v>
      </c>
      <c r="I78" s="29">
        <v>7786.5</v>
      </c>
      <c r="J78" s="29">
        <v>311.46</v>
      </c>
      <c r="K78" s="29" t="s">
        <v>353</v>
      </c>
      <c r="L78" s="29" t="s">
        <v>354</v>
      </c>
      <c r="M78" s="29" t="s">
        <v>13</v>
      </c>
      <c r="N78" s="29" t="s">
        <v>81</v>
      </c>
      <c r="O78" s="29" t="s">
        <v>355</v>
      </c>
      <c r="P78" s="29"/>
      <c r="Q78" s="29"/>
      <c r="R78" s="26"/>
      <c r="S78" s="26"/>
      <c r="T78" s="26"/>
      <c r="U78" s="26"/>
      <c r="V78" s="26"/>
      <c r="W78" s="26"/>
      <c r="X78" s="26" t="s">
        <v>35</v>
      </c>
      <c r="Y78" s="30">
        <f t="shared" si="3"/>
        <v>2026</v>
      </c>
      <c r="Z78" s="30">
        <f t="shared" si="4"/>
        <v>1</v>
      </c>
      <c r="AA78" s="30">
        <f t="shared" si="5"/>
        <v>7</v>
      </c>
    </row>
    <row r="79" ht="13.85" hidden="1" spans="1:27">
      <c r="A79" s="29" t="s">
        <v>356</v>
      </c>
      <c r="B79" s="27">
        <v>46020</v>
      </c>
      <c r="C79" s="27">
        <v>46030</v>
      </c>
      <c r="D79" s="29" t="s">
        <v>6</v>
      </c>
      <c r="E79" s="29" t="s">
        <v>357</v>
      </c>
      <c r="F79" s="29" t="s">
        <v>358</v>
      </c>
      <c r="G79" s="26"/>
      <c r="H79" s="26" t="s">
        <v>67</v>
      </c>
      <c r="I79" s="29">
        <v>2011.22</v>
      </c>
      <c r="J79" s="29">
        <v>53.85</v>
      </c>
      <c r="K79" s="29" t="s">
        <v>359</v>
      </c>
      <c r="L79" s="29" t="s">
        <v>356</v>
      </c>
      <c r="M79" s="29" t="s">
        <v>11</v>
      </c>
      <c r="N79" s="29" t="s">
        <v>81</v>
      </c>
      <c r="O79" s="29" t="s">
        <v>181</v>
      </c>
      <c r="P79" s="29"/>
      <c r="Q79" s="29"/>
      <c r="R79" s="26"/>
      <c r="S79" s="26"/>
      <c r="T79" s="26"/>
      <c r="U79" s="26"/>
      <c r="V79" s="26"/>
      <c r="W79" s="26"/>
      <c r="X79" s="26" t="s">
        <v>37</v>
      </c>
      <c r="Y79" s="30">
        <f t="shared" si="3"/>
        <v>2026</v>
      </c>
      <c r="Z79" s="30">
        <f t="shared" si="4"/>
        <v>1</v>
      </c>
      <c r="AA79" s="30">
        <f t="shared" si="5"/>
        <v>8</v>
      </c>
    </row>
    <row r="80" ht="13.85" spans="1:27">
      <c r="A80" s="29"/>
      <c r="B80" s="27">
        <v>46024</v>
      </c>
      <c r="C80" s="27">
        <v>46031</v>
      </c>
      <c r="D80" s="29" t="s">
        <v>6</v>
      </c>
      <c r="E80" s="29" t="s">
        <v>360</v>
      </c>
      <c r="F80" s="29" t="s">
        <v>361</v>
      </c>
      <c r="G80" s="26"/>
      <c r="H80" s="26" t="s">
        <v>75</v>
      </c>
      <c r="I80" s="29">
        <v>1979</v>
      </c>
      <c r="J80" s="29">
        <v>98.85</v>
      </c>
      <c r="K80" s="29" t="s">
        <v>362</v>
      </c>
      <c r="L80" s="29" t="s">
        <v>363</v>
      </c>
      <c r="M80" s="29" t="s">
        <v>12</v>
      </c>
      <c r="N80" s="29" t="s">
        <v>81</v>
      </c>
      <c r="O80" s="29" t="s">
        <v>345</v>
      </c>
      <c r="P80" s="29"/>
      <c r="Q80" s="29"/>
      <c r="R80" s="26"/>
      <c r="S80" s="26"/>
      <c r="T80" s="26"/>
      <c r="U80" s="26"/>
      <c r="V80" s="26"/>
      <c r="W80" s="26"/>
      <c r="X80" s="26" t="s">
        <v>35</v>
      </c>
      <c r="Y80" s="30">
        <f t="shared" si="3"/>
        <v>2026</v>
      </c>
      <c r="Z80" s="30">
        <f t="shared" si="4"/>
        <v>1</v>
      </c>
      <c r="AA80" s="30">
        <f t="shared" si="5"/>
        <v>9</v>
      </c>
    </row>
    <row r="81" ht="13.85" hidden="1" spans="1:27">
      <c r="A81" s="29" t="s">
        <v>364</v>
      </c>
      <c r="B81" s="27">
        <v>46016</v>
      </c>
      <c r="C81" s="27">
        <v>46016</v>
      </c>
      <c r="D81" s="26" t="s">
        <v>6</v>
      </c>
      <c r="E81" s="29" t="s">
        <v>177</v>
      </c>
      <c r="F81" s="29" t="s">
        <v>365</v>
      </c>
      <c r="G81" s="26"/>
      <c r="H81" s="26" t="s">
        <v>236</v>
      </c>
      <c r="I81" s="29">
        <v>2521.5</v>
      </c>
      <c r="J81" s="29">
        <v>1.025</v>
      </c>
      <c r="K81" s="29" t="s">
        <v>366</v>
      </c>
      <c r="L81" s="29" t="s">
        <v>364</v>
      </c>
      <c r="M81" s="29" t="s">
        <v>11</v>
      </c>
      <c r="N81" s="29" t="s">
        <v>81</v>
      </c>
      <c r="O81" s="29" t="s">
        <v>132</v>
      </c>
      <c r="P81" s="29"/>
      <c r="Q81" s="29"/>
      <c r="R81" s="26"/>
      <c r="S81" s="26"/>
      <c r="T81" s="26"/>
      <c r="U81" s="26"/>
      <c r="V81" s="26"/>
      <c r="W81" s="26"/>
      <c r="X81" s="26"/>
      <c r="Y81" s="30">
        <f t="shared" si="3"/>
        <v>2025</v>
      </c>
      <c r="Z81" s="30">
        <f t="shared" si="4"/>
        <v>12</v>
      </c>
      <c r="AA81" s="30">
        <f t="shared" si="5"/>
        <v>25</v>
      </c>
    </row>
    <row r="82" ht="13.85" spans="1:27">
      <c r="A82" s="29" t="s">
        <v>367</v>
      </c>
      <c r="B82" s="31" t="s">
        <v>368</v>
      </c>
      <c r="C82" s="27">
        <v>46065</v>
      </c>
      <c r="D82" s="29" t="s">
        <v>6</v>
      </c>
      <c r="E82" s="29" t="s">
        <v>369</v>
      </c>
      <c r="F82" s="29" t="s">
        <v>370</v>
      </c>
      <c r="G82" s="26"/>
      <c r="H82" s="26" t="s">
        <v>75</v>
      </c>
      <c r="I82" s="29">
        <v>2345.24</v>
      </c>
      <c r="J82" s="29">
        <v>83.29</v>
      </c>
      <c r="K82" s="29" t="s">
        <v>371</v>
      </c>
      <c r="L82" s="29" t="s">
        <v>367</v>
      </c>
      <c r="M82" s="29" t="s">
        <v>14</v>
      </c>
      <c r="N82" s="29" t="s">
        <v>81</v>
      </c>
      <c r="O82" s="29" t="s">
        <v>308</v>
      </c>
      <c r="P82" s="29"/>
      <c r="Q82" s="29"/>
      <c r="R82" s="26"/>
      <c r="S82" s="26"/>
      <c r="T82" s="26"/>
      <c r="U82" s="26"/>
      <c r="V82" s="26"/>
      <c r="W82" s="26"/>
      <c r="X82" s="26" t="s">
        <v>35</v>
      </c>
      <c r="Y82" s="30">
        <f t="shared" si="3"/>
        <v>2026</v>
      </c>
      <c r="Z82" s="30">
        <f t="shared" si="4"/>
        <v>2</v>
      </c>
      <c r="AA82" s="30">
        <f t="shared" si="5"/>
        <v>12</v>
      </c>
    </row>
    <row r="83" ht="13.85" spans="1:27">
      <c r="A83" s="29" t="s">
        <v>372</v>
      </c>
      <c r="B83" s="31">
        <v>46022</v>
      </c>
      <c r="C83" s="27">
        <v>46030</v>
      </c>
      <c r="D83" s="29" t="s">
        <v>6</v>
      </c>
      <c r="E83" s="29" t="s">
        <v>265</v>
      </c>
      <c r="F83" s="29" t="s">
        <v>373</v>
      </c>
      <c r="G83" s="26"/>
      <c r="H83" s="26" t="s">
        <v>75</v>
      </c>
      <c r="I83" s="29">
        <v>4887</v>
      </c>
      <c r="J83" s="29">
        <v>488.7</v>
      </c>
      <c r="K83" s="29" t="s">
        <v>267</v>
      </c>
      <c r="L83" s="29" t="s">
        <v>372</v>
      </c>
      <c r="M83" s="29" t="s">
        <v>11</v>
      </c>
      <c r="N83" s="29" t="s">
        <v>81</v>
      </c>
      <c r="O83" s="29" t="s">
        <v>268</v>
      </c>
      <c r="P83" s="29"/>
      <c r="Q83" s="29"/>
      <c r="R83" s="26"/>
      <c r="S83" s="26"/>
      <c r="T83" s="26"/>
      <c r="U83" s="26"/>
      <c r="V83" s="26"/>
      <c r="W83" s="26"/>
      <c r="X83" s="26" t="s">
        <v>35</v>
      </c>
      <c r="Y83" s="30">
        <f t="shared" si="3"/>
        <v>2026</v>
      </c>
      <c r="Z83" s="30">
        <f t="shared" si="4"/>
        <v>1</v>
      </c>
      <c r="AA83" s="30">
        <f t="shared" si="5"/>
        <v>8</v>
      </c>
    </row>
    <row r="84" ht="13.85" spans="1:27">
      <c r="A84" s="29" t="s">
        <v>374</v>
      </c>
      <c r="B84" s="31">
        <v>46022</v>
      </c>
      <c r="C84" s="27">
        <v>46030</v>
      </c>
      <c r="D84" s="29" t="s">
        <v>6</v>
      </c>
      <c r="E84" s="29" t="s">
        <v>265</v>
      </c>
      <c r="F84" s="29" t="s">
        <v>375</v>
      </c>
      <c r="G84" s="26"/>
      <c r="H84" s="26" t="s">
        <v>75</v>
      </c>
      <c r="I84" s="29">
        <v>3600.4</v>
      </c>
      <c r="J84" s="29">
        <v>360.04</v>
      </c>
      <c r="K84" s="29" t="s">
        <v>376</v>
      </c>
      <c r="L84" s="29" t="s">
        <v>374</v>
      </c>
      <c r="M84" s="29" t="s">
        <v>11</v>
      </c>
      <c r="N84" s="29" t="s">
        <v>81</v>
      </c>
      <c r="O84" s="29" t="s">
        <v>268</v>
      </c>
      <c r="P84" s="29"/>
      <c r="Q84" s="29"/>
      <c r="R84" s="26"/>
      <c r="S84" s="26"/>
      <c r="T84" s="26"/>
      <c r="U84" s="26"/>
      <c r="V84" s="26"/>
      <c r="W84" s="26"/>
      <c r="X84" s="26" t="s">
        <v>35</v>
      </c>
      <c r="Y84" s="30">
        <f t="shared" si="3"/>
        <v>2026</v>
      </c>
      <c r="Z84" s="30">
        <f t="shared" si="4"/>
        <v>1</v>
      </c>
      <c r="AA84" s="30">
        <f t="shared" si="5"/>
        <v>8</v>
      </c>
    </row>
    <row r="85" ht="13.85" spans="1:27">
      <c r="A85" s="29" t="s">
        <v>377</v>
      </c>
      <c r="B85" s="31">
        <v>46022</v>
      </c>
      <c r="C85" s="27">
        <v>46030</v>
      </c>
      <c r="D85" s="29" t="s">
        <v>6</v>
      </c>
      <c r="E85" s="29" t="s">
        <v>265</v>
      </c>
      <c r="F85" s="29" t="s">
        <v>378</v>
      </c>
      <c r="G85" s="26"/>
      <c r="H85" s="26" t="s">
        <v>75</v>
      </c>
      <c r="I85" s="29">
        <v>11254.2</v>
      </c>
      <c r="J85" s="29">
        <v>375.14</v>
      </c>
      <c r="K85" s="29" t="s">
        <v>379</v>
      </c>
      <c r="L85" s="29" t="s">
        <v>377</v>
      </c>
      <c r="M85" s="29" t="s">
        <v>11</v>
      </c>
      <c r="N85" s="29" t="s">
        <v>81</v>
      </c>
      <c r="O85" s="29" t="s">
        <v>268</v>
      </c>
      <c r="P85" s="29"/>
      <c r="Q85" s="29"/>
      <c r="R85" s="26"/>
      <c r="S85" s="26"/>
      <c r="T85" s="26"/>
      <c r="U85" s="26"/>
      <c r="V85" s="26"/>
      <c r="W85" s="26"/>
      <c r="X85" s="26" t="s">
        <v>35</v>
      </c>
      <c r="Y85" s="30">
        <f t="shared" si="3"/>
        <v>2026</v>
      </c>
      <c r="Z85" s="30">
        <f t="shared" si="4"/>
        <v>1</v>
      </c>
      <c r="AA85" s="30">
        <f t="shared" si="5"/>
        <v>8</v>
      </c>
    </row>
    <row r="86" ht="50.25" customHeight="1" spans="1:27">
      <c r="A86" s="29" t="s">
        <v>380</v>
      </c>
      <c r="B86" s="31">
        <v>46026</v>
      </c>
      <c r="C86" s="27">
        <v>46035</v>
      </c>
      <c r="D86" s="26" t="s">
        <v>6</v>
      </c>
      <c r="E86" s="29" t="s">
        <v>381</v>
      </c>
      <c r="F86" s="44" t="s">
        <v>382</v>
      </c>
      <c r="G86" s="26"/>
      <c r="H86" s="26" t="s">
        <v>75</v>
      </c>
      <c r="I86" s="29">
        <v>3992.6</v>
      </c>
      <c r="J86" s="29">
        <v>779.27</v>
      </c>
      <c r="K86" s="29" t="s">
        <v>353</v>
      </c>
      <c r="L86" s="29" t="s">
        <v>380</v>
      </c>
      <c r="M86" s="29" t="s">
        <v>13</v>
      </c>
      <c r="N86" s="29" t="s">
        <v>81</v>
      </c>
      <c r="O86" s="29" t="s">
        <v>77</v>
      </c>
      <c r="P86" s="29"/>
      <c r="Q86" s="29"/>
      <c r="R86" s="26"/>
      <c r="S86" s="26"/>
      <c r="T86" s="26"/>
      <c r="U86" s="26"/>
      <c r="V86" s="26"/>
      <c r="W86" s="26"/>
      <c r="X86" s="26" t="s">
        <v>35</v>
      </c>
      <c r="Y86" s="30">
        <f t="shared" si="3"/>
        <v>2026</v>
      </c>
      <c r="Z86" s="30">
        <f t="shared" si="4"/>
        <v>1</v>
      </c>
      <c r="AA86" s="30">
        <f t="shared" si="5"/>
        <v>13</v>
      </c>
    </row>
    <row r="87" ht="13.85" spans="1:27">
      <c r="A87" s="29" t="s">
        <v>383</v>
      </c>
      <c r="B87" s="27">
        <v>46383</v>
      </c>
      <c r="C87" s="27">
        <v>46037</v>
      </c>
      <c r="D87" s="26" t="s">
        <v>6</v>
      </c>
      <c r="E87" s="29" t="s">
        <v>384</v>
      </c>
      <c r="F87" s="29" t="s">
        <v>385</v>
      </c>
      <c r="G87" s="26"/>
      <c r="H87" s="26" t="s">
        <v>75</v>
      </c>
      <c r="I87" s="29">
        <v>25365.36</v>
      </c>
      <c r="J87" s="29">
        <v>1492.08</v>
      </c>
      <c r="K87" s="29" t="s">
        <v>353</v>
      </c>
      <c r="L87" s="29" t="s">
        <v>383</v>
      </c>
      <c r="M87" s="29" t="s">
        <v>13</v>
      </c>
      <c r="N87" s="29" t="s">
        <v>81</v>
      </c>
      <c r="O87" s="29" t="s">
        <v>355</v>
      </c>
      <c r="P87" s="29"/>
      <c r="Q87" s="29"/>
      <c r="R87" s="26"/>
      <c r="S87" s="26"/>
      <c r="T87" s="26"/>
      <c r="U87" s="26"/>
      <c r="V87" s="26"/>
      <c r="W87" s="26"/>
      <c r="X87" s="26" t="s">
        <v>35</v>
      </c>
      <c r="Y87" s="30">
        <f t="shared" si="3"/>
        <v>2026</v>
      </c>
      <c r="Z87" s="30">
        <f t="shared" si="4"/>
        <v>1</v>
      </c>
      <c r="AA87" s="30">
        <f t="shared" si="5"/>
        <v>15</v>
      </c>
    </row>
    <row r="88" ht="13.85" spans="1:27">
      <c r="A88" s="29" t="s">
        <v>386</v>
      </c>
      <c r="B88" s="27">
        <v>46346</v>
      </c>
      <c r="C88" s="27">
        <v>46037</v>
      </c>
      <c r="D88" s="26" t="s">
        <v>6</v>
      </c>
      <c r="E88" s="29" t="s">
        <v>292</v>
      </c>
      <c r="F88" s="29" t="s">
        <v>387</v>
      </c>
      <c r="G88" s="26"/>
      <c r="H88" s="26" t="s">
        <v>75</v>
      </c>
      <c r="I88" s="29">
        <v>6195.04</v>
      </c>
      <c r="J88" s="29">
        <v>120.61</v>
      </c>
      <c r="K88" s="29" t="s">
        <v>388</v>
      </c>
      <c r="L88" s="29" t="s">
        <v>386</v>
      </c>
      <c r="M88" s="29" t="s">
        <v>14</v>
      </c>
      <c r="N88" s="29" t="s">
        <v>81</v>
      </c>
      <c r="O88" s="29" t="s">
        <v>238</v>
      </c>
      <c r="P88" s="29"/>
      <c r="Q88" s="29"/>
      <c r="R88" s="26"/>
      <c r="S88" s="26"/>
      <c r="T88" s="26"/>
      <c r="U88" s="26"/>
      <c r="V88" s="26"/>
      <c r="W88" s="26"/>
      <c r="X88" s="26" t="s">
        <v>35</v>
      </c>
      <c r="Y88" s="30">
        <f t="shared" si="3"/>
        <v>2026</v>
      </c>
      <c r="Z88" s="30">
        <f t="shared" si="4"/>
        <v>1</v>
      </c>
      <c r="AA88" s="30">
        <f t="shared" si="5"/>
        <v>15</v>
      </c>
    </row>
    <row r="89" ht="13.85" spans="1:27">
      <c r="A89" s="29" t="s">
        <v>389</v>
      </c>
      <c r="B89" s="27">
        <v>46376</v>
      </c>
      <c r="C89" s="27">
        <v>46037</v>
      </c>
      <c r="D89" s="26" t="s">
        <v>6</v>
      </c>
      <c r="E89" s="29" t="s">
        <v>390</v>
      </c>
      <c r="F89" s="29" t="s">
        <v>391</v>
      </c>
      <c r="G89" s="26"/>
      <c r="H89" s="26" t="s">
        <v>75</v>
      </c>
      <c r="I89" s="29">
        <v>7516.1</v>
      </c>
      <c r="J89" s="29">
        <v>248.53</v>
      </c>
      <c r="K89" s="29" t="s">
        <v>392</v>
      </c>
      <c r="L89" s="29" t="s">
        <v>389</v>
      </c>
      <c r="M89" s="29" t="s">
        <v>14</v>
      </c>
      <c r="N89" s="29" t="s">
        <v>81</v>
      </c>
      <c r="O89" s="29" t="s">
        <v>238</v>
      </c>
      <c r="P89" s="29"/>
      <c r="Q89" s="29"/>
      <c r="R89" s="26"/>
      <c r="S89" s="26"/>
      <c r="T89" s="26"/>
      <c r="U89" s="26"/>
      <c r="V89" s="26"/>
      <c r="W89" s="26"/>
      <c r="X89" s="26" t="s">
        <v>35</v>
      </c>
      <c r="Y89" s="30">
        <f t="shared" si="3"/>
        <v>2026</v>
      </c>
      <c r="Z89" s="30">
        <f t="shared" si="4"/>
        <v>1</v>
      </c>
      <c r="AA89" s="30">
        <f t="shared" si="5"/>
        <v>15</v>
      </c>
    </row>
    <row r="90" ht="15.75" spans="1:27">
      <c r="A90" s="45" t="s">
        <v>393</v>
      </c>
      <c r="B90" s="31">
        <v>46030</v>
      </c>
      <c r="C90" s="31">
        <v>46035</v>
      </c>
      <c r="D90" s="26" t="s">
        <v>6</v>
      </c>
      <c r="E90" s="46" t="s">
        <v>394</v>
      </c>
      <c r="F90" s="47" t="s">
        <v>395</v>
      </c>
      <c r="G90" s="26"/>
      <c r="H90" s="26" t="s">
        <v>75</v>
      </c>
      <c r="I90" s="29">
        <v>2679</v>
      </c>
      <c r="J90" s="29">
        <v>200.6</v>
      </c>
      <c r="K90" s="29" t="s">
        <v>396</v>
      </c>
      <c r="L90" s="48" t="s">
        <v>393</v>
      </c>
      <c r="M90" s="29" t="s">
        <v>13</v>
      </c>
      <c r="N90" s="29" t="s">
        <v>81</v>
      </c>
      <c r="O90" s="29" t="s">
        <v>397</v>
      </c>
      <c r="P90" s="29"/>
      <c r="Q90" s="29"/>
      <c r="R90" s="26"/>
      <c r="S90" s="26"/>
      <c r="T90" s="26"/>
      <c r="U90" s="26"/>
      <c r="V90" s="26"/>
      <c r="W90" s="26"/>
      <c r="X90" s="26" t="s">
        <v>35</v>
      </c>
      <c r="Y90" s="30">
        <f t="shared" si="3"/>
        <v>2026</v>
      </c>
      <c r="Z90" s="30">
        <f t="shared" si="4"/>
        <v>1</v>
      </c>
      <c r="AA90" s="30">
        <f t="shared" si="5"/>
        <v>13</v>
      </c>
    </row>
    <row r="91" ht="13.85" spans="1:27">
      <c r="A91" s="29" t="s">
        <v>398</v>
      </c>
      <c r="B91" s="27">
        <v>46033</v>
      </c>
      <c r="C91" s="27">
        <v>46041</v>
      </c>
      <c r="D91" s="26" t="s">
        <v>6</v>
      </c>
      <c r="E91" s="29" t="s">
        <v>399</v>
      </c>
      <c r="F91" s="49" t="s">
        <v>400</v>
      </c>
      <c r="G91" s="26"/>
      <c r="H91" s="26" t="s">
        <v>75</v>
      </c>
      <c r="I91" s="29">
        <v>547</v>
      </c>
      <c r="J91" s="29">
        <v>27.35</v>
      </c>
      <c r="K91" s="29"/>
      <c r="L91" s="29" t="s">
        <v>398</v>
      </c>
      <c r="M91" s="29" t="s">
        <v>11</v>
      </c>
      <c r="N91" s="29" t="s">
        <v>81</v>
      </c>
      <c r="O91" s="29" t="s">
        <v>181</v>
      </c>
      <c r="P91" s="29"/>
      <c r="Q91" s="29"/>
      <c r="R91" s="26"/>
      <c r="S91" s="26"/>
      <c r="T91" s="26"/>
      <c r="U91" s="26"/>
      <c r="V91" s="26"/>
      <c r="W91" s="26"/>
      <c r="X91" s="26" t="s">
        <v>35</v>
      </c>
      <c r="Y91" s="30">
        <f t="shared" si="3"/>
        <v>2026</v>
      </c>
      <c r="Z91" s="30">
        <f t="shared" si="4"/>
        <v>1</v>
      </c>
      <c r="AA91" s="30">
        <f t="shared" si="5"/>
        <v>19</v>
      </c>
    </row>
    <row r="92" ht="15.75" hidden="1" spans="1:27">
      <c r="A92" s="50" t="s">
        <v>401</v>
      </c>
      <c r="B92" s="31">
        <v>46037</v>
      </c>
      <c r="C92" s="31">
        <v>46037</v>
      </c>
      <c r="D92" s="26" t="s">
        <v>6</v>
      </c>
      <c r="E92" s="29" t="s">
        <v>402</v>
      </c>
      <c r="F92" s="47" t="s">
        <v>403</v>
      </c>
      <c r="G92" s="26"/>
      <c r="H92" s="26" t="s">
        <v>67</v>
      </c>
      <c r="I92" s="29">
        <v>1324.2</v>
      </c>
      <c r="J92" s="29">
        <v>99.68</v>
      </c>
      <c r="K92" s="45" t="s">
        <v>404</v>
      </c>
      <c r="L92" s="48" t="s">
        <v>401</v>
      </c>
      <c r="M92" s="29" t="s">
        <v>13</v>
      </c>
      <c r="N92" s="29" t="s">
        <v>81</v>
      </c>
      <c r="O92" s="29" t="s">
        <v>397</v>
      </c>
      <c r="P92" s="29"/>
      <c r="Q92" s="29"/>
      <c r="R92" s="26"/>
      <c r="S92" s="26"/>
      <c r="T92" s="26"/>
      <c r="U92" s="26"/>
      <c r="V92" s="26"/>
      <c r="W92" s="26"/>
      <c r="X92" s="26" t="s">
        <v>37</v>
      </c>
      <c r="Y92" s="30">
        <f t="shared" si="3"/>
        <v>2026</v>
      </c>
      <c r="Z92" s="30">
        <f t="shared" si="4"/>
        <v>1</v>
      </c>
      <c r="AA92" s="30">
        <f t="shared" si="5"/>
        <v>15</v>
      </c>
    </row>
    <row r="93" ht="22.85" hidden="1" spans="1:27">
      <c r="A93" s="29" t="s">
        <v>405</v>
      </c>
      <c r="B93" s="31">
        <v>46013</v>
      </c>
      <c r="C93" s="31">
        <v>46038</v>
      </c>
      <c r="D93" s="26" t="s">
        <v>6</v>
      </c>
      <c r="E93" s="51" t="s">
        <v>406</v>
      </c>
      <c r="F93" s="29" t="s">
        <v>407</v>
      </c>
      <c r="G93" s="26"/>
      <c r="H93" s="26" t="s">
        <v>67</v>
      </c>
      <c r="I93" s="52">
        <v>1260</v>
      </c>
      <c r="J93" s="29">
        <v>126</v>
      </c>
      <c r="K93" s="29" t="s">
        <v>408</v>
      </c>
      <c r="L93" s="53" t="s">
        <v>409</v>
      </c>
      <c r="M93" s="29" t="s">
        <v>11</v>
      </c>
      <c r="N93" s="29" t="s">
        <v>81</v>
      </c>
      <c r="O93" s="29" t="s">
        <v>115</v>
      </c>
      <c r="P93" s="29"/>
      <c r="Q93" s="29"/>
      <c r="R93" s="26"/>
      <c r="S93" s="26"/>
      <c r="T93" s="26"/>
      <c r="U93" s="26"/>
      <c r="V93" s="26"/>
      <c r="W93" s="26"/>
      <c r="X93" s="26" t="s">
        <v>37</v>
      </c>
      <c r="Y93" s="30">
        <f t="shared" si="3"/>
        <v>2026</v>
      </c>
      <c r="Z93" s="30">
        <f t="shared" si="4"/>
        <v>1</v>
      </c>
      <c r="AA93" s="30">
        <f t="shared" si="5"/>
        <v>16</v>
      </c>
    </row>
    <row r="94" ht="118.15" spans="1:27">
      <c r="A94" s="22" t="s">
        <v>410</v>
      </c>
      <c r="B94" s="31">
        <v>46015</v>
      </c>
      <c r="C94" s="27">
        <v>46041</v>
      </c>
      <c r="D94" s="26" t="s">
        <v>6</v>
      </c>
      <c r="E94" s="29" t="s">
        <v>265</v>
      </c>
      <c r="F94" s="54" t="s">
        <v>411</v>
      </c>
      <c r="G94" s="26"/>
      <c r="H94" s="26" t="s">
        <v>75</v>
      </c>
      <c r="I94" s="26">
        <v>11238.6</v>
      </c>
      <c r="J94" s="26">
        <v>374.62</v>
      </c>
      <c r="K94" s="29" t="s">
        <v>379</v>
      </c>
      <c r="L94" s="26" t="s">
        <v>410</v>
      </c>
      <c r="M94" s="29" t="s">
        <v>11</v>
      </c>
      <c r="N94" s="29" t="s">
        <v>81</v>
      </c>
      <c r="O94" s="29" t="s">
        <v>268</v>
      </c>
      <c r="P94" s="26"/>
      <c r="Q94" s="26"/>
      <c r="R94" s="26"/>
      <c r="S94" s="26"/>
      <c r="T94" s="26"/>
      <c r="U94" s="26"/>
      <c r="V94" s="26"/>
      <c r="W94" s="26"/>
      <c r="X94" s="26" t="s">
        <v>35</v>
      </c>
      <c r="Y94" s="30">
        <f t="shared" si="3"/>
        <v>2026</v>
      </c>
      <c r="Z94" s="30">
        <f t="shared" si="4"/>
        <v>1</v>
      </c>
      <c r="AA94" s="30">
        <f t="shared" si="5"/>
        <v>19</v>
      </c>
    </row>
    <row r="95" ht="118.15" hidden="1" spans="1:27">
      <c r="A95" s="22" t="s">
        <v>412</v>
      </c>
      <c r="B95" s="31">
        <v>46015</v>
      </c>
      <c r="C95" s="27">
        <v>46041</v>
      </c>
      <c r="D95" s="26" t="s">
        <v>6</v>
      </c>
      <c r="E95" s="29" t="s">
        <v>265</v>
      </c>
      <c r="F95" s="54" t="s">
        <v>413</v>
      </c>
      <c r="G95" s="26"/>
      <c r="H95" s="26" t="s">
        <v>67</v>
      </c>
      <c r="I95" s="26">
        <v>1926.4</v>
      </c>
      <c r="J95" s="26">
        <v>192.64</v>
      </c>
      <c r="K95" s="29" t="s">
        <v>379</v>
      </c>
      <c r="L95" s="26" t="s">
        <v>412</v>
      </c>
      <c r="M95" s="29" t="s">
        <v>11</v>
      </c>
      <c r="N95" s="29" t="s">
        <v>81</v>
      </c>
      <c r="O95" s="29" t="s">
        <v>268</v>
      </c>
      <c r="P95" s="26"/>
      <c r="Q95" s="26"/>
      <c r="R95" s="26"/>
      <c r="S95" s="26"/>
      <c r="T95" s="26"/>
      <c r="U95" s="26"/>
      <c r="V95" s="26"/>
      <c r="W95" s="26"/>
      <c r="X95" s="26" t="s">
        <v>37</v>
      </c>
      <c r="Y95" s="30">
        <f t="shared" si="3"/>
        <v>2026</v>
      </c>
      <c r="Z95" s="30">
        <f t="shared" si="4"/>
        <v>1</v>
      </c>
      <c r="AA95" s="30">
        <f t="shared" si="5"/>
        <v>19</v>
      </c>
    </row>
    <row r="96" ht="13.85" spans="1:27">
      <c r="A96" s="55" t="s">
        <v>414</v>
      </c>
      <c r="B96" s="31">
        <v>46037</v>
      </c>
      <c r="C96" s="31">
        <v>46042</v>
      </c>
      <c r="D96" s="29" t="s">
        <v>6</v>
      </c>
      <c r="E96" s="29" t="s">
        <v>415</v>
      </c>
      <c r="F96" s="29" t="s">
        <v>416</v>
      </c>
      <c r="G96" s="26"/>
      <c r="H96" s="26" t="s">
        <v>75</v>
      </c>
      <c r="I96" s="26">
        <v>9993.8</v>
      </c>
      <c r="J96" s="26">
        <v>999.38</v>
      </c>
      <c r="K96" s="29" t="s">
        <v>417</v>
      </c>
      <c r="L96" s="29" t="s">
        <v>414</v>
      </c>
      <c r="M96" s="29" t="s">
        <v>11</v>
      </c>
      <c r="N96" s="29" t="s">
        <v>81</v>
      </c>
      <c r="O96" s="29" t="s">
        <v>263</v>
      </c>
      <c r="P96" s="26"/>
      <c r="Q96" s="26"/>
      <c r="R96" s="26"/>
      <c r="S96" s="26"/>
      <c r="T96" s="26"/>
      <c r="U96" s="26"/>
      <c r="V96" s="26"/>
      <c r="W96" s="26"/>
      <c r="X96" s="26" t="s">
        <v>35</v>
      </c>
      <c r="Y96" s="30">
        <f t="shared" si="3"/>
        <v>2026</v>
      </c>
      <c r="Z96" s="30">
        <f t="shared" si="4"/>
        <v>1</v>
      </c>
      <c r="AA96" s="30">
        <f t="shared" si="5"/>
        <v>20</v>
      </c>
    </row>
    <row r="97" ht="14.25" hidden="1" spans="1:27">
      <c r="A97" s="56" t="s">
        <v>418</v>
      </c>
      <c r="B97" s="27">
        <v>46036</v>
      </c>
      <c r="C97" s="27">
        <v>46042</v>
      </c>
      <c r="D97" s="29" t="s">
        <v>6</v>
      </c>
      <c r="E97" s="29" t="s">
        <v>419</v>
      </c>
      <c r="F97" s="57" t="s">
        <v>420</v>
      </c>
      <c r="G97" s="57"/>
      <c r="H97" s="57" t="s">
        <v>421</v>
      </c>
      <c r="I97" s="57">
        <v>4950.3</v>
      </c>
      <c r="J97" s="57">
        <v>330.02</v>
      </c>
      <c r="K97" s="57" t="s">
        <v>422</v>
      </c>
      <c r="L97" s="56" t="s">
        <v>418</v>
      </c>
      <c r="M97" s="29" t="s">
        <v>12</v>
      </c>
      <c r="N97" s="29" t="s">
        <v>81</v>
      </c>
      <c r="O97" s="29" t="s">
        <v>157</v>
      </c>
      <c r="P97" s="26"/>
      <c r="Q97" s="26"/>
      <c r="R97" s="26"/>
      <c r="S97" s="26"/>
      <c r="T97" s="26"/>
      <c r="U97" s="26"/>
      <c r="V97" s="26"/>
      <c r="W97" s="26"/>
      <c r="X97" s="26" t="s">
        <v>35</v>
      </c>
      <c r="Y97" s="30">
        <f t="shared" si="3"/>
        <v>2026</v>
      </c>
      <c r="Z97" s="30">
        <f t="shared" si="4"/>
        <v>1</v>
      </c>
      <c r="AA97" s="30">
        <f t="shared" si="5"/>
        <v>20</v>
      </c>
    </row>
    <row r="98" ht="171" hidden="1" spans="1:27">
      <c r="A98" s="56" t="s">
        <v>423</v>
      </c>
      <c r="B98" s="27">
        <v>46036</v>
      </c>
      <c r="C98" s="27">
        <v>46042</v>
      </c>
      <c r="D98" s="29" t="s">
        <v>6</v>
      </c>
      <c r="E98" s="29" t="s">
        <v>419</v>
      </c>
      <c r="F98" s="58" t="s">
        <v>424</v>
      </c>
      <c r="G98" s="57"/>
      <c r="H98" s="57" t="s">
        <v>425</v>
      </c>
      <c r="I98" s="57">
        <v>6352</v>
      </c>
      <c r="J98" s="57">
        <v>317.6</v>
      </c>
      <c r="K98" s="57" t="s">
        <v>422</v>
      </c>
      <c r="L98" s="56" t="s">
        <v>423</v>
      </c>
      <c r="M98" s="29" t="s">
        <v>12</v>
      </c>
      <c r="N98" s="29" t="s">
        <v>81</v>
      </c>
      <c r="O98" s="29" t="s">
        <v>157</v>
      </c>
      <c r="P98" s="26"/>
      <c r="Q98" s="26"/>
      <c r="R98" s="26"/>
      <c r="S98" s="26"/>
      <c r="T98" s="26"/>
      <c r="U98" s="26"/>
      <c r="V98" s="26"/>
      <c r="W98" s="26"/>
      <c r="X98" s="26" t="s">
        <v>38</v>
      </c>
      <c r="Y98" s="30">
        <f t="shared" si="3"/>
        <v>2026</v>
      </c>
      <c r="Z98" s="30">
        <f t="shared" si="4"/>
        <v>1</v>
      </c>
      <c r="AA98" s="30">
        <f t="shared" si="5"/>
        <v>20</v>
      </c>
    </row>
    <row r="99" ht="90.95" hidden="1" customHeight="1" spans="1:27">
      <c r="A99" s="26" t="s">
        <v>426</v>
      </c>
      <c r="B99" s="27">
        <v>46024</v>
      </c>
      <c r="C99" s="27">
        <v>46043</v>
      </c>
      <c r="D99" s="29" t="s">
        <v>6</v>
      </c>
      <c r="E99" s="29" t="s">
        <v>427</v>
      </c>
      <c r="F99" s="26" t="s">
        <v>428</v>
      </c>
      <c r="G99" s="26"/>
      <c r="H99" s="26" t="s">
        <v>429</v>
      </c>
      <c r="I99" s="26">
        <v>1977.9</v>
      </c>
      <c r="J99" s="26">
        <v>197.79</v>
      </c>
      <c r="K99" s="26" t="s">
        <v>430</v>
      </c>
      <c r="L99" s="29" t="s">
        <v>431</v>
      </c>
      <c r="M99" s="29" t="s">
        <v>11</v>
      </c>
      <c r="N99" s="29" t="s">
        <v>81</v>
      </c>
      <c r="O99" s="29" t="s">
        <v>115</v>
      </c>
      <c r="P99" s="26"/>
      <c r="Q99" s="26"/>
      <c r="R99" s="26"/>
      <c r="S99" s="26"/>
      <c r="T99" s="26"/>
      <c r="U99" s="26"/>
      <c r="V99" s="26"/>
      <c r="W99" s="26"/>
      <c r="X99" s="26" t="s">
        <v>34</v>
      </c>
      <c r="Y99" s="30">
        <f t="shared" si="3"/>
        <v>2026</v>
      </c>
      <c r="Z99" s="30">
        <f t="shared" si="4"/>
        <v>1</v>
      </c>
      <c r="AA99" s="30">
        <f t="shared" si="5"/>
        <v>21</v>
      </c>
    </row>
    <row r="100" ht="13.85" spans="1:27">
      <c r="A100" s="29" t="s">
        <v>432</v>
      </c>
      <c r="B100" s="27">
        <v>46030</v>
      </c>
      <c r="C100" s="27">
        <v>46043</v>
      </c>
      <c r="D100" s="29" t="s">
        <v>6</v>
      </c>
      <c r="E100" s="55" t="s">
        <v>433</v>
      </c>
      <c r="F100" s="29" t="s">
        <v>434</v>
      </c>
      <c r="G100" s="29"/>
      <c r="H100" s="29" t="s">
        <v>75</v>
      </c>
      <c r="I100" s="26">
        <v>1071.6</v>
      </c>
      <c r="J100" s="26">
        <v>267.9</v>
      </c>
      <c r="K100" s="26"/>
      <c r="L100" s="29" t="s">
        <v>432</v>
      </c>
      <c r="M100" s="29" t="s">
        <v>11</v>
      </c>
      <c r="N100" s="29" t="s">
        <v>81</v>
      </c>
      <c r="O100" s="29" t="s">
        <v>181</v>
      </c>
      <c r="P100" s="26"/>
      <c r="Q100" s="26"/>
      <c r="R100" s="26"/>
      <c r="S100" s="26"/>
      <c r="T100" s="26"/>
      <c r="U100" s="26"/>
      <c r="V100" s="26"/>
      <c r="W100" s="26"/>
      <c r="X100" s="26" t="s">
        <v>35</v>
      </c>
      <c r="Y100" s="30">
        <f t="shared" si="3"/>
        <v>2026</v>
      </c>
      <c r="Z100" s="30">
        <f t="shared" si="4"/>
        <v>1</v>
      </c>
      <c r="AA100" s="30">
        <f t="shared" si="5"/>
        <v>21</v>
      </c>
    </row>
    <row r="101" ht="15.75" hidden="1" spans="1:27">
      <c r="A101" s="26" t="s">
        <v>435</v>
      </c>
      <c r="B101" s="31">
        <v>46037</v>
      </c>
      <c r="C101" s="27">
        <v>46045</v>
      </c>
      <c r="D101" s="26" t="s">
        <v>6</v>
      </c>
      <c r="E101" s="29" t="s">
        <v>436</v>
      </c>
      <c r="F101" s="29" t="s">
        <v>437</v>
      </c>
      <c r="G101" s="26"/>
      <c r="H101" s="26" t="s">
        <v>67</v>
      </c>
      <c r="I101" s="26">
        <v>3108.2</v>
      </c>
      <c r="J101" s="26">
        <v>283.06</v>
      </c>
      <c r="K101" s="45" t="s">
        <v>404</v>
      </c>
      <c r="L101" s="26" t="s">
        <v>435</v>
      </c>
      <c r="M101" s="29" t="s">
        <v>13</v>
      </c>
      <c r="N101" s="29" t="s">
        <v>81</v>
      </c>
      <c r="O101" s="29" t="s">
        <v>397</v>
      </c>
      <c r="P101" s="26"/>
      <c r="Q101" s="26"/>
      <c r="R101" s="26"/>
      <c r="S101" s="26"/>
      <c r="T101" s="26"/>
      <c r="U101" s="26"/>
      <c r="V101" s="26"/>
      <c r="W101" s="26"/>
      <c r="X101" s="26" t="s">
        <v>37</v>
      </c>
      <c r="Y101" s="30">
        <f t="shared" si="3"/>
        <v>2026</v>
      </c>
      <c r="Z101" s="30">
        <f t="shared" si="4"/>
        <v>1</v>
      </c>
      <c r="AA101" s="30">
        <f t="shared" si="5"/>
        <v>23</v>
      </c>
    </row>
    <row r="102" ht="13.85" hidden="1" spans="1:27">
      <c r="A102" s="55" t="s">
        <v>438</v>
      </c>
      <c r="B102" s="27">
        <v>46043</v>
      </c>
      <c r="C102" s="27">
        <v>46045</v>
      </c>
      <c r="D102" s="26" t="s">
        <v>6</v>
      </c>
      <c r="E102" s="29" t="s">
        <v>439</v>
      </c>
      <c r="F102" s="29" t="s">
        <v>440</v>
      </c>
      <c r="G102" s="29"/>
      <c r="H102" s="29" t="s">
        <v>441</v>
      </c>
      <c r="I102" s="26">
        <v>1530.6</v>
      </c>
      <c r="J102" s="26">
        <v>76.53</v>
      </c>
      <c r="K102" s="26"/>
      <c r="L102" s="29" t="s">
        <v>438</v>
      </c>
      <c r="M102" s="29" t="s">
        <v>11</v>
      </c>
      <c r="N102" s="29" t="s">
        <v>81</v>
      </c>
      <c r="O102" s="29" t="s">
        <v>125</v>
      </c>
      <c r="P102" s="29" t="s">
        <v>11</v>
      </c>
      <c r="Q102" s="29" t="s">
        <v>70</v>
      </c>
      <c r="R102" s="26"/>
      <c r="S102" s="26"/>
      <c r="T102" s="26"/>
      <c r="U102" s="26"/>
      <c r="V102" s="26"/>
      <c r="W102" s="26"/>
      <c r="X102" s="26" t="s">
        <v>37</v>
      </c>
      <c r="Y102" s="30">
        <f t="shared" si="3"/>
        <v>2026</v>
      </c>
      <c r="Z102" s="30">
        <f t="shared" si="4"/>
        <v>1</v>
      </c>
      <c r="AA102" s="30">
        <f t="shared" si="5"/>
        <v>23</v>
      </c>
    </row>
    <row r="103" ht="13.85" hidden="1" spans="1:27">
      <c r="A103" s="26"/>
      <c r="B103" s="27">
        <v>46048</v>
      </c>
      <c r="C103" s="27">
        <v>46048</v>
      </c>
      <c r="D103" s="26" t="s">
        <v>6</v>
      </c>
      <c r="E103" s="29" t="s">
        <v>442</v>
      </c>
      <c r="F103" s="29" t="s">
        <v>443</v>
      </c>
      <c r="G103" s="29"/>
      <c r="H103" s="29" t="s">
        <v>444</v>
      </c>
      <c r="I103" s="26">
        <v>1223</v>
      </c>
      <c r="J103" s="26">
        <v>61.15</v>
      </c>
      <c r="K103" s="29" t="s">
        <v>445</v>
      </c>
      <c r="L103" s="29" t="s">
        <v>446</v>
      </c>
      <c r="M103" s="29" t="s">
        <v>12</v>
      </c>
      <c r="N103" s="29" t="s">
        <v>81</v>
      </c>
      <c r="O103" s="29" t="s">
        <v>345</v>
      </c>
      <c r="P103" s="26"/>
      <c r="Q103" s="26"/>
      <c r="R103" s="26"/>
      <c r="S103" s="26"/>
      <c r="T103" s="26"/>
      <c r="U103" s="26"/>
      <c r="V103" s="26"/>
      <c r="W103" s="26"/>
      <c r="X103" s="59" t="s">
        <v>38</v>
      </c>
      <c r="Y103" s="60">
        <f t="shared" si="3"/>
        <v>2026</v>
      </c>
      <c r="Z103" s="60">
        <f t="shared" si="4"/>
        <v>1</v>
      </c>
      <c r="AA103" s="60">
        <f t="shared" si="5"/>
        <v>26</v>
      </c>
    </row>
    <row r="104" ht="13.85" hidden="1" spans="1:27">
      <c r="A104" s="55" t="s">
        <v>447</v>
      </c>
      <c r="B104" s="31" t="s">
        <v>448</v>
      </c>
      <c r="C104" s="27">
        <v>46049</v>
      </c>
      <c r="D104" s="26" t="s">
        <v>6</v>
      </c>
      <c r="E104" s="29" t="s">
        <v>224</v>
      </c>
      <c r="F104" s="29" t="s">
        <v>449</v>
      </c>
      <c r="G104" s="29"/>
      <c r="H104" s="29" t="s">
        <v>450</v>
      </c>
      <c r="I104" s="26">
        <v>3227.6</v>
      </c>
      <c r="J104" s="26">
        <v>290.1</v>
      </c>
      <c r="K104" s="29" t="s">
        <v>451</v>
      </c>
      <c r="L104" s="29" t="s">
        <v>447</v>
      </c>
      <c r="M104" s="29" t="s">
        <v>15</v>
      </c>
      <c r="N104" s="29" t="s">
        <v>81</v>
      </c>
      <c r="O104" s="29" t="s">
        <v>228</v>
      </c>
      <c r="P104" s="26"/>
      <c r="Q104" s="26"/>
      <c r="R104" s="26"/>
      <c r="S104" s="26"/>
      <c r="T104" s="26"/>
      <c r="U104" s="26"/>
      <c r="V104" s="26"/>
      <c r="W104" s="26"/>
      <c r="X104" s="59" t="s">
        <v>41</v>
      </c>
      <c r="Y104" s="60">
        <f t="shared" si="3"/>
        <v>2026</v>
      </c>
      <c r="Z104" s="60">
        <f t="shared" si="4"/>
        <v>1</v>
      </c>
      <c r="AA104" s="60">
        <f t="shared" si="5"/>
        <v>27</v>
      </c>
    </row>
    <row r="105" s="22" customFormat="1" ht="13.85" hidden="1" spans="1:27">
      <c r="A105" s="29" t="s">
        <v>452</v>
      </c>
      <c r="B105" s="31">
        <v>46025</v>
      </c>
      <c r="C105" s="31">
        <v>46049</v>
      </c>
      <c r="D105" s="29" t="s">
        <v>6</v>
      </c>
      <c r="E105" s="26" t="s">
        <v>453</v>
      </c>
      <c r="F105" s="29" t="s">
        <v>454</v>
      </c>
      <c r="G105" s="29"/>
      <c r="H105" s="29" t="s">
        <v>455</v>
      </c>
      <c r="I105" s="26">
        <v>58749.55</v>
      </c>
      <c r="J105" s="26">
        <v>4958.95</v>
      </c>
      <c r="K105" s="29" t="s">
        <v>456</v>
      </c>
      <c r="L105" s="29" t="s">
        <v>452</v>
      </c>
      <c r="M105" s="29" t="s">
        <v>11</v>
      </c>
      <c r="N105" s="29" t="s">
        <v>81</v>
      </c>
      <c r="O105" s="29" t="s">
        <v>457</v>
      </c>
      <c r="P105" s="26"/>
      <c r="Q105" s="26"/>
      <c r="R105" s="26"/>
      <c r="S105" s="26"/>
      <c r="T105" s="26"/>
      <c r="U105" s="26"/>
      <c r="V105" s="26"/>
      <c r="W105" s="26"/>
      <c r="X105" s="26" t="s">
        <v>34</v>
      </c>
      <c r="Y105" s="30">
        <f t="shared" si="3"/>
        <v>2026</v>
      </c>
      <c r="Z105" s="30">
        <f t="shared" si="4"/>
        <v>1</v>
      </c>
      <c r="AA105" s="30">
        <f t="shared" si="5"/>
        <v>27</v>
      </c>
    </row>
    <row r="106" ht="13.85" hidden="1" spans="1:27">
      <c r="A106" s="29" t="s">
        <v>458</v>
      </c>
      <c r="B106" s="27">
        <v>46030</v>
      </c>
      <c r="C106" s="31">
        <v>46049</v>
      </c>
      <c r="D106" s="29" t="s">
        <v>6</v>
      </c>
      <c r="E106" s="26" t="s">
        <v>459</v>
      </c>
      <c r="F106" s="29" t="s">
        <v>460</v>
      </c>
      <c r="G106" s="29"/>
      <c r="H106" s="29" t="s">
        <v>455</v>
      </c>
      <c r="I106" s="26">
        <v>387.2</v>
      </c>
      <c r="J106" s="26">
        <v>8873.9</v>
      </c>
      <c r="K106" s="29" t="s">
        <v>461</v>
      </c>
      <c r="L106" s="26" t="s">
        <v>458</v>
      </c>
      <c r="M106" s="29" t="s">
        <v>11</v>
      </c>
      <c r="N106" s="29" t="s">
        <v>81</v>
      </c>
      <c r="O106" s="29" t="s">
        <v>457</v>
      </c>
      <c r="P106" s="26"/>
      <c r="Q106" s="26"/>
      <c r="R106" s="26"/>
      <c r="S106" s="26"/>
      <c r="T106" s="26"/>
      <c r="U106" s="26"/>
      <c r="V106" s="26"/>
      <c r="W106" s="26"/>
      <c r="X106" s="26" t="s">
        <v>34</v>
      </c>
      <c r="Y106" s="60">
        <f t="shared" si="3"/>
        <v>2026</v>
      </c>
      <c r="Z106" s="60">
        <f t="shared" si="4"/>
        <v>1</v>
      </c>
      <c r="AA106" s="60">
        <f t="shared" si="5"/>
        <v>27</v>
      </c>
    </row>
    <row r="107" ht="13.85" hidden="1" spans="1:27">
      <c r="A107" s="29" t="s">
        <v>462</v>
      </c>
      <c r="B107" s="27">
        <v>46042</v>
      </c>
      <c r="C107" s="31">
        <v>46049</v>
      </c>
      <c r="D107" s="29" t="s">
        <v>6</v>
      </c>
      <c r="E107" s="26" t="s">
        <v>463</v>
      </c>
      <c r="F107" s="61" t="s">
        <v>464</v>
      </c>
      <c r="G107" s="29"/>
      <c r="H107" s="29" t="s">
        <v>465</v>
      </c>
      <c r="I107" s="26">
        <v>998.98</v>
      </c>
      <c r="J107" s="26">
        <v>14984.7</v>
      </c>
      <c r="K107" s="26" t="s">
        <v>466</v>
      </c>
      <c r="L107" s="26" t="s">
        <v>462</v>
      </c>
      <c r="M107" s="29" t="s">
        <v>11</v>
      </c>
      <c r="N107" s="29" t="s">
        <v>81</v>
      </c>
      <c r="O107" s="29" t="s">
        <v>457</v>
      </c>
      <c r="P107" s="26"/>
      <c r="Q107" s="26"/>
      <c r="R107" s="26"/>
      <c r="S107" s="26"/>
      <c r="T107" s="26"/>
      <c r="U107" s="26"/>
      <c r="V107" s="26"/>
      <c r="W107" s="26"/>
      <c r="X107" s="26" t="s">
        <v>35</v>
      </c>
      <c r="Y107" s="60">
        <f t="shared" si="3"/>
        <v>2026</v>
      </c>
      <c r="Z107" s="60">
        <f t="shared" si="4"/>
        <v>1</v>
      </c>
      <c r="AA107" s="60">
        <f t="shared" si="5"/>
        <v>27</v>
      </c>
    </row>
    <row r="108" ht="13.85" spans="1:27">
      <c r="A108" s="26" t="s">
        <v>467</v>
      </c>
      <c r="B108" s="27">
        <v>46043</v>
      </c>
      <c r="C108" s="27">
        <v>46063</v>
      </c>
      <c r="D108" s="26" t="s">
        <v>6</v>
      </c>
      <c r="E108" s="29" t="s">
        <v>468</v>
      </c>
      <c r="F108" s="29" t="s">
        <v>469</v>
      </c>
      <c r="G108" s="29"/>
      <c r="H108" s="29" t="s">
        <v>75</v>
      </c>
      <c r="I108" s="26">
        <v>4993.45</v>
      </c>
      <c r="J108" s="26">
        <v>998.69</v>
      </c>
      <c r="K108" s="29" t="s">
        <v>466</v>
      </c>
      <c r="L108" s="26" t="s">
        <v>470</v>
      </c>
      <c r="M108" s="29" t="s">
        <v>11</v>
      </c>
      <c r="N108" s="29" t="s">
        <v>81</v>
      </c>
      <c r="O108" s="29" t="s">
        <v>457</v>
      </c>
      <c r="P108" s="26"/>
      <c r="Q108" s="26"/>
      <c r="R108" s="26"/>
      <c r="S108" s="26"/>
      <c r="T108" s="26"/>
      <c r="U108" s="26"/>
      <c r="V108" s="26"/>
      <c r="W108" s="26"/>
      <c r="X108" s="26" t="s">
        <v>35</v>
      </c>
      <c r="Y108" s="60">
        <f t="shared" si="3"/>
        <v>2026</v>
      </c>
      <c r="Z108" s="60">
        <f t="shared" si="4"/>
        <v>2</v>
      </c>
      <c r="AA108" s="60">
        <f t="shared" si="5"/>
        <v>10</v>
      </c>
    </row>
    <row r="109" ht="13.85" hidden="1" spans="1:27">
      <c r="A109" s="55" t="s">
        <v>471</v>
      </c>
      <c r="B109" s="31">
        <v>45970</v>
      </c>
      <c r="C109" s="27">
        <v>46050</v>
      </c>
      <c r="D109" s="29" t="s">
        <v>6</v>
      </c>
      <c r="E109" s="29" t="s">
        <v>472</v>
      </c>
      <c r="F109" s="29" t="s">
        <v>473</v>
      </c>
      <c r="G109" s="29"/>
      <c r="H109" s="29" t="s">
        <v>474</v>
      </c>
      <c r="I109" s="26">
        <v>5244</v>
      </c>
      <c r="J109" s="26">
        <v>137.97</v>
      </c>
      <c r="K109" s="29" t="s">
        <v>475</v>
      </c>
      <c r="L109" s="55" t="s">
        <v>471</v>
      </c>
      <c r="M109" s="29" t="s">
        <v>14</v>
      </c>
      <c r="N109" s="29" t="s">
        <v>81</v>
      </c>
      <c r="O109" s="29" t="s">
        <v>308</v>
      </c>
      <c r="P109" s="26"/>
      <c r="Q109" s="26"/>
      <c r="R109" s="26"/>
      <c r="S109" s="26"/>
      <c r="T109" s="26"/>
      <c r="U109" s="26"/>
      <c r="V109" s="26"/>
      <c r="W109" s="26"/>
      <c r="X109" s="59" t="s">
        <v>38</v>
      </c>
      <c r="Y109" s="60">
        <f t="shared" si="3"/>
        <v>2026</v>
      </c>
      <c r="Z109" s="60">
        <f t="shared" si="4"/>
        <v>1</v>
      </c>
      <c r="AA109" s="60">
        <f t="shared" si="5"/>
        <v>28</v>
      </c>
    </row>
    <row r="110" ht="13.85" hidden="1" spans="1:27">
      <c r="A110" s="55" t="s">
        <v>476</v>
      </c>
      <c r="B110" s="27">
        <v>46015</v>
      </c>
      <c r="C110" s="27">
        <v>46050</v>
      </c>
      <c r="D110" s="29" t="s">
        <v>6</v>
      </c>
      <c r="E110" s="29" t="s">
        <v>477</v>
      </c>
      <c r="F110" s="29" t="s">
        <v>478</v>
      </c>
      <c r="G110" s="29"/>
      <c r="H110" s="29" t="s">
        <v>479</v>
      </c>
      <c r="I110" s="26">
        <v>1506.6</v>
      </c>
      <c r="J110" s="26">
        <v>75.33</v>
      </c>
      <c r="K110" s="29" t="s">
        <v>480</v>
      </c>
      <c r="L110" s="29" t="s">
        <v>476</v>
      </c>
      <c r="M110" s="29" t="s">
        <v>14</v>
      </c>
      <c r="N110" s="29" t="s">
        <v>81</v>
      </c>
      <c r="O110" s="29" t="s">
        <v>308</v>
      </c>
      <c r="P110" s="26"/>
      <c r="Q110" s="26"/>
      <c r="R110" s="26"/>
      <c r="S110" s="26"/>
      <c r="T110" s="26"/>
      <c r="U110" s="26"/>
      <c r="V110" s="26"/>
      <c r="W110" s="26"/>
      <c r="X110" s="59" t="s">
        <v>38</v>
      </c>
      <c r="Y110" s="60">
        <f t="shared" si="3"/>
        <v>2026</v>
      </c>
      <c r="Z110" s="60">
        <f t="shared" si="4"/>
        <v>1</v>
      </c>
      <c r="AA110" s="60">
        <f t="shared" si="5"/>
        <v>28</v>
      </c>
    </row>
    <row r="111" ht="18" spans="1:27">
      <c r="A111" s="26" t="s">
        <v>481</v>
      </c>
      <c r="B111" s="27">
        <v>45988</v>
      </c>
      <c r="C111" s="27">
        <v>46050</v>
      </c>
      <c r="D111" s="29" t="s">
        <v>6</v>
      </c>
      <c r="E111" s="29" t="s">
        <v>482</v>
      </c>
      <c r="F111" s="29" t="s">
        <v>483</v>
      </c>
      <c r="G111" s="26"/>
      <c r="H111" s="26" t="s">
        <v>75</v>
      </c>
      <c r="I111" s="62">
        <v>14339.63</v>
      </c>
      <c r="J111" s="62">
        <v>991.72</v>
      </c>
      <c r="K111" s="26" t="s">
        <v>118</v>
      </c>
      <c r="L111" s="29" t="s">
        <v>481</v>
      </c>
      <c r="M111" s="29" t="s">
        <v>11</v>
      </c>
      <c r="N111" s="29" t="s">
        <v>81</v>
      </c>
      <c r="O111" s="29" t="s">
        <v>115</v>
      </c>
      <c r="P111" s="26"/>
      <c r="Q111" s="26"/>
      <c r="R111" s="26"/>
      <c r="S111" s="26"/>
      <c r="T111" s="26"/>
      <c r="U111" s="26"/>
      <c r="V111" s="26"/>
      <c r="W111" s="26"/>
      <c r="X111" s="26" t="s">
        <v>35</v>
      </c>
      <c r="Y111" s="60">
        <f t="shared" si="3"/>
        <v>2026</v>
      </c>
      <c r="Z111" s="60">
        <f t="shared" si="4"/>
        <v>1</v>
      </c>
      <c r="AA111" s="60">
        <f t="shared" si="5"/>
        <v>28</v>
      </c>
    </row>
    <row r="112" ht="13.85" spans="1:27">
      <c r="A112" s="29" t="s">
        <v>484</v>
      </c>
      <c r="B112" s="27">
        <v>46050</v>
      </c>
      <c r="C112" s="27">
        <v>46050</v>
      </c>
      <c r="D112" s="29" t="s">
        <v>6</v>
      </c>
      <c r="E112" s="29" t="s">
        <v>265</v>
      </c>
      <c r="F112" s="29" t="s">
        <v>485</v>
      </c>
      <c r="G112" s="26"/>
      <c r="H112" s="26" t="s">
        <v>75</v>
      </c>
      <c r="I112" s="26">
        <v>5985.6</v>
      </c>
      <c r="J112" s="26">
        <v>1197.12</v>
      </c>
      <c r="K112" s="29" t="s">
        <v>486</v>
      </c>
      <c r="L112" s="29" t="s">
        <v>484</v>
      </c>
      <c r="M112" s="29" t="s">
        <v>11</v>
      </c>
      <c r="N112" s="29" t="s">
        <v>81</v>
      </c>
      <c r="O112" s="29" t="s">
        <v>268</v>
      </c>
      <c r="P112" s="26"/>
      <c r="Q112" s="26"/>
      <c r="R112" s="26"/>
      <c r="S112" s="26"/>
      <c r="T112" s="26"/>
      <c r="U112" s="26"/>
      <c r="V112" s="26"/>
      <c r="W112" s="26"/>
      <c r="X112" s="26" t="s">
        <v>35</v>
      </c>
      <c r="Y112" s="60">
        <f t="shared" si="3"/>
        <v>2026</v>
      </c>
      <c r="Z112" s="60">
        <f t="shared" si="4"/>
        <v>1</v>
      </c>
      <c r="AA112" s="60">
        <f t="shared" si="5"/>
        <v>28</v>
      </c>
    </row>
    <row r="113" ht="13.85" spans="1:27">
      <c r="A113" s="29" t="s">
        <v>487</v>
      </c>
      <c r="B113" s="27">
        <v>46050</v>
      </c>
      <c r="C113" s="27">
        <v>46050</v>
      </c>
      <c r="D113" s="29" t="s">
        <v>6</v>
      </c>
      <c r="E113" s="29" t="s">
        <v>265</v>
      </c>
      <c r="F113" s="29" t="s">
        <v>488</v>
      </c>
      <c r="G113" s="26"/>
      <c r="H113" s="26" t="s">
        <v>75</v>
      </c>
      <c r="I113" s="26">
        <v>7535.4</v>
      </c>
      <c r="J113" s="26">
        <v>753.54</v>
      </c>
      <c r="K113" s="29" t="s">
        <v>486</v>
      </c>
      <c r="L113" s="29" t="s">
        <v>487</v>
      </c>
      <c r="M113" s="29" t="s">
        <v>11</v>
      </c>
      <c r="N113" s="29" t="s">
        <v>81</v>
      </c>
      <c r="O113" s="29" t="s">
        <v>268</v>
      </c>
      <c r="P113" s="26"/>
      <c r="Q113" s="26"/>
      <c r="R113" s="26"/>
      <c r="S113" s="26"/>
      <c r="T113" s="26"/>
      <c r="U113" s="26"/>
      <c r="V113" s="26"/>
      <c r="W113" s="26"/>
      <c r="X113" s="26" t="s">
        <v>35</v>
      </c>
      <c r="Y113" s="60">
        <f t="shared" si="3"/>
        <v>2026</v>
      </c>
      <c r="Z113" s="60">
        <f t="shared" si="4"/>
        <v>1</v>
      </c>
      <c r="AA113" s="60">
        <f t="shared" si="5"/>
        <v>28</v>
      </c>
    </row>
    <row r="114" ht="16.1" hidden="1" spans="1:27">
      <c r="A114" s="55" t="s">
        <v>489</v>
      </c>
      <c r="B114" s="27">
        <v>45908</v>
      </c>
      <c r="C114" s="27">
        <v>46052</v>
      </c>
      <c r="D114" s="26" t="s">
        <v>6</v>
      </c>
      <c r="E114" s="29" t="s">
        <v>490</v>
      </c>
      <c r="F114" s="29" t="s">
        <v>491</v>
      </c>
      <c r="G114" s="29"/>
      <c r="H114" s="29" t="s">
        <v>492</v>
      </c>
      <c r="I114" s="26">
        <v>247396.05</v>
      </c>
      <c r="J114" s="26">
        <v>10012.32</v>
      </c>
      <c r="K114" s="63" t="s">
        <v>493</v>
      </c>
      <c r="L114" s="29" t="s">
        <v>494</v>
      </c>
      <c r="M114" s="29" t="s">
        <v>11</v>
      </c>
      <c r="N114" s="29" t="s">
        <v>495</v>
      </c>
      <c r="O114" s="29" t="s">
        <v>125</v>
      </c>
      <c r="P114" s="29" t="s">
        <v>11</v>
      </c>
      <c r="Q114" s="29" t="s">
        <v>70</v>
      </c>
      <c r="R114" s="26"/>
      <c r="S114" s="26"/>
      <c r="T114" s="26"/>
      <c r="U114" s="26"/>
      <c r="V114" s="26"/>
      <c r="W114" s="26"/>
      <c r="X114" s="59" t="s">
        <v>36</v>
      </c>
      <c r="Y114" s="60">
        <f t="shared" si="3"/>
        <v>2026</v>
      </c>
      <c r="Z114" s="60">
        <f t="shared" si="4"/>
        <v>1</v>
      </c>
      <c r="AA114" s="60">
        <f t="shared" si="5"/>
        <v>30</v>
      </c>
    </row>
    <row r="115" ht="13.85" hidden="1" spans="1:27">
      <c r="A115" s="55" t="s">
        <v>496</v>
      </c>
      <c r="B115" s="31">
        <v>46048</v>
      </c>
      <c r="C115" s="27">
        <v>46056</v>
      </c>
      <c r="D115" s="26" t="s">
        <v>6</v>
      </c>
      <c r="E115" s="29" t="s">
        <v>497</v>
      </c>
      <c r="F115" s="29" t="s">
        <v>498</v>
      </c>
      <c r="G115" s="29"/>
      <c r="H115" s="29" t="s">
        <v>455</v>
      </c>
      <c r="I115" s="26">
        <v>71383.75</v>
      </c>
      <c r="J115" s="26">
        <v>1996.19</v>
      </c>
      <c r="K115" s="26" t="s">
        <v>466</v>
      </c>
      <c r="L115" s="26" t="s">
        <v>499</v>
      </c>
      <c r="M115" s="29" t="s">
        <v>11</v>
      </c>
      <c r="N115" s="29" t="s">
        <v>81</v>
      </c>
      <c r="O115" s="29" t="s">
        <v>125</v>
      </c>
      <c r="P115" s="29" t="s">
        <v>11</v>
      </c>
      <c r="Q115" s="29" t="s">
        <v>70</v>
      </c>
      <c r="R115" s="26"/>
      <c r="S115" s="26"/>
      <c r="T115" s="26"/>
      <c r="U115" s="26"/>
      <c r="V115" s="26"/>
      <c r="W115" s="26"/>
      <c r="X115" s="26" t="s">
        <v>34</v>
      </c>
      <c r="Y115" s="60">
        <f t="shared" si="3"/>
        <v>2026</v>
      </c>
      <c r="Z115" s="60">
        <f t="shared" si="4"/>
        <v>2</v>
      </c>
      <c r="AA115" s="60">
        <f t="shared" si="5"/>
        <v>3</v>
      </c>
    </row>
    <row r="116" ht="15" hidden="1" spans="1:27">
      <c r="A116" s="26" t="s">
        <v>500</v>
      </c>
      <c r="B116" s="27">
        <v>46052</v>
      </c>
      <c r="C116" s="27">
        <v>46052</v>
      </c>
      <c r="D116" s="26" t="s">
        <v>6</v>
      </c>
      <c r="E116" s="29" t="s">
        <v>477</v>
      </c>
      <c r="F116" s="29" t="s">
        <v>501</v>
      </c>
      <c r="G116" s="29"/>
      <c r="H116" s="29" t="s">
        <v>502</v>
      </c>
      <c r="I116" s="26">
        <v>2911.04</v>
      </c>
      <c r="J116" s="26">
        <v>5009.52</v>
      </c>
      <c r="K116" s="26" t="s">
        <v>503</v>
      </c>
      <c r="L116" s="26" t="s">
        <v>500</v>
      </c>
      <c r="M116" s="29" t="s">
        <v>14</v>
      </c>
      <c r="N116" s="29" t="s">
        <v>81</v>
      </c>
      <c r="O116" s="29" t="s">
        <v>212</v>
      </c>
      <c r="P116" s="26"/>
      <c r="Q116" s="26"/>
      <c r="R116" s="26"/>
      <c r="S116" s="26"/>
      <c r="T116" s="26"/>
      <c r="U116" s="26"/>
      <c r="V116" s="26"/>
      <c r="W116" s="26"/>
      <c r="X116" s="26" t="s">
        <v>34</v>
      </c>
      <c r="Y116" s="60">
        <f t="shared" si="3"/>
        <v>2026</v>
      </c>
      <c r="Z116" s="60">
        <f t="shared" si="4"/>
        <v>1</v>
      </c>
      <c r="AA116" s="60">
        <f t="shared" si="5"/>
        <v>30</v>
      </c>
    </row>
    <row r="117" ht="13.85" hidden="1" spans="1:27">
      <c r="A117" s="26" t="s">
        <v>504</v>
      </c>
      <c r="B117" s="27">
        <v>46052</v>
      </c>
      <c r="C117" s="27">
        <v>46052</v>
      </c>
      <c r="D117" s="26" t="s">
        <v>6</v>
      </c>
      <c r="E117" s="29" t="s">
        <v>505</v>
      </c>
      <c r="F117" s="29" t="s">
        <v>506</v>
      </c>
      <c r="G117" s="29"/>
      <c r="H117" s="29" t="s">
        <v>507</v>
      </c>
      <c r="I117" s="26">
        <v>34281.64</v>
      </c>
      <c r="J117" s="26">
        <v>2985.66</v>
      </c>
      <c r="K117" s="26" t="s">
        <v>503</v>
      </c>
      <c r="L117" s="26" t="s">
        <v>504</v>
      </c>
      <c r="M117" s="29" t="s">
        <v>14</v>
      </c>
      <c r="N117" s="29" t="s">
        <v>81</v>
      </c>
      <c r="O117" s="29" t="s">
        <v>212</v>
      </c>
      <c r="P117" s="26"/>
      <c r="Q117" s="26"/>
      <c r="R117" s="26"/>
      <c r="S117" s="26"/>
      <c r="T117" s="26"/>
      <c r="U117" s="26"/>
      <c r="V117" s="26"/>
      <c r="W117" s="26"/>
      <c r="X117" s="26" t="s">
        <v>34</v>
      </c>
      <c r="Y117" s="60">
        <f t="shared" si="3"/>
        <v>2026</v>
      </c>
      <c r="Z117" s="60">
        <f t="shared" si="4"/>
        <v>1</v>
      </c>
      <c r="AA117" s="60">
        <f t="shared" si="5"/>
        <v>30</v>
      </c>
    </row>
    <row r="118" ht="13.85" hidden="1" spans="1:27">
      <c r="A118" s="55" t="s">
        <v>508</v>
      </c>
      <c r="B118" s="27">
        <v>46041</v>
      </c>
      <c r="C118" s="31">
        <v>46055</v>
      </c>
      <c r="D118" s="26" t="s">
        <v>6</v>
      </c>
      <c r="E118" s="29" t="s">
        <v>509</v>
      </c>
      <c r="F118" s="29" t="s">
        <v>510</v>
      </c>
      <c r="G118" s="29"/>
      <c r="H118" s="29" t="s">
        <v>511</v>
      </c>
      <c r="I118" s="26">
        <v>6371.22</v>
      </c>
      <c r="J118" s="26">
        <v>209.04</v>
      </c>
      <c r="K118" s="29" t="s">
        <v>512</v>
      </c>
      <c r="L118" s="29" t="s">
        <v>513</v>
      </c>
      <c r="M118" s="29" t="s">
        <v>14</v>
      </c>
      <c r="N118" s="29" t="s">
        <v>81</v>
      </c>
      <c r="O118" s="29" t="s">
        <v>238</v>
      </c>
      <c r="P118" s="26"/>
      <c r="Q118" s="26"/>
      <c r="R118" s="26"/>
      <c r="S118" s="26"/>
      <c r="T118" s="26"/>
      <c r="U118" s="26"/>
      <c r="V118" s="26"/>
      <c r="W118" s="26"/>
      <c r="X118" s="26" t="s">
        <v>34</v>
      </c>
      <c r="Y118" s="60">
        <f t="shared" si="3"/>
        <v>2026</v>
      </c>
      <c r="Z118" s="60">
        <f t="shared" si="4"/>
        <v>2</v>
      </c>
      <c r="AA118" s="60">
        <f t="shared" si="5"/>
        <v>2</v>
      </c>
    </row>
    <row r="119" s="23" customFormat="1" ht="15.75" hidden="1" spans="1:27">
      <c r="A119" s="55" t="s">
        <v>514</v>
      </c>
      <c r="B119" s="27">
        <v>46035</v>
      </c>
      <c r="C119" s="27">
        <v>46055</v>
      </c>
      <c r="D119" s="26" t="s">
        <v>6</v>
      </c>
      <c r="E119" s="29" t="s">
        <v>515</v>
      </c>
      <c r="F119" s="29" t="s">
        <v>516</v>
      </c>
      <c r="G119" s="29"/>
      <c r="H119" s="29" t="s">
        <v>507</v>
      </c>
      <c r="I119" s="64">
        <v>2201.6</v>
      </c>
      <c r="J119" s="26">
        <v>110.08</v>
      </c>
      <c r="K119" s="29" t="s">
        <v>512</v>
      </c>
      <c r="L119" s="29" t="s">
        <v>514</v>
      </c>
      <c r="M119" s="29" t="s">
        <v>14</v>
      </c>
      <c r="N119" s="29" t="s">
        <v>81</v>
      </c>
      <c r="O119" s="29" t="s">
        <v>238</v>
      </c>
      <c r="P119" s="26"/>
      <c r="Q119" s="26"/>
      <c r="R119" s="26"/>
      <c r="S119" s="26"/>
      <c r="T119" s="26"/>
      <c r="U119" s="26"/>
      <c r="V119" s="26"/>
      <c r="W119" s="26"/>
      <c r="X119" s="26" t="s">
        <v>34</v>
      </c>
      <c r="Y119" s="65">
        <f t="shared" si="3"/>
        <v>2026</v>
      </c>
      <c r="Z119" s="65">
        <f t="shared" si="4"/>
        <v>2</v>
      </c>
      <c r="AA119" s="65">
        <f t="shared" si="5"/>
        <v>2</v>
      </c>
    </row>
    <row r="120" ht="17.6" hidden="1" spans="1:27">
      <c r="A120" s="55" t="s">
        <v>517</v>
      </c>
      <c r="B120" s="27">
        <v>46044</v>
      </c>
      <c r="C120" s="27">
        <v>46055</v>
      </c>
      <c r="D120" s="29" t="s">
        <v>6</v>
      </c>
      <c r="E120" s="66" t="s">
        <v>518</v>
      </c>
      <c r="F120" s="29" t="s">
        <v>519</v>
      </c>
      <c r="G120" s="29"/>
      <c r="H120" s="29" t="s">
        <v>520</v>
      </c>
      <c r="I120" s="26">
        <v>1102.8</v>
      </c>
      <c r="J120" s="26">
        <v>27.57</v>
      </c>
      <c r="K120" s="26"/>
      <c r="L120" s="29" t="s">
        <v>517</v>
      </c>
      <c r="M120" s="29" t="s">
        <v>11</v>
      </c>
      <c r="N120" s="29" t="s">
        <v>81</v>
      </c>
      <c r="O120" s="29" t="s">
        <v>181</v>
      </c>
      <c r="P120" s="26"/>
      <c r="Q120" s="26"/>
      <c r="R120" s="26"/>
      <c r="S120" s="26"/>
      <c r="T120" s="26"/>
      <c r="U120" s="26"/>
      <c r="V120" s="26"/>
      <c r="W120" s="26"/>
      <c r="X120" s="26" t="s">
        <v>34</v>
      </c>
      <c r="Y120" s="60">
        <f t="shared" si="3"/>
        <v>2026</v>
      </c>
      <c r="Z120" s="60">
        <f t="shared" si="4"/>
        <v>2</v>
      </c>
      <c r="AA120" s="60">
        <f t="shared" si="5"/>
        <v>2</v>
      </c>
    </row>
    <row r="121" ht="13.85" hidden="1" spans="1:27">
      <c r="A121" s="29" t="s">
        <v>521</v>
      </c>
      <c r="B121" s="27">
        <v>46038</v>
      </c>
      <c r="C121" s="27">
        <v>46055</v>
      </c>
      <c r="D121" s="29" t="s">
        <v>6</v>
      </c>
      <c r="E121" s="55" t="s">
        <v>522</v>
      </c>
      <c r="F121" s="29" t="s">
        <v>523</v>
      </c>
      <c r="G121" s="29"/>
      <c r="H121" s="29" t="s">
        <v>520</v>
      </c>
      <c r="I121" s="26">
        <v>2562</v>
      </c>
      <c r="J121" s="26">
        <v>224.78</v>
      </c>
      <c r="K121" s="29" t="s">
        <v>524</v>
      </c>
      <c r="L121" s="29" t="s">
        <v>521</v>
      </c>
      <c r="M121" s="29" t="s">
        <v>11</v>
      </c>
      <c r="N121" s="29" t="s">
        <v>81</v>
      </c>
      <c r="O121" s="29" t="s">
        <v>181</v>
      </c>
      <c r="P121" s="26"/>
      <c r="Q121" s="26"/>
      <c r="R121" s="26"/>
      <c r="S121" s="26"/>
      <c r="T121" s="26"/>
      <c r="U121" s="26"/>
      <c r="V121" s="26"/>
      <c r="W121" s="26"/>
      <c r="X121" s="26" t="s">
        <v>34</v>
      </c>
      <c r="Y121" s="60">
        <f t="shared" si="3"/>
        <v>2026</v>
      </c>
      <c r="Z121" s="60">
        <f t="shared" si="4"/>
        <v>2</v>
      </c>
      <c r="AA121" s="60">
        <f t="shared" si="5"/>
        <v>2</v>
      </c>
    </row>
    <row r="122" ht="13.85" hidden="1" spans="1:27">
      <c r="A122" s="26" t="s">
        <v>525</v>
      </c>
      <c r="B122" s="27">
        <v>46009</v>
      </c>
      <c r="C122" s="27">
        <v>46055</v>
      </c>
      <c r="D122" s="29" t="s">
        <v>6</v>
      </c>
      <c r="E122" s="55" t="s">
        <v>526</v>
      </c>
      <c r="F122" s="29" t="s">
        <v>527</v>
      </c>
      <c r="G122" s="29"/>
      <c r="H122" s="29" t="s">
        <v>520</v>
      </c>
      <c r="I122" s="26">
        <v>317.6</v>
      </c>
      <c r="J122" s="26">
        <v>31.76</v>
      </c>
      <c r="K122" s="29" t="s">
        <v>528</v>
      </c>
      <c r="L122" s="29" t="s">
        <v>525</v>
      </c>
      <c r="M122" s="29" t="s">
        <v>11</v>
      </c>
      <c r="N122" s="29" t="s">
        <v>81</v>
      </c>
      <c r="O122" s="29" t="s">
        <v>181</v>
      </c>
      <c r="P122" s="26"/>
      <c r="Q122" s="26"/>
      <c r="R122" s="26"/>
      <c r="S122" s="26"/>
      <c r="T122" s="26"/>
      <c r="U122" s="26"/>
      <c r="V122" s="26"/>
      <c r="W122" s="26"/>
      <c r="X122" s="26" t="s">
        <v>34</v>
      </c>
      <c r="Y122" s="60">
        <f t="shared" si="3"/>
        <v>2026</v>
      </c>
      <c r="Z122" s="60">
        <f t="shared" si="4"/>
        <v>2</v>
      </c>
      <c r="AA122" s="60">
        <f t="shared" si="5"/>
        <v>2</v>
      </c>
    </row>
    <row r="123" ht="13.85" hidden="1" spans="1:27">
      <c r="A123" s="29" t="s">
        <v>529</v>
      </c>
      <c r="B123" s="27">
        <v>46023</v>
      </c>
      <c r="C123" s="27">
        <v>46055</v>
      </c>
      <c r="D123" s="29" t="s">
        <v>6</v>
      </c>
      <c r="E123" s="55" t="s">
        <v>530</v>
      </c>
      <c r="F123" s="29" t="s">
        <v>531</v>
      </c>
      <c r="G123" s="29"/>
      <c r="H123" s="29" t="s">
        <v>520</v>
      </c>
      <c r="I123" s="26">
        <v>7789.77</v>
      </c>
      <c r="J123" s="26">
        <v>1498.032</v>
      </c>
      <c r="K123" s="29" t="s">
        <v>532</v>
      </c>
      <c r="L123" s="29" t="s">
        <v>529</v>
      </c>
      <c r="M123" s="29" t="s">
        <v>11</v>
      </c>
      <c r="N123" s="29" t="s">
        <v>81</v>
      </c>
      <c r="O123" s="29" t="s">
        <v>181</v>
      </c>
      <c r="P123" s="26"/>
      <c r="Q123" s="26"/>
      <c r="R123" s="26"/>
      <c r="S123" s="26"/>
      <c r="T123" s="26"/>
      <c r="U123" s="26"/>
      <c r="V123" s="26"/>
      <c r="W123" s="26"/>
      <c r="X123" s="26" t="s">
        <v>34</v>
      </c>
      <c r="Y123" s="60">
        <f t="shared" si="3"/>
        <v>2026</v>
      </c>
      <c r="Z123" s="60">
        <f t="shared" si="4"/>
        <v>2</v>
      </c>
      <c r="AA123" s="60">
        <f t="shared" si="5"/>
        <v>2</v>
      </c>
    </row>
    <row r="124" ht="13.85" hidden="1" spans="1:27">
      <c r="A124" s="26" t="s">
        <v>533</v>
      </c>
      <c r="B124" s="27">
        <v>46038</v>
      </c>
      <c r="C124" s="27">
        <v>46055</v>
      </c>
      <c r="D124" s="29" t="s">
        <v>6</v>
      </c>
      <c r="E124" s="29" t="s">
        <v>534</v>
      </c>
      <c r="F124" s="29" t="s">
        <v>535</v>
      </c>
      <c r="G124" s="29"/>
      <c r="H124" s="29" t="s">
        <v>536</v>
      </c>
      <c r="I124" s="26">
        <v>3219.75</v>
      </c>
      <c r="J124" s="26">
        <v>1.325</v>
      </c>
      <c r="K124" s="26"/>
      <c r="L124" s="29" t="s">
        <v>533</v>
      </c>
      <c r="M124" s="29" t="s">
        <v>11</v>
      </c>
      <c r="N124" s="29" t="s">
        <v>81</v>
      </c>
      <c r="O124" s="29" t="s">
        <v>181</v>
      </c>
      <c r="P124" s="26"/>
      <c r="Q124" s="26"/>
      <c r="R124" s="26"/>
      <c r="S124" s="26"/>
      <c r="T124" s="26"/>
      <c r="U124" s="26"/>
      <c r="V124" s="26"/>
      <c r="W124" s="26"/>
      <c r="X124" s="59" t="s">
        <v>39</v>
      </c>
      <c r="Y124" s="60">
        <f t="shared" si="3"/>
        <v>2026</v>
      </c>
      <c r="Z124" s="60">
        <f t="shared" si="4"/>
        <v>2</v>
      </c>
      <c r="AA124" s="60">
        <f t="shared" si="5"/>
        <v>2</v>
      </c>
    </row>
    <row r="125" ht="14.6" hidden="1" spans="1:27">
      <c r="A125" s="29" t="s">
        <v>537</v>
      </c>
      <c r="B125" s="27">
        <v>46036</v>
      </c>
      <c r="C125" s="27">
        <v>46055</v>
      </c>
      <c r="D125" s="29" t="s">
        <v>6</v>
      </c>
      <c r="E125" s="34" t="s">
        <v>538</v>
      </c>
      <c r="F125" s="29" t="s">
        <v>539</v>
      </c>
      <c r="G125" s="29"/>
      <c r="H125" s="29" t="s">
        <v>520</v>
      </c>
      <c r="I125" s="26">
        <v>877.09</v>
      </c>
      <c r="J125" s="26">
        <v>0.35338</v>
      </c>
      <c r="K125" s="26"/>
      <c r="L125" s="26" t="s">
        <v>537</v>
      </c>
      <c r="M125" s="29" t="s">
        <v>11</v>
      </c>
      <c r="N125" s="29" t="s">
        <v>81</v>
      </c>
      <c r="O125" s="29" t="s">
        <v>181</v>
      </c>
      <c r="P125" s="26"/>
      <c r="Q125" s="26"/>
      <c r="R125" s="26"/>
      <c r="S125" s="26"/>
      <c r="T125" s="26"/>
      <c r="U125" s="26"/>
      <c r="V125" s="26"/>
      <c r="W125" s="26"/>
      <c r="X125" s="26" t="s">
        <v>34</v>
      </c>
      <c r="Y125" s="60">
        <f t="shared" si="3"/>
        <v>2026</v>
      </c>
      <c r="Z125" s="60">
        <f t="shared" si="4"/>
        <v>2</v>
      </c>
      <c r="AA125" s="60">
        <f t="shared" si="5"/>
        <v>2</v>
      </c>
    </row>
    <row r="126" ht="13.85" hidden="1" spans="1:27">
      <c r="A126" s="26" t="s">
        <v>540</v>
      </c>
      <c r="B126" s="31" t="s">
        <v>541</v>
      </c>
      <c r="C126" s="27">
        <v>46055</v>
      </c>
      <c r="D126" s="29" t="s">
        <v>6</v>
      </c>
      <c r="E126" s="55" t="s">
        <v>542</v>
      </c>
      <c r="F126" s="29" t="s">
        <v>543</v>
      </c>
      <c r="G126" s="29"/>
      <c r="H126" s="29" t="s">
        <v>520</v>
      </c>
      <c r="I126" s="26">
        <v>3707.84</v>
      </c>
      <c r="J126" s="26">
        <v>27.88166</v>
      </c>
      <c r="K126" s="26"/>
      <c r="L126" s="29" t="s">
        <v>540</v>
      </c>
      <c r="M126" s="29" t="s">
        <v>11</v>
      </c>
      <c r="N126" s="29" t="s">
        <v>81</v>
      </c>
      <c r="O126" s="29" t="s">
        <v>181</v>
      </c>
      <c r="P126" s="26"/>
      <c r="Q126" s="26"/>
      <c r="R126" s="26"/>
      <c r="S126" s="26"/>
      <c r="T126" s="26"/>
      <c r="U126" s="26"/>
      <c r="V126" s="26"/>
      <c r="W126" s="26"/>
      <c r="X126" s="26" t="s">
        <v>34</v>
      </c>
      <c r="Y126" s="60">
        <f t="shared" si="3"/>
        <v>2026</v>
      </c>
      <c r="Z126" s="60">
        <f t="shared" si="4"/>
        <v>2</v>
      </c>
      <c r="AA126" s="60">
        <f t="shared" si="5"/>
        <v>2</v>
      </c>
    </row>
    <row r="127" ht="20.25" hidden="1" spans="1:27">
      <c r="A127" s="29" t="s">
        <v>544</v>
      </c>
      <c r="B127" s="27">
        <v>46051</v>
      </c>
      <c r="C127" s="27">
        <v>46055</v>
      </c>
      <c r="D127" s="29" t="s">
        <v>6</v>
      </c>
      <c r="E127" s="29" t="s">
        <v>545</v>
      </c>
      <c r="F127" s="29" t="s">
        <v>546</v>
      </c>
      <c r="G127" s="29"/>
      <c r="H127" s="29" t="s">
        <v>547</v>
      </c>
      <c r="I127" s="26">
        <v>74940.81</v>
      </c>
      <c r="J127" s="26">
        <v>4996.054</v>
      </c>
      <c r="K127" s="29" t="s">
        <v>524</v>
      </c>
      <c r="L127" s="67" t="s">
        <v>548</v>
      </c>
      <c r="M127" s="29" t="s">
        <v>13</v>
      </c>
      <c r="N127" s="29" t="s">
        <v>81</v>
      </c>
      <c r="O127" s="29" t="s">
        <v>549</v>
      </c>
      <c r="P127" s="26"/>
      <c r="Q127" s="26"/>
      <c r="R127" s="26"/>
      <c r="S127" s="26"/>
      <c r="T127" s="26"/>
      <c r="U127" s="26"/>
      <c r="V127" s="26"/>
      <c r="W127" s="26"/>
      <c r="X127" s="26" t="s">
        <v>35</v>
      </c>
      <c r="Y127" s="60">
        <f t="shared" si="3"/>
        <v>2026</v>
      </c>
      <c r="Z127" s="60">
        <f t="shared" si="4"/>
        <v>2</v>
      </c>
      <c r="AA127" s="60">
        <f t="shared" si="5"/>
        <v>2</v>
      </c>
    </row>
    <row r="128" ht="20.25" hidden="1" spans="1:27">
      <c r="A128" s="26"/>
      <c r="B128" s="31">
        <v>46048</v>
      </c>
      <c r="C128" s="27">
        <v>46055</v>
      </c>
      <c r="D128" s="29" t="s">
        <v>6</v>
      </c>
      <c r="E128" s="55" t="s">
        <v>550</v>
      </c>
      <c r="F128" s="29" t="s">
        <v>551</v>
      </c>
      <c r="G128" s="29"/>
      <c r="H128" s="29" t="s">
        <v>520</v>
      </c>
      <c r="I128" s="26">
        <v>1886.3</v>
      </c>
      <c r="J128" s="26">
        <v>377.26</v>
      </c>
      <c r="K128" s="29" t="s">
        <v>552</v>
      </c>
      <c r="L128" s="68" t="s">
        <v>553</v>
      </c>
      <c r="M128" s="29" t="s">
        <v>13</v>
      </c>
      <c r="N128" s="29" t="s">
        <v>81</v>
      </c>
      <c r="O128" s="29" t="s">
        <v>186</v>
      </c>
      <c r="P128" s="26"/>
      <c r="Q128" s="26"/>
      <c r="R128" s="26"/>
      <c r="S128" s="26"/>
      <c r="T128" s="26"/>
      <c r="U128" s="26"/>
      <c r="V128" s="26"/>
      <c r="W128" s="26"/>
      <c r="X128" s="26" t="s">
        <v>34</v>
      </c>
      <c r="Y128" s="60">
        <f t="shared" si="3"/>
        <v>2026</v>
      </c>
      <c r="Z128" s="60">
        <f t="shared" si="4"/>
        <v>2</v>
      </c>
      <c r="AA128" s="60">
        <f t="shared" si="5"/>
        <v>2</v>
      </c>
    </row>
    <row r="129" ht="13.85" hidden="1" spans="1:27">
      <c r="A129" s="26" t="s">
        <v>554</v>
      </c>
      <c r="B129" s="27">
        <v>46006</v>
      </c>
      <c r="C129" s="27">
        <v>46056</v>
      </c>
      <c r="D129" s="26" t="s">
        <v>6</v>
      </c>
      <c r="E129" s="29" t="s">
        <v>555</v>
      </c>
      <c r="F129" s="29" t="s">
        <v>556</v>
      </c>
      <c r="G129" s="29"/>
      <c r="H129" s="29" t="s">
        <v>455</v>
      </c>
      <c r="I129" s="26">
        <v>24665.42</v>
      </c>
      <c r="J129" s="26">
        <v>10.487</v>
      </c>
      <c r="K129" s="29" t="s">
        <v>353</v>
      </c>
      <c r="L129" s="26" t="s">
        <v>554</v>
      </c>
      <c r="M129" s="29" t="s">
        <v>11</v>
      </c>
      <c r="N129" s="29" t="s">
        <v>81</v>
      </c>
      <c r="O129" s="29" t="s">
        <v>125</v>
      </c>
      <c r="P129" s="29" t="s">
        <v>11</v>
      </c>
      <c r="Q129" s="29" t="s">
        <v>70</v>
      </c>
      <c r="R129" s="26"/>
      <c r="S129" s="26"/>
      <c r="T129" s="26"/>
      <c r="U129" s="26"/>
      <c r="V129" s="26"/>
      <c r="W129" s="26"/>
      <c r="X129" s="26" t="s">
        <v>34</v>
      </c>
      <c r="Y129" s="60">
        <f t="shared" si="3"/>
        <v>2026</v>
      </c>
      <c r="Z129" s="60">
        <f t="shared" si="4"/>
        <v>2</v>
      </c>
      <c r="AA129" s="60">
        <f t="shared" si="5"/>
        <v>3</v>
      </c>
    </row>
    <row r="130" ht="13.85" hidden="1" spans="1:27">
      <c r="A130" s="26" t="s">
        <v>557</v>
      </c>
      <c r="B130" s="27">
        <v>46006</v>
      </c>
      <c r="C130" s="27">
        <v>46056</v>
      </c>
      <c r="D130" s="26" t="s">
        <v>6</v>
      </c>
      <c r="E130" s="29" t="s">
        <v>558</v>
      </c>
      <c r="F130" s="29" t="s">
        <v>559</v>
      </c>
      <c r="G130" s="29"/>
      <c r="H130" s="29" t="s">
        <v>455</v>
      </c>
      <c r="I130" s="26">
        <v>50457.42</v>
      </c>
      <c r="J130" s="26">
        <v>21.563</v>
      </c>
      <c r="K130" s="29" t="s">
        <v>353</v>
      </c>
      <c r="L130" s="26" t="s">
        <v>557</v>
      </c>
      <c r="M130" s="29" t="s">
        <v>11</v>
      </c>
      <c r="N130" s="29" t="s">
        <v>81</v>
      </c>
      <c r="O130" s="29" t="s">
        <v>125</v>
      </c>
      <c r="P130" s="29" t="s">
        <v>11</v>
      </c>
      <c r="Q130" s="29" t="s">
        <v>70</v>
      </c>
      <c r="R130" s="26"/>
      <c r="S130" s="26"/>
      <c r="T130" s="26"/>
      <c r="U130" s="26"/>
      <c r="V130" s="26"/>
      <c r="W130" s="26"/>
      <c r="X130" s="26" t="s">
        <v>34</v>
      </c>
      <c r="Y130" s="60">
        <f t="shared" ref="Y130:Y193" si="6">YEAR(C130)</f>
        <v>2026</v>
      </c>
      <c r="Z130" s="60">
        <f t="shared" ref="Z130:Z193" si="7">MONTH(C130)</f>
        <v>2</v>
      </c>
      <c r="AA130" s="60">
        <f t="shared" ref="AA130:AA193" si="8">DAY(C130)</f>
        <v>3</v>
      </c>
    </row>
    <row r="131" ht="13.85" hidden="1" spans="1:27">
      <c r="A131" s="55" t="s">
        <v>560</v>
      </c>
      <c r="B131" s="27">
        <v>46039</v>
      </c>
      <c r="C131" s="27">
        <v>46056</v>
      </c>
      <c r="D131" s="26" t="s">
        <v>6</v>
      </c>
      <c r="E131" s="29" t="s">
        <v>234</v>
      </c>
      <c r="F131" s="29" t="s">
        <v>561</v>
      </c>
      <c r="G131" s="29"/>
      <c r="H131" s="29" t="s">
        <v>455</v>
      </c>
      <c r="I131" s="26">
        <v>24282.25</v>
      </c>
      <c r="J131" s="26">
        <v>1453.96</v>
      </c>
      <c r="K131" s="29" t="s">
        <v>562</v>
      </c>
      <c r="L131" s="29" t="s">
        <v>560</v>
      </c>
      <c r="M131" s="29" t="s">
        <v>14</v>
      </c>
      <c r="N131" s="29" t="s">
        <v>81</v>
      </c>
      <c r="O131" s="26"/>
      <c r="P131" s="26"/>
      <c r="Q131" s="26"/>
      <c r="R131" s="26"/>
      <c r="S131" s="26"/>
      <c r="T131" s="26"/>
      <c r="U131" s="26"/>
      <c r="V131" s="26"/>
      <c r="W131" s="26"/>
      <c r="X131" s="26" t="s">
        <v>34</v>
      </c>
      <c r="Y131" s="60">
        <f t="shared" si="6"/>
        <v>2026</v>
      </c>
      <c r="Z131" s="60">
        <f t="shared" si="7"/>
        <v>2</v>
      </c>
      <c r="AA131" s="60">
        <f t="shared" si="8"/>
        <v>3</v>
      </c>
    </row>
    <row r="132" ht="13.85" hidden="1" spans="1:27">
      <c r="A132" s="55" t="s">
        <v>563</v>
      </c>
      <c r="B132" s="27">
        <v>46042</v>
      </c>
      <c r="C132" s="27">
        <v>46055</v>
      </c>
      <c r="D132" s="26" t="s">
        <v>6</v>
      </c>
      <c r="E132" s="29" t="s">
        <v>234</v>
      </c>
      <c r="F132" s="29" t="s">
        <v>564</v>
      </c>
      <c r="G132" s="29"/>
      <c r="H132" s="29" t="s">
        <v>455</v>
      </c>
      <c r="I132" s="26">
        <v>4432.47</v>
      </c>
      <c r="J132" s="26">
        <v>1491.92</v>
      </c>
      <c r="K132" s="29" t="s">
        <v>565</v>
      </c>
      <c r="L132" s="29" t="s">
        <v>563</v>
      </c>
      <c r="M132" s="29" t="s">
        <v>14</v>
      </c>
      <c r="N132" s="29" t="s">
        <v>81</v>
      </c>
      <c r="O132" s="29" t="s">
        <v>212</v>
      </c>
      <c r="P132" s="26"/>
      <c r="Q132" s="26"/>
      <c r="R132" s="26"/>
      <c r="S132" s="26"/>
      <c r="T132" s="26"/>
      <c r="U132" s="26"/>
      <c r="V132" s="26"/>
      <c r="W132" s="26"/>
      <c r="X132" s="26" t="s">
        <v>34</v>
      </c>
      <c r="Y132" s="60">
        <f t="shared" si="6"/>
        <v>2026</v>
      </c>
      <c r="Z132" s="60">
        <f t="shared" si="7"/>
        <v>2</v>
      </c>
      <c r="AA132" s="60">
        <f t="shared" si="8"/>
        <v>2</v>
      </c>
    </row>
    <row r="133" ht="13.85" hidden="1" spans="1:27">
      <c r="A133" s="55" t="s">
        <v>566</v>
      </c>
      <c r="B133" s="31">
        <v>46016</v>
      </c>
      <c r="C133" s="31">
        <v>46055</v>
      </c>
      <c r="D133" s="26" t="s">
        <v>6</v>
      </c>
      <c r="E133" s="29" t="s">
        <v>567</v>
      </c>
      <c r="F133" s="29" t="s">
        <v>568</v>
      </c>
      <c r="G133" s="29"/>
      <c r="H133" s="29" t="s">
        <v>569</v>
      </c>
      <c r="I133" s="26">
        <v>139419.11</v>
      </c>
      <c r="J133" s="26">
        <v>19541.03</v>
      </c>
      <c r="K133" s="29" t="s">
        <v>570</v>
      </c>
      <c r="L133" s="29" t="s">
        <v>571</v>
      </c>
      <c r="M133" s="29" t="s">
        <v>14</v>
      </c>
      <c r="N133" s="29" t="s">
        <v>81</v>
      </c>
      <c r="O133" s="29" t="s">
        <v>212</v>
      </c>
      <c r="P133" s="26"/>
      <c r="Q133" s="26"/>
      <c r="R133" s="26"/>
      <c r="S133" s="26"/>
      <c r="T133" s="26"/>
      <c r="U133" s="26"/>
      <c r="V133" s="26"/>
      <c r="W133" s="26"/>
      <c r="X133" s="26" t="s">
        <v>34</v>
      </c>
      <c r="Y133" s="60">
        <f t="shared" si="6"/>
        <v>2026</v>
      </c>
      <c r="Z133" s="60">
        <f t="shared" si="7"/>
        <v>2</v>
      </c>
      <c r="AA133" s="60">
        <f t="shared" si="8"/>
        <v>2</v>
      </c>
    </row>
    <row r="134" ht="16.1" hidden="1" spans="1:27">
      <c r="A134" s="26" t="s">
        <v>572</v>
      </c>
      <c r="B134" s="27">
        <v>46038</v>
      </c>
      <c r="C134" s="27">
        <v>46058</v>
      </c>
      <c r="D134" s="26" t="s">
        <v>6</v>
      </c>
      <c r="E134" s="26" t="s">
        <v>573</v>
      </c>
      <c r="F134" s="29" t="s">
        <v>574</v>
      </c>
      <c r="G134" s="29"/>
      <c r="H134" s="29" t="s">
        <v>455</v>
      </c>
      <c r="I134" s="43">
        <v>955.85</v>
      </c>
      <c r="J134" s="26">
        <v>54.84</v>
      </c>
      <c r="K134" s="55"/>
      <c r="L134" s="26" t="s">
        <v>572</v>
      </c>
      <c r="M134" s="29" t="s">
        <v>11</v>
      </c>
      <c r="N134" s="29" t="s">
        <v>81</v>
      </c>
      <c r="O134" s="29" t="s">
        <v>125</v>
      </c>
      <c r="P134" s="29" t="s">
        <v>11</v>
      </c>
      <c r="Q134" s="29" t="s">
        <v>70</v>
      </c>
      <c r="R134" s="26"/>
      <c r="S134" s="26"/>
      <c r="T134" s="26"/>
      <c r="U134" s="26"/>
      <c r="V134" s="26"/>
      <c r="W134" s="26"/>
      <c r="X134" s="26" t="s">
        <v>34</v>
      </c>
      <c r="Y134" s="60">
        <f t="shared" si="6"/>
        <v>2026</v>
      </c>
      <c r="Z134" s="60">
        <f t="shared" si="7"/>
        <v>2</v>
      </c>
      <c r="AA134" s="60">
        <f t="shared" si="8"/>
        <v>5</v>
      </c>
    </row>
    <row r="135" ht="13.85" hidden="1" spans="1:27">
      <c r="A135" s="26" t="s">
        <v>575</v>
      </c>
      <c r="B135" s="27">
        <v>46047</v>
      </c>
      <c r="C135" s="27">
        <v>46058</v>
      </c>
      <c r="D135" s="26" t="s">
        <v>6</v>
      </c>
      <c r="E135" s="26" t="s">
        <v>576</v>
      </c>
      <c r="F135" s="29" t="s">
        <v>577</v>
      </c>
      <c r="G135" s="29"/>
      <c r="H135" s="29" t="s">
        <v>455</v>
      </c>
      <c r="I135" s="26">
        <v>1342.15</v>
      </c>
      <c r="J135" s="26">
        <v>64.78</v>
      </c>
      <c r="K135" s="29"/>
      <c r="L135" s="26" t="s">
        <v>575</v>
      </c>
      <c r="M135" s="29" t="s">
        <v>11</v>
      </c>
      <c r="N135" s="29" t="s">
        <v>81</v>
      </c>
      <c r="O135" s="29" t="s">
        <v>125</v>
      </c>
      <c r="P135" s="29" t="s">
        <v>11</v>
      </c>
      <c r="Q135" s="29" t="s">
        <v>70</v>
      </c>
      <c r="R135" s="26"/>
      <c r="S135" s="26"/>
      <c r="T135" s="26"/>
      <c r="U135" s="26"/>
      <c r="V135" s="26"/>
      <c r="W135" s="26"/>
      <c r="X135" s="26" t="s">
        <v>34</v>
      </c>
      <c r="Y135" s="60">
        <f t="shared" si="6"/>
        <v>2026</v>
      </c>
      <c r="Z135" s="60">
        <f t="shared" si="7"/>
        <v>2</v>
      </c>
      <c r="AA135" s="60">
        <f t="shared" si="8"/>
        <v>5</v>
      </c>
    </row>
    <row r="136" ht="13.85" spans="1:27">
      <c r="A136" s="26" t="s">
        <v>578</v>
      </c>
      <c r="B136" s="27">
        <v>46057</v>
      </c>
      <c r="C136" s="27">
        <v>46059</v>
      </c>
      <c r="D136" s="26" t="s">
        <v>6</v>
      </c>
      <c r="E136" s="26" t="s">
        <v>579</v>
      </c>
      <c r="F136" s="29" t="s">
        <v>580</v>
      </c>
      <c r="G136" s="29"/>
      <c r="H136" s="29" t="s">
        <v>75</v>
      </c>
      <c r="I136" s="26">
        <v>1991.6</v>
      </c>
      <c r="J136" s="26">
        <v>199.16</v>
      </c>
      <c r="K136" s="29" t="s">
        <v>581</v>
      </c>
      <c r="L136" s="26" t="s">
        <v>578</v>
      </c>
      <c r="M136" s="29" t="s">
        <v>13</v>
      </c>
      <c r="N136" s="29" t="s">
        <v>81</v>
      </c>
      <c r="O136" s="29" t="s">
        <v>397</v>
      </c>
      <c r="P136" s="26"/>
      <c r="Q136" s="26"/>
      <c r="R136" s="26"/>
      <c r="S136" s="26"/>
      <c r="T136" s="26"/>
      <c r="U136" s="26"/>
      <c r="V136" s="26"/>
      <c r="W136" s="26"/>
      <c r="X136" s="26" t="s">
        <v>35</v>
      </c>
      <c r="Y136" s="60">
        <f t="shared" si="6"/>
        <v>2026</v>
      </c>
      <c r="Z136" s="60">
        <f t="shared" si="7"/>
        <v>2</v>
      </c>
      <c r="AA136" s="60">
        <f t="shared" si="8"/>
        <v>6</v>
      </c>
    </row>
    <row r="137" ht="13.85" spans="1:27">
      <c r="A137" s="26" t="s">
        <v>582</v>
      </c>
      <c r="B137" s="27">
        <v>46056</v>
      </c>
      <c r="C137" s="27">
        <v>46059</v>
      </c>
      <c r="D137" s="26" t="s">
        <v>6</v>
      </c>
      <c r="E137" s="26" t="s">
        <v>583</v>
      </c>
      <c r="F137" s="29" t="s">
        <v>584</v>
      </c>
      <c r="G137" s="29"/>
      <c r="H137" s="29" t="s">
        <v>75</v>
      </c>
      <c r="I137" s="26">
        <v>7045.4</v>
      </c>
      <c r="J137" s="26">
        <v>704.54</v>
      </c>
      <c r="K137" s="29" t="s">
        <v>404</v>
      </c>
      <c r="L137" s="26" t="s">
        <v>582</v>
      </c>
      <c r="M137" s="29" t="s">
        <v>13</v>
      </c>
      <c r="N137" s="29" t="s">
        <v>81</v>
      </c>
      <c r="O137" s="29" t="s">
        <v>397</v>
      </c>
      <c r="P137" s="26"/>
      <c r="Q137" s="26"/>
      <c r="R137" s="26"/>
      <c r="S137" s="26"/>
      <c r="T137" s="26"/>
      <c r="U137" s="26"/>
      <c r="V137" s="26"/>
      <c r="W137" s="26"/>
      <c r="X137" s="26" t="s">
        <v>35</v>
      </c>
      <c r="Y137" s="60">
        <f t="shared" si="6"/>
        <v>2026</v>
      </c>
      <c r="Z137" s="60">
        <f t="shared" si="7"/>
        <v>2</v>
      </c>
      <c r="AA137" s="60">
        <f t="shared" si="8"/>
        <v>6</v>
      </c>
    </row>
    <row r="138" ht="61.95" customHeight="1" spans="1:27">
      <c r="A138" s="26" t="s">
        <v>585</v>
      </c>
      <c r="B138" s="27">
        <v>46049</v>
      </c>
      <c r="C138" s="27">
        <v>46059</v>
      </c>
      <c r="D138" s="26" t="s">
        <v>6</v>
      </c>
      <c r="E138" s="26" t="s">
        <v>586</v>
      </c>
      <c r="F138" s="29" t="s">
        <v>587</v>
      </c>
      <c r="G138" s="29"/>
      <c r="H138" s="29" t="s">
        <v>75</v>
      </c>
      <c r="I138" s="26">
        <v>22498.2</v>
      </c>
      <c r="J138" s="26">
        <v>1499.88</v>
      </c>
      <c r="K138" s="29" t="s">
        <v>486</v>
      </c>
      <c r="L138" s="26" t="s">
        <v>585</v>
      </c>
      <c r="M138" s="29" t="s">
        <v>11</v>
      </c>
      <c r="N138" s="29" t="s">
        <v>81</v>
      </c>
      <c r="O138" s="29" t="s">
        <v>263</v>
      </c>
      <c r="P138" s="26"/>
      <c r="Q138" s="26"/>
      <c r="R138" s="26"/>
      <c r="S138" s="26"/>
      <c r="T138" s="26"/>
      <c r="U138" s="26"/>
      <c r="V138" s="26"/>
      <c r="W138" s="26"/>
      <c r="X138" s="26" t="s">
        <v>35</v>
      </c>
      <c r="Y138" s="60">
        <f t="shared" si="6"/>
        <v>2026</v>
      </c>
      <c r="Z138" s="60">
        <f t="shared" si="7"/>
        <v>2</v>
      </c>
      <c r="AA138" s="60">
        <f t="shared" si="8"/>
        <v>6</v>
      </c>
    </row>
    <row r="139" ht="13.85" spans="1:27">
      <c r="A139" s="26" t="s">
        <v>588</v>
      </c>
      <c r="B139" s="27">
        <v>46051</v>
      </c>
      <c r="C139" s="27">
        <v>46059</v>
      </c>
      <c r="D139" s="26" t="s">
        <v>6</v>
      </c>
      <c r="E139" s="26" t="s">
        <v>589</v>
      </c>
      <c r="F139" s="29" t="s">
        <v>590</v>
      </c>
      <c r="G139" s="29"/>
      <c r="H139" s="29" t="s">
        <v>75</v>
      </c>
      <c r="I139" s="26">
        <v>37424.25</v>
      </c>
      <c r="J139" s="26">
        <v>1496.97</v>
      </c>
      <c r="K139" s="29" t="s">
        <v>466</v>
      </c>
      <c r="L139" s="26" t="s">
        <v>588</v>
      </c>
      <c r="M139" s="29" t="s">
        <v>11</v>
      </c>
      <c r="N139" s="29" t="s">
        <v>81</v>
      </c>
      <c r="O139" s="29" t="s">
        <v>263</v>
      </c>
      <c r="P139" s="26"/>
      <c r="Q139" s="26"/>
      <c r="R139" s="26"/>
      <c r="S139" s="26"/>
      <c r="T139" s="26"/>
      <c r="U139" s="26"/>
      <c r="V139" s="26"/>
      <c r="W139" s="26"/>
      <c r="X139" s="26" t="s">
        <v>35</v>
      </c>
      <c r="Y139" s="60">
        <f t="shared" si="6"/>
        <v>2026</v>
      </c>
      <c r="Z139" s="60">
        <f t="shared" si="7"/>
        <v>2</v>
      </c>
      <c r="AA139" s="60">
        <f t="shared" si="8"/>
        <v>6</v>
      </c>
    </row>
    <row r="140" ht="20.25" hidden="1" spans="1:27">
      <c r="A140" s="26" t="s">
        <v>591</v>
      </c>
      <c r="B140" s="27">
        <v>46030</v>
      </c>
      <c r="C140" s="27">
        <v>46062</v>
      </c>
      <c r="D140" s="26" t="s">
        <v>6</v>
      </c>
      <c r="E140" s="29" t="s">
        <v>592</v>
      </c>
      <c r="F140" s="29" t="s">
        <v>593</v>
      </c>
      <c r="G140" s="29"/>
      <c r="H140" s="29" t="s">
        <v>594</v>
      </c>
      <c r="I140" s="26">
        <v>42834.1</v>
      </c>
      <c r="J140" s="68">
        <v>1951.44</v>
      </c>
      <c r="K140" s="29" t="s">
        <v>430</v>
      </c>
      <c r="L140" s="26" t="s">
        <v>591</v>
      </c>
      <c r="M140" s="29" t="s">
        <v>11</v>
      </c>
      <c r="N140" s="29" t="s">
        <v>81</v>
      </c>
      <c r="O140" s="29" t="s">
        <v>115</v>
      </c>
      <c r="P140" s="26"/>
      <c r="Q140" s="26"/>
      <c r="R140" s="26"/>
      <c r="S140" s="26"/>
      <c r="T140" s="26"/>
      <c r="U140" s="26"/>
      <c r="V140" s="26"/>
      <c r="W140" s="26"/>
      <c r="X140" s="26" t="s">
        <v>34</v>
      </c>
      <c r="Y140" s="60">
        <f t="shared" si="6"/>
        <v>2026</v>
      </c>
      <c r="Z140" s="60">
        <f t="shared" si="7"/>
        <v>2</v>
      </c>
      <c r="AA140" s="60">
        <f t="shared" si="8"/>
        <v>9</v>
      </c>
    </row>
    <row r="141" ht="13.85" hidden="1" spans="1:27">
      <c r="A141" s="29" t="s">
        <v>595</v>
      </c>
      <c r="B141" s="27">
        <v>46062</v>
      </c>
      <c r="C141" s="27">
        <v>46062</v>
      </c>
      <c r="D141" s="26" t="s">
        <v>6</v>
      </c>
      <c r="E141" s="29" t="s">
        <v>596</v>
      </c>
      <c r="F141" s="29" t="s">
        <v>597</v>
      </c>
      <c r="G141" s="29"/>
      <c r="H141" s="29" t="s">
        <v>507</v>
      </c>
      <c r="I141" s="26">
        <v>28148.55</v>
      </c>
      <c r="J141" s="26">
        <v>2999.56</v>
      </c>
      <c r="K141" s="29" t="s">
        <v>598</v>
      </c>
      <c r="L141" s="29" t="s">
        <v>595</v>
      </c>
      <c r="M141" s="29" t="s">
        <v>14</v>
      </c>
      <c r="N141" s="29" t="s">
        <v>81</v>
      </c>
      <c r="O141" s="29" t="s">
        <v>212</v>
      </c>
      <c r="P141" s="26"/>
      <c r="Q141" s="26"/>
      <c r="R141" s="26"/>
      <c r="S141" s="26"/>
      <c r="T141" s="26"/>
      <c r="U141" s="26"/>
      <c r="V141" s="26"/>
      <c r="W141" s="26"/>
      <c r="X141" s="26" t="s">
        <v>34</v>
      </c>
      <c r="Y141" s="60">
        <f t="shared" si="6"/>
        <v>2026</v>
      </c>
      <c r="Z141" s="60">
        <f t="shared" si="7"/>
        <v>2</v>
      </c>
      <c r="AA141" s="60">
        <f t="shared" si="8"/>
        <v>9</v>
      </c>
    </row>
    <row r="142" ht="13.85" hidden="1" spans="1:27">
      <c r="A142" s="29" t="s">
        <v>599</v>
      </c>
      <c r="B142" s="27">
        <v>46062</v>
      </c>
      <c r="C142" s="27">
        <v>46062</v>
      </c>
      <c r="D142" s="26" t="s">
        <v>6</v>
      </c>
      <c r="E142" s="29" t="s">
        <v>234</v>
      </c>
      <c r="F142" s="29" t="s">
        <v>600</v>
      </c>
      <c r="G142" s="29"/>
      <c r="H142" s="29" t="s">
        <v>507</v>
      </c>
      <c r="I142" s="26">
        <v>7028.2</v>
      </c>
      <c r="J142" s="26">
        <v>2000.08</v>
      </c>
      <c r="K142" s="29" t="s">
        <v>601</v>
      </c>
      <c r="L142" s="29" t="s">
        <v>599</v>
      </c>
      <c r="M142" s="29" t="s">
        <v>14</v>
      </c>
      <c r="N142" s="29" t="s">
        <v>81</v>
      </c>
      <c r="O142" s="29" t="s">
        <v>212</v>
      </c>
      <c r="P142" s="26"/>
      <c r="Q142" s="26"/>
      <c r="R142" s="26"/>
      <c r="S142" s="26"/>
      <c r="T142" s="26"/>
      <c r="U142" s="26"/>
      <c r="V142" s="26"/>
      <c r="W142" s="26"/>
      <c r="X142" s="26" t="s">
        <v>34</v>
      </c>
      <c r="Y142" s="60">
        <f t="shared" si="6"/>
        <v>2026</v>
      </c>
      <c r="Z142" s="60">
        <f t="shared" si="7"/>
        <v>2</v>
      </c>
      <c r="AA142" s="60">
        <f t="shared" si="8"/>
        <v>9</v>
      </c>
    </row>
    <row r="143" ht="13.85" hidden="1" spans="1:27">
      <c r="A143" s="29" t="s">
        <v>602</v>
      </c>
      <c r="B143" s="27">
        <v>46025</v>
      </c>
      <c r="C143" s="27">
        <v>46062</v>
      </c>
      <c r="D143" s="26" t="s">
        <v>6</v>
      </c>
      <c r="E143" s="29" t="s">
        <v>603</v>
      </c>
      <c r="F143" s="29" t="s">
        <v>604</v>
      </c>
      <c r="G143" s="29"/>
      <c r="H143" s="29" t="s">
        <v>465</v>
      </c>
      <c r="I143" s="26">
        <v>13218.75</v>
      </c>
      <c r="J143" s="26">
        <v>586.2</v>
      </c>
      <c r="K143" s="29" t="s">
        <v>605</v>
      </c>
      <c r="L143" s="29" t="s">
        <v>602</v>
      </c>
      <c r="M143" s="29" t="s">
        <v>14</v>
      </c>
      <c r="N143" s="29" t="s">
        <v>81</v>
      </c>
      <c r="O143" s="29" t="s">
        <v>238</v>
      </c>
      <c r="P143" s="26"/>
      <c r="Q143" s="26"/>
      <c r="R143" s="26"/>
      <c r="S143" s="26"/>
      <c r="T143" s="26"/>
      <c r="U143" s="26"/>
      <c r="V143" s="26"/>
      <c r="W143" s="26"/>
      <c r="X143" s="26" t="s">
        <v>35</v>
      </c>
      <c r="Y143" s="60">
        <f t="shared" si="6"/>
        <v>2026</v>
      </c>
      <c r="Z143" s="60">
        <f t="shared" si="7"/>
        <v>2</v>
      </c>
      <c r="AA143" s="60">
        <f t="shared" si="8"/>
        <v>9</v>
      </c>
    </row>
    <row r="144" ht="13.85" hidden="1" spans="1:27">
      <c r="A144" s="29" t="s">
        <v>606</v>
      </c>
      <c r="B144" s="27">
        <v>46032</v>
      </c>
      <c r="C144" s="27">
        <v>46063</v>
      </c>
      <c r="D144" s="29" t="s">
        <v>6</v>
      </c>
      <c r="E144" s="29" t="s">
        <v>607</v>
      </c>
      <c r="F144" s="69" t="s">
        <v>608</v>
      </c>
      <c r="G144" s="29"/>
      <c r="H144" s="29" t="s">
        <v>465</v>
      </c>
      <c r="I144" s="26">
        <v>12924.2</v>
      </c>
      <c r="J144" s="26">
        <v>1292.42</v>
      </c>
      <c r="K144" s="29"/>
      <c r="L144" s="29" t="s">
        <v>606</v>
      </c>
      <c r="M144" s="29" t="s">
        <v>11</v>
      </c>
      <c r="N144" s="29" t="s">
        <v>81</v>
      </c>
      <c r="O144" s="29" t="s">
        <v>181</v>
      </c>
      <c r="P144" s="26"/>
      <c r="Q144" s="26"/>
      <c r="R144" s="26"/>
      <c r="S144" s="26"/>
      <c r="T144" s="26"/>
      <c r="U144" s="26"/>
      <c r="V144" s="26"/>
      <c r="W144" s="26"/>
      <c r="X144" s="26" t="s">
        <v>35</v>
      </c>
      <c r="Y144" s="60">
        <f t="shared" si="6"/>
        <v>2026</v>
      </c>
      <c r="Z144" s="60">
        <f t="shared" si="7"/>
        <v>2</v>
      </c>
      <c r="AA144" s="60">
        <f t="shared" si="8"/>
        <v>10</v>
      </c>
    </row>
    <row r="145" ht="13.85" hidden="1" spans="1:27">
      <c r="A145" s="29" t="s">
        <v>609</v>
      </c>
      <c r="B145" s="27">
        <v>46054</v>
      </c>
      <c r="C145" s="27">
        <v>46063</v>
      </c>
      <c r="D145" s="29" t="s">
        <v>6</v>
      </c>
      <c r="E145" s="29" t="s">
        <v>610</v>
      </c>
      <c r="F145" s="29" t="s">
        <v>611</v>
      </c>
      <c r="G145" s="29"/>
      <c r="H145" s="29" t="s">
        <v>465</v>
      </c>
      <c r="I145" s="26">
        <v>2222.4</v>
      </c>
      <c r="J145" s="26">
        <v>2222.4</v>
      </c>
      <c r="K145" s="29"/>
      <c r="L145" s="29" t="s">
        <v>609</v>
      </c>
      <c r="M145" s="29" t="s">
        <v>11</v>
      </c>
      <c r="N145" s="29" t="s">
        <v>81</v>
      </c>
      <c r="O145" s="29" t="s">
        <v>181</v>
      </c>
      <c r="P145" s="26"/>
      <c r="Q145" s="26"/>
      <c r="R145" s="26"/>
      <c r="S145" s="26"/>
      <c r="T145" s="26"/>
      <c r="U145" s="26"/>
      <c r="V145" s="26"/>
      <c r="W145" s="26"/>
      <c r="X145" s="26" t="s">
        <v>35</v>
      </c>
      <c r="Y145" s="60">
        <f t="shared" si="6"/>
        <v>2026</v>
      </c>
      <c r="Z145" s="60">
        <f t="shared" si="7"/>
        <v>2</v>
      </c>
      <c r="AA145" s="60">
        <f t="shared" si="8"/>
        <v>10</v>
      </c>
    </row>
    <row r="146" s="23" customFormat="1" ht="13.85" hidden="1" spans="1:27">
      <c r="A146" s="29" t="s">
        <v>612</v>
      </c>
      <c r="B146" s="27">
        <v>46035</v>
      </c>
      <c r="C146" s="27">
        <v>46062</v>
      </c>
      <c r="D146" s="26" t="s">
        <v>6</v>
      </c>
      <c r="E146" s="29" t="s">
        <v>603</v>
      </c>
      <c r="F146" s="29" t="s">
        <v>613</v>
      </c>
      <c r="G146" s="29"/>
      <c r="H146" s="29" t="s">
        <v>507</v>
      </c>
      <c r="I146" s="26">
        <v>799.35</v>
      </c>
      <c r="J146" s="26">
        <v>159.87</v>
      </c>
      <c r="K146" s="29" t="s">
        <v>512</v>
      </c>
      <c r="L146" s="29" t="s">
        <v>612</v>
      </c>
      <c r="M146" s="29" t="s">
        <v>14</v>
      </c>
      <c r="N146" s="29" t="s">
        <v>81</v>
      </c>
      <c r="O146" s="29" t="s">
        <v>238</v>
      </c>
      <c r="P146" s="26"/>
      <c r="Q146" s="26"/>
      <c r="R146" s="26"/>
      <c r="S146" s="26"/>
      <c r="T146" s="26"/>
      <c r="U146" s="26"/>
      <c r="V146" s="26"/>
      <c r="W146" s="26"/>
      <c r="X146" s="26" t="s">
        <v>34</v>
      </c>
      <c r="Y146" s="65">
        <f t="shared" si="6"/>
        <v>2026</v>
      </c>
      <c r="Z146" s="65">
        <f t="shared" si="7"/>
        <v>2</v>
      </c>
      <c r="AA146" s="65">
        <f t="shared" si="8"/>
        <v>9</v>
      </c>
    </row>
    <row r="147" s="23" customFormat="1" ht="15.75" hidden="1" spans="1:27">
      <c r="A147" s="29" t="s">
        <v>614</v>
      </c>
      <c r="B147" s="27">
        <v>46031</v>
      </c>
      <c r="C147" s="27">
        <v>46062</v>
      </c>
      <c r="D147" s="26" t="s">
        <v>6</v>
      </c>
      <c r="E147" s="29" t="s">
        <v>603</v>
      </c>
      <c r="F147" s="29" t="s">
        <v>615</v>
      </c>
      <c r="G147" s="29"/>
      <c r="H147" s="29" t="s">
        <v>507</v>
      </c>
      <c r="I147" s="64">
        <v>8793</v>
      </c>
      <c r="J147" s="64">
        <v>586.2</v>
      </c>
      <c r="K147" s="29" t="s">
        <v>503</v>
      </c>
      <c r="L147" s="29" t="s">
        <v>612</v>
      </c>
      <c r="M147" s="29" t="s">
        <v>14</v>
      </c>
      <c r="N147" s="29" t="s">
        <v>81</v>
      </c>
      <c r="O147" s="29" t="s">
        <v>238</v>
      </c>
      <c r="P147" s="26"/>
      <c r="Q147" s="26"/>
      <c r="R147" s="26"/>
      <c r="S147" s="26"/>
      <c r="T147" s="26"/>
      <c r="U147" s="26"/>
      <c r="V147" s="26"/>
      <c r="W147" s="26"/>
      <c r="X147" s="26" t="s">
        <v>34</v>
      </c>
      <c r="Y147" s="65">
        <f t="shared" si="6"/>
        <v>2026</v>
      </c>
      <c r="Z147" s="65">
        <f t="shared" si="7"/>
        <v>2</v>
      </c>
      <c r="AA147" s="65">
        <f t="shared" si="8"/>
        <v>9</v>
      </c>
    </row>
    <row r="148" s="23" customFormat="1" ht="13.85" spans="1:27">
      <c r="A148" s="26" t="s">
        <v>467</v>
      </c>
      <c r="B148" s="27">
        <v>46045</v>
      </c>
      <c r="C148" s="27">
        <v>46063</v>
      </c>
      <c r="D148" s="26" t="s">
        <v>6</v>
      </c>
      <c r="E148" s="26" t="s">
        <v>616</v>
      </c>
      <c r="F148" s="29" t="s">
        <v>617</v>
      </c>
      <c r="G148" s="29"/>
      <c r="H148" s="29" t="s">
        <v>75</v>
      </c>
      <c r="I148" s="26">
        <v>322.7</v>
      </c>
      <c r="J148" s="26">
        <v>64.54</v>
      </c>
      <c r="K148" s="29" t="s">
        <v>486</v>
      </c>
      <c r="L148" s="26" t="s">
        <v>467</v>
      </c>
      <c r="M148" s="29" t="s">
        <v>11</v>
      </c>
      <c r="N148" s="29" t="s">
        <v>81</v>
      </c>
      <c r="O148" s="29" t="s">
        <v>457</v>
      </c>
      <c r="P148" s="26"/>
      <c r="Q148" s="26"/>
      <c r="R148" s="26"/>
      <c r="S148" s="26"/>
      <c r="T148" s="26"/>
      <c r="U148" s="26"/>
      <c r="V148" s="26"/>
      <c r="W148" s="26"/>
      <c r="X148" s="26" t="s">
        <v>35</v>
      </c>
      <c r="Y148" s="65">
        <f t="shared" si="6"/>
        <v>2026</v>
      </c>
      <c r="Z148" s="65">
        <f t="shared" si="7"/>
        <v>2</v>
      </c>
      <c r="AA148" s="65">
        <f t="shared" si="8"/>
        <v>10</v>
      </c>
    </row>
    <row r="149" s="23" customFormat="1" ht="13.85" hidden="1" spans="1:27">
      <c r="A149" s="29" t="s">
        <v>618</v>
      </c>
      <c r="B149" s="31">
        <v>46049</v>
      </c>
      <c r="C149" s="31">
        <v>46049</v>
      </c>
      <c r="D149" s="29" t="s">
        <v>6</v>
      </c>
      <c r="E149" s="29" t="s">
        <v>619</v>
      </c>
      <c r="F149" s="29" t="s">
        <v>620</v>
      </c>
      <c r="G149" s="29"/>
      <c r="H149" s="29" t="s">
        <v>621</v>
      </c>
      <c r="I149" s="26">
        <v>26.09</v>
      </c>
      <c r="J149" s="26">
        <v>5218</v>
      </c>
      <c r="K149" s="26"/>
      <c r="L149" s="26" t="s">
        <v>618</v>
      </c>
      <c r="M149" s="29" t="s">
        <v>11</v>
      </c>
      <c r="N149" s="29" t="s">
        <v>81</v>
      </c>
      <c r="O149" s="29" t="s">
        <v>457</v>
      </c>
      <c r="P149" s="26"/>
      <c r="Q149" s="26"/>
      <c r="R149" s="26"/>
      <c r="S149" s="26"/>
      <c r="T149" s="26"/>
      <c r="U149" s="26"/>
      <c r="V149" s="26"/>
      <c r="W149" s="26"/>
      <c r="X149" s="70" t="s">
        <v>37</v>
      </c>
      <c r="Y149" s="65">
        <f t="shared" si="6"/>
        <v>2026</v>
      </c>
      <c r="Z149" s="65">
        <f t="shared" si="7"/>
        <v>1</v>
      </c>
      <c r="AA149" s="65">
        <f t="shared" si="8"/>
        <v>27</v>
      </c>
    </row>
    <row r="150" s="23" customFormat="1" ht="13.85" hidden="1" spans="1:27">
      <c r="A150" s="26" t="s">
        <v>622</v>
      </c>
      <c r="B150" s="27">
        <v>46049</v>
      </c>
      <c r="C150" s="27">
        <v>46063</v>
      </c>
      <c r="D150" s="26" t="s">
        <v>6</v>
      </c>
      <c r="E150" s="26" t="s">
        <v>623</v>
      </c>
      <c r="F150" s="29" t="s">
        <v>624</v>
      </c>
      <c r="G150" s="71"/>
      <c r="H150" s="71" t="s">
        <v>455</v>
      </c>
      <c r="I150" s="26">
        <v>27.3</v>
      </c>
      <c r="J150" s="26">
        <v>1550</v>
      </c>
      <c r="K150" s="29"/>
      <c r="L150" s="26" t="s">
        <v>622</v>
      </c>
      <c r="M150" s="29" t="s">
        <v>11</v>
      </c>
      <c r="N150" s="29" t="s">
        <v>81</v>
      </c>
      <c r="O150" s="29" t="s">
        <v>350</v>
      </c>
      <c r="P150" s="26"/>
      <c r="Q150" s="26"/>
      <c r="R150" s="26"/>
      <c r="S150" s="26"/>
      <c r="T150" s="26"/>
      <c r="U150" s="26"/>
      <c r="V150" s="26"/>
      <c r="W150" s="26"/>
      <c r="X150" s="26" t="s">
        <v>34</v>
      </c>
      <c r="Y150" s="65">
        <f t="shared" si="6"/>
        <v>2026</v>
      </c>
      <c r="Z150" s="65">
        <f t="shared" si="7"/>
        <v>2</v>
      </c>
      <c r="AA150" s="65">
        <f t="shared" si="8"/>
        <v>10</v>
      </c>
    </row>
    <row r="151" s="23" customFormat="1" ht="16.1" spans="1:27">
      <c r="A151" s="72" t="s">
        <v>625</v>
      </c>
      <c r="B151" s="27">
        <v>46057</v>
      </c>
      <c r="C151" s="27">
        <v>46063</v>
      </c>
      <c r="D151" s="26" t="s">
        <v>6</v>
      </c>
      <c r="E151" s="29" t="s">
        <v>145</v>
      </c>
      <c r="F151" s="29" t="s">
        <v>626</v>
      </c>
      <c r="G151" s="29"/>
      <c r="H151" s="29" t="s">
        <v>75</v>
      </c>
      <c r="I151" s="26">
        <v>12296.1</v>
      </c>
      <c r="J151" s="26">
        <v>358.93</v>
      </c>
      <c r="K151" s="29" t="s">
        <v>627</v>
      </c>
      <c r="L151" s="72" t="s">
        <v>625</v>
      </c>
      <c r="M151" s="29" t="s">
        <v>11</v>
      </c>
      <c r="N151" s="29" t="s">
        <v>81</v>
      </c>
      <c r="O151" s="29" t="s">
        <v>268</v>
      </c>
      <c r="P151" s="26"/>
      <c r="Q151" s="26"/>
      <c r="R151" s="26"/>
      <c r="S151" s="26"/>
      <c r="T151" s="26"/>
      <c r="U151" s="26"/>
      <c r="V151" s="26"/>
      <c r="W151" s="26"/>
      <c r="X151" s="26" t="s">
        <v>35</v>
      </c>
      <c r="Y151" s="65">
        <f t="shared" si="6"/>
        <v>2026</v>
      </c>
      <c r="Z151" s="65">
        <f t="shared" si="7"/>
        <v>2</v>
      </c>
      <c r="AA151" s="65">
        <f t="shared" si="8"/>
        <v>10</v>
      </c>
    </row>
    <row r="152" s="23" customFormat="1" ht="16.1" spans="1:27">
      <c r="A152" s="72" t="s">
        <v>628</v>
      </c>
      <c r="B152" s="27">
        <v>46057</v>
      </c>
      <c r="C152" s="27">
        <v>46063</v>
      </c>
      <c r="D152" s="26" t="s">
        <v>6</v>
      </c>
      <c r="E152" s="29" t="s">
        <v>145</v>
      </c>
      <c r="F152" s="29" t="s">
        <v>629</v>
      </c>
      <c r="G152" s="29"/>
      <c r="H152" s="29" t="s">
        <v>75</v>
      </c>
      <c r="I152" s="26">
        <v>19040.4</v>
      </c>
      <c r="J152" s="26">
        <v>490.96</v>
      </c>
      <c r="K152" s="29" t="s">
        <v>486</v>
      </c>
      <c r="L152" s="72" t="s">
        <v>628</v>
      </c>
      <c r="M152" s="29" t="s">
        <v>11</v>
      </c>
      <c r="N152" s="29" t="s">
        <v>81</v>
      </c>
      <c r="O152" s="29" t="s">
        <v>268</v>
      </c>
      <c r="P152" s="26"/>
      <c r="Q152" s="26"/>
      <c r="R152" s="26"/>
      <c r="S152" s="26"/>
      <c r="T152" s="26"/>
      <c r="U152" s="26"/>
      <c r="V152" s="26"/>
      <c r="W152" s="26"/>
      <c r="X152" s="26" t="s">
        <v>35</v>
      </c>
      <c r="Y152" s="65">
        <f t="shared" si="6"/>
        <v>2026</v>
      </c>
      <c r="Z152" s="65">
        <f t="shared" si="7"/>
        <v>2</v>
      </c>
      <c r="AA152" s="65">
        <f t="shared" si="8"/>
        <v>10</v>
      </c>
    </row>
    <row r="153" s="23" customFormat="1" ht="128.25" hidden="1" spans="1:27">
      <c r="A153" s="26" t="s">
        <v>630</v>
      </c>
      <c r="B153" s="27">
        <v>46035</v>
      </c>
      <c r="C153" s="27">
        <v>46063</v>
      </c>
      <c r="D153" s="26" t="s">
        <v>6</v>
      </c>
      <c r="E153" s="29" t="s">
        <v>631</v>
      </c>
      <c r="F153" s="58" t="s">
        <v>632</v>
      </c>
      <c r="G153" s="71"/>
      <c r="H153" s="71" t="s">
        <v>633</v>
      </c>
      <c r="I153" s="57">
        <v>9998.6</v>
      </c>
      <c r="J153" s="57">
        <v>999.86</v>
      </c>
      <c r="K153" s="57" t="s">
        <v>422</v>
      </c>
      <c r="L153" s="26" t="s">
        <v>630</v>
      </c>
      <c r="M153" s="29" t="s">
        <v>12</v>
      </c>
      <c r="N153" s="29" t="s">
        <v>81</v>
      </c>
      <c r="O153" s="29" t="s">
        <v>157</v>
      </c>
      <c r="P153" s="26"/>
      <c r="Q153" s="26"/>
      <c r="R153" s="26"/>
      <c r="S153" s="26"/>
      <c r="T153" s="26"/>
      <c r="U153" s="26"/>
      <c r="V153" s="26"/>
      <c r="W153" s="26"/>
      <c r="X153" s="26" t="s">
        <v>35</v>
      </c>
      <c r="Y153" s="65">
        <f t="shared" si="6"/>
        <v>2026</v>
      </c>
      <c r="Z153" s="65">
        <f t="shared" si="7"/>
        <v>2</v>
      </c>
      <c r="AA153" s="65">
        <f t="shared" si="8"/>
        <v>10</v>
      </c>
    </row>
    <row r="154" s="23" customFormat="1" ht="114" hidden="1" spans="1:27">
      <c r="A154" s="29" t="s">
        <v>634</v>
      </c>
      <c r="B154" s="27">
        <v>46050</v>
      </c>
      <c r="C154" s="27">
        <v>46063</v>
      </c>
      <c r="D154" s="26" t="s">
        <v>6</v>
      </c>
      <c r="E154" s="29" t="s">
        <v>631</v>
      </c>
      <c r="F154" s="73" t="s">
        <v>635</v>
      </c>
      <c r="G154" s="71"/>
      <c r="H154" s="71" t="s">
        <v>633</v>
      </c>
      <c r="I154" s="57">
        <v>9805.6</v>
      </c>
      <c r="J154" s="57">
        <v>980.56</v>
      </c>
      <c r="K154" s="57" t="s">
        <v>422</v>
      </c>
      <c r="L154" s="29" t="s">
        <v>634</v>
      </c>
      <c r="M154" s="29" t="s">
        <v>12</v>
      </c>
      <c r="N154" s="29" t="s">
        <v>81</v>
      </c>
      <c r="O154" s="29" t="s">
        <v>157</v>
      </c>
      <c r="P154" s="26"/>
      <c r="Q154" s="26"/>
      <c r="R154" s="26"/>
      <c r="S154" s="26"/>
      <c r="T154" s="26"/>
      <c r="U154" s="26"/>
      <c r="V154" s="26"/>
      <c r="W154" s="26"/>
      <c r="X154" s="26" t="s">
        <v>35</v>
      </c>
      <c r="Y154" s="65">
        <f t="shared" si="6"/>
        <v>2026</v>
      </c>
      <c r="Z154" s="65">
        <f t="shared" si="7"/>
        <v>2</v>
      </c>
      <c r="AA154" s="65">
        <f t="shared" si="8"/>
        <v>10</v>
      </c>
    </row>
    <row r="155" s="23" customFormat="1" ht="16.1" spans="1:27">
      <c r="A155" s="74" t="s">
        <v>636</v>
      </c>
      <c r="B155" s="27">
        <v>46057</v>
      </c>
      <c r="C155" s="27">
        <v>46063</v>
      </c>
      <c r="D155" s="26" t="s">
        <v>6</v>
      </c>
      <c r="E155" s="29" t="s">
        <v>265</v>
      </c>
      <c r="F155" s="29" t="s">
        <v>637</v>
      </c>
      <c r="G155" s="29"/>
      <c r="H155" s="29" t="s">
        <v>75</v>
      </c>
      <c r="I155" s="26">
        <v>2916</v>
      </c>
      <c r="J155" s="26">
        <v>194.4</v>
      </c>
      <c r="K155" s="29" t="s">
        <v>486</v>
      </c>
      <c r="L155" s="74" t="s">
        <v>636</v>
      </c>
      <c r="M155" s="29" t="s">
        <v>11</v>
      </c>
      <c r="N155" s="29" t="s">
        <v>81</v>
      </c>
      <c r="O155" s="29" t="s">
        <v>268</v>
      </c>
      <c r="P155" s="26"/>
      <c r="Q155" s="26"/>
      <c r="R155" s="26"/>
      <c r="S155" s="26"/>
      <c r="T155" s="26"/>
      <c r="U155" s="26"/>
      <c r="V155" s="26"/>
      <c r="W155" s="26"/>
      <c r="X155" s="26" t="s">
        <v>35</v>
      </c>
      <c r="Y155" s="65">
        <f t="shared" si="6"/>
        <v>2026</v>
      </c>
      <c r="Z155" s="65">
        <f t="shared" si="7"/>
        <v>2</v>
      </c>
      <c r="AA155" s="65">
        <f t="shared" si="8"/>
        <v>10</v>
      </c>
    </row>
    <row r="156" s="23" customFormat="1" ht="13.85" hidden="1" spans="1:27">
      <c r="A156" s="29" t="s">
        <v>638</v>
      </c>
      <c r="B156" s="27">
        <v>46059</v>
      </c>
      <c r="C156" s="27">
        <v>46064</v>
      </c>
      <c r="D156" s="29" t="s">
        <v>6</v>
      </c>
      <c r="E156" s="29" t="s">
        <v>639</v>
      </c>
      <c r="F156" s="29" t="s">
        <v>640</v>
      </c>
      <c r="G156" s="29"/>
      <c r="H156" s="29" t="s">
        <v>455</v>
      </c>
      <c r="I156" s="26">
        <v>3094.87</v>
      </c>
      <c r="J156" s="26">
        <v>53.35</v>
      </c>
      <c r="K156" s="29"/>
      <c r="L156" s="26" t="s">
        <v>638</v>
      </c>
      <c r="M156" s="29" t="s">
        <v>11</v>
      </c>
      <c r="N156" s="29" t="s">
        <v>81</v>
      </c>
      <c r="O156" s="29" t="s">
        <v>181</v>
      </c>
      <c r="P156" s="26"/>
      <c r="Q156" s="26"/>
      <c r="R156" s="26"/>
      <c r="S156" s="26"/>
      <c r="T156" s="26"/>
      <c r="U156" s="26"/>
      <c r="V156" s="26"/>
      <c r="W156" s="26"/>
      <c r="X156" s="26" t="s">
        <v>34</v>
      </c>
      <c r="Y156" s="65">
        <f t="shared" si="6"/>
        <v>2026</v>
      </c>
      <c r="Z156" s="65">
        <f t="shared" si="7"/>
        <v>2</v>
      </c>
      <c r="AA156" s="65">
        <f t="shared" si="8"/>
        <v>11</v>
      </c>
    </row>
    <row r="157" s="23" customFormat="1" ht="13.85" hidden="1" spans="1:27">
      <c r="A157" s="29" t="s">
        <v>641</v>
      </c>
      <c r="B157" s="27">
        <v>46060</v>
      </c>
      <c r="C157" s="27">
        <v>46064</v>
      </c>
      <c r="D157" s="26" t="s">
        <v>6</v>
      </c>
      <c r="E157" s="29" t="s">
        <v>642</v>
      </c>
      <c r="F157" s="29" t="s">
        <v>643</v>
      </c>
      <c r="G157" s="29"/>
      <c r="H157" s="29" t="s">
        <v>644</v>
      </c>
      <c r="I157" s="26">
        <v>29988</v>
      </c>
      <c r="J157" s="26">
        <v>1499.4</v>
      </c>
      <c r="K157" s="29" t="s">
        <v>645</v>
      </c>
      <c r="L157" s="29" t="s">
        <v>641</v>
      </c>
      <c r="M157" s="29" t="s">
        <v>15</v>
      </c>
      <c r="N157" s="29" t="s">
        <v>81</v>
      </c>
      <c r="O157" s="29" t="s">
        <v>228</v>
      </c>
      <c r="P157" s="26"/>
      <c r="Q157" s="26"/>
      <c r="R157" s="26"/>
      <c r="S157" s="26"/>
      <c r="T157" s="26"/>
      <c r="U157" s="26"/>
      <c r="V157" s="26"/>
      <c r="W157" s="26"/>
      <c r="X157" s="26" t="s">
        <v>34</v>
      </c>
      <c r="Y157" s="65">
        <f t="shared" si="6"/>
        <v>2026</v>
      </c>
      <c r="Z157" s="65">
        <f t="shared" si="7"/>
        <v>2</v>
      </c>
      <c r="AA157" s="65">
        <f t="shared" si="8"/>
        <v>11</v>
      </c>
    </row>
    <row r="158" s="23" customFormat="1" ht="15.75" hidden="1" spans="1:27">
      <c r="A158" s="64" t="s">
        <v>646</v>
      </c>
      <c r="B158" s="27">
        <v>46064</v>
      </c>
      <c r="C158" s="27">
        <v>46064</v>
      </c>
      <c r="D158" s="26" t="s">
        <v>6</v>
      </c>
      <c r="E158" s="29" t="s">
        <v>647</v>
      </c>
      <c r="F158" s="29" t="s">
        <v>648</v>
      </c>
      <c r="G158" s="29"/>
      <c r="H158" s="29" t="s">
        <v>633</v>
      </c>
      <c r="I158" s="38">
        <v>7947.28</v>
      </c>
      <c r="J158" s="26">
        <v>1986.82</v>
      </c>
      <c r="K158" s="29" t="s">
        <v>649</v>
      </c>
      <c r="L158" s="26" t="s">
        <v>650</v>
      </c>
      <c r="M158" s="29" t="s">
        <v>13</v>
      </c>
      <c r="N158" s="29" t="s">
        <v>81</v>
      </c>
      <c r="O158" s="29" t="s">
        <v>549</v>
      </c>
      <c r="P158" s="26"/>
      <c r="Q158" s="26"/>
      <c r="R158" s="26"/>
      <c r="S158" s="26"/>
      <c r="T158" s="26"/>
      <c r="U158" s="26"/>
      <c r="V158" s="26"/>
      <c r="W158" s="26"/>
      <c r="X158" s="26" t="s">
        <v>35</v>
      </c>
      <c r="Y158" s="65">
        <f t="shared" si="6"/>
        <v>2026</v>
      </c>
      <c r="Z158" s="65">
        <f t="shared" si="7"/>
        <v>2</v>
      </c>
      <c r="AA158" s="65">
        <f t="shared" si="8"/>
        <v>11</v>
      </c>
    </row>
    <row r="159" s="23" customFormat="1" ht="19.1" hidden="1" spans="1:27">
      <c r="A159" s="75" t="s">
        <v>651</v>
      </c>
      <c r="B159" s="27">
        <v>46058</v>
      </c>
      <c r="C159" s="27">
        <v>46079</v>
      </c>
      <c r="D159" s="26" t="s">
        <v>6</v>
      </c>
      <c r="E159" s="26" t="s">
        <v>652</v>
      </c>
      <c r="F159" s="29" t="s">
        <v>653</v>
      </c>
      <c r="G159" s="29"/>
      <c r="H159" s="29" t="s">
        <v>633</v>
      </c>
      <c r="I159" s="26">
        <v>8059.68</v>
      </c>
      <c r="J159" s="26">
        <v>980.4</v>
      </c>
      <c r="K159" s="29" t="s">
        <v>654</v>
      </c>
      <c r="L159" s="29" t="s">
        <v>651</v>
      </c>
      <c r="M159" s="29" t="s">
        <v>11</v>
      </c>
      <c r="N159" s="29" t="s">
        <v>81</v>
      </c>
      <c r="O159" s="29" t="s">
        <v>350</v>
      </c>
      <c r="P159" s="26"/>
      <c r="Q159" s="26"/>
      <c r="R159" s="26"/>
      <c r="S159" s="26"/>
      <c r="T159" s="26"/>
      <c r="U159" s="26"/>
      <c r="V159" s="26"/>
      <c r="W159" s="26"/>
      <c r="X159" s="26" t="s">
        <v>35</v>
      </c>
      <c r="Y159" s="65">
        <f t="shared" si="6"/>
        <v>2026</v>
      </c>
      <c r="Z159" s="65">
        <f t="shared" si="7"/>
        <v>2</v>
      </c>
      <c r="AA159" s="65">
        <f t="shared" si="8"/>
        <v>26</v>
      </c>
    </row>
    <row r="160" s="23" customFormat="1" ht="13.85" spans="1:27">
      <c r="A160" s="29" t="s">
        <v>655</v>
      </c>
      <c r="B160" s="27">
        <v>46064</v>
      </c>
      <c r="C160" s="27">
        <v>46077</v>
      </c>
      <c r="D160" s="26" t="s">
        <v>6</v>
      </c>
      <c r="E160" s="26" t="s">
        <v>265</v>
      </c>
      <c r="F160" s="29" t="s">
        <v>656</v>
      </c>
      <c r="G160" s="29"/>
      <c r="H160" s="29" t="s">
        <v>75</v>
      </c>
      <c r="I160" s="26">
        <v>22926.3</v>
      </c>
      <c r="J160" s="26">
        <v>1528.42</v>
      </c>
      <c r="K160" s="29" t="s">
        <v>486</v>
      </c>
      <c r="L160" s="29" t="s">
        <v>655</v>
      </c>
      <c r="M160" s="29" t="s">
        <v>11</v>
      </c>
      <c r="N160" s="29" t="s">
        <v>81</v>
      </c>
      <c r="O160" s="29" t="s">
        <v>268</v>
      </c>
      <c r="P160" s="26"/>
      <c r="Q160" s="26"/>
      <c r="R160" s="26"/>
      <c r="S160" s="26"/>
      <c r="T160" s="26"/>
      <c r="U160" s="26"/>
      <c r="V160" s="26"/>
      <c r="W160" s="26"/>
      <c r="X160" s="26" t="s">
        <v>35</v>
      </c>
      <c r="Y160" s="65">
        <f t="shared" si="6"/>
        <v>2026</v>
      </c>
      <c r="Z160" s="65">
        <f t="shared" si="7"/>
        <v>2</v>
      </c>
      <c r="AA160" s="65">
        <f t="shared" si="8"/>
        <v>24</v>
      </c>
    </row>
    <row r="161" ht="13.85" spans="1:27">
      <c r="A161" s="29" t="s">
        <v>657</v>
      </c>
      <c r="B161" s="27">
        <v>46064</v>
      </c>
      <c r="C161" s="27">
        <v>46077</v>
      </c>
      <c r="D161" s="26" t="s">
        <v>6</v>
      </c>
      <c r="E161" s="26" t="s">
        <v>265</v>
      </c>
      <c r="F161" s="29" t="s">
        <v>656</v>
      </c>
      <c r="G161" s="29"/>
      <c r="H161" s="29" t="s">
        <v>75</v>
      </c>
      <c r="I161" s="26">
        <v>10971.9</v>
      </c>
      <c r="J161" s="26">
        <v>731.46</v>
      </c>
      <c r="K161" s="29" t="s">
        <v>486</v>
      </c>
      <c r="L161" s="29" t="s">
        <v>657</v>
      </c>
      <c r="M161" s="29" t="s">
        <v>11</v>
      </c>
      <c r="N161" s="29" t="s">
        <v>81</v>
      </c>
      <c r="O161" s="29" t="s">
        <v>268</v>
      </c>
      <c r="P161" s="26"/>
      <c r="Q161" s="26"/>
      <c r="R161" s="26"/>
      <c r="S161" s="26"/>
      <c r="T161" s="26"/>
      <c r="U161" s="26"/>
      <c r="V161" s="26"/>
      <c r="W161" s="26"/>
      <c r="X161" s="26" t="s">
        <v>35</v>
      </c>
      <c r="Y161" s="60">
        <f t="shared" si="6"/>
        <v>2026</v>
      </c>
      <c r="Z161" s="60">
        <f t="shared" si="7"/>
        <v>2</v>
      </c>
      <c r="AA161" s="60">
        <f t="shared" si="8"/>
        <v>24</v>
      </c>
    </row>
    <row r="162" s="23" customFormat="1" ht="14.25" hidden="1" spans="1:27">
      <c r="A162" s="26" t="s">
        <v>658</v>
      </c>
      <c r="B162" s="27">
        <v>46052</v>
      </c>
      <c r="C162" s="27">
        <v>46078</v>
      </c>
      <c r="D162" s="26" t="s">
        <v>6</v>
      </c>
      <c r="E162" s="29" t="s">
        <v>659</v>
      </c>
      <c r="F162" s="29" t="s">
        <v>660</v>
      </c>
      <c r="G162" s="29"/>
      <c r="H162" s="29" t="s">
        <v>633</v>
      </c>
      <c r="I162" s="26">
        <v>1740.59</v>
      </c>
      <c r="J162" s="76">
        <v>199.38</v>
      </c>
      <c r="K162" s="76" t="s">
        <v>661</v>
      </c>
      <c r="L162" s="29" t="s">
        <v>658</v>
      </c>
      <c r="M162" s="29" t="s">
        <v>11</v>
      </c>
      <c r="N162" s="29" t="s">
        <v>81</v>
      </c>
      <c r="O162" s="29" t="s">
        <v>115</v>
      </c>
      <c r="P162" s="26"/>
      <c r="Q162" s="26"/>
      <c r="R162" s="26"/>
      <c r="S162" s="26"/>
      <c r="T162" s="26"/>
      <c r="U162" s="26"/>
      <c r="V162" s="26"/>
      <c r="W162" s="26"/>
      <c r="X162" s="26" t="s">
        <v>35</v>
      </c>
      <c r="Y162" s="65">
        <f t="shared" si="6"/>
        <v>2026</v>
      </c>
      <c r="Z162" s="65">
        <f t="shared" si="7"/>
        <v>2</v>
      </c>
      <c r="AA162" s="65">
        <f t="shared" si="8"/>
        <v>25</v>
      </c>
    </row>
    <row r="163" s="23" customFormat="1" ht="13.85" hidden="1" spans="1:27">
      <c r="A163" s="26" t="s">
        <v>662</v>
      </c>
      <c r="B163" s="27">
        <v>46054</v>
      </c>
      <c r="C163" s="27">
        <v>46079</v>
      </c>
      <c r="D163" s="26" t="s">
        <v>6</v>
      </c>
      <c r="E163" s="29" t="s">
        <v>663</v>
      </c>
      <c r="F163" s="29" t="s">
        <v>664</v>
      </c>
      <c r="G163" s="29"/>
      <c r="H163" s="29" t="s">
        <v>474</v>
      </c>
      <c r="I163" s="26">
        <v>327.2</v>
      </c>
      <c r="J163" s="26">
        <v>32.72</v>
      </c>
      <c r="K163" s="77" t="s">
        <v>532</v>
      </c>
      <c r="L163" s="26" t="s">
        <v>662</v>
      </c>
      <c r="M163" s="29" t="s">
        <v>11</v>
      </c>
      <c r="N163" s="29" t="s">
        <v>81</v>
      </c>
      <c r="O163" s="29" t="s">
        <v>181</v>
      </c>
      <c r="P163" s="26"/>
      <c r="Q163" s="26"/>
      <c r="R163" s="26"/>
      <c r="S163" s="26"/>
      <c r="T163" s="26"/>
      <c r="U163" s="26"/>
      <c r="V163" s="26"/>
      <c r="W163" s="26"/>
      <c r="X163" s="70" t="s">
        <v>38</v>
      </c>
      <c r="Y163" s="65">
        <f t="shared" si="6"/>
        <v>2026</v>
      </c>
      <c r="Z163" s="65">
        <f t="shared" si="7"/>
        <v>2</v>
      </c>
      <c r="AA163" s="65">
        <f t="shared" si="8"/>
        <v>26</v>
      </c>
    </row>
    <row r="164" s="23" customFormat="1" ht="13.85" hidden="1" spans="1:27">
      <c r="A164" s="29" t="s">
        <v>665</v>
      </c>
      <c r="B164" s="31" t="s">
        <v>666</v>
      </c>
      <c r="C164" s="27">
        <v>46079</v>
      </c>
      <c r="D164" s="26" t="s">
        <v>6</v>
      </c>
      <c r="E164" s="29" t="s">
        <v>667</v>
      </c>
      <c r="F164" s="29" t="s">
        <v>668</v>
      </c>
      <c r="G164" s="29"/>
      <c r="H164" s="29" t="s">
        <v>474</v>
      </c>
      <c r="I164" s="26">
        <v>15213.7</v>
      </c>
      <c r="J164" s="26">
        <v>1185.85</v>
      </c>
      <c r="K164" s="29" t="s">
        <v>669</v>
      </c>
      <c r="L164" s="29" t="s">
        <v>665</v>
      </c>
      <c r="M164" s="29" t="s">
        <v>14</v>
      </c>
      <c r="N164" s="29" t="s">
        <v>81</v>
      </c>
      <c r="O164" s="29" t="s">
        <v>308</v>
      </c>
      <c r="P164" s="26"/>
      <c r="Q164" s="26"/>
      <c r="R164" s="26"/>
      <c r="S164" s="26"/>
      <c r="T164" s="26"/>
      <c r="U164" s="26"/>
      <c r="V164" s="26"/>
      <c r="W164" s="26"/>
      <c r="X164" s="70" t="s">
        <v>38</v>
      </c>
      <c r="Y164" s="65">
        <f t="shared" si="6"/>
        <v>2026</v>
      </c>
      <c r="Z164" s="65">
        <f t="shared" si="7"/>
        <v>2</v>
      </c>
      <c r="AA164" s="65">
        <f t="shared" si="8"/>
        <v>26</v>
      </c>
    </row>
    <row r="165" s="23" customFormat="1" ht="13.85" hidden="1" spans="1:27">
      <c r="A165" s="26" t="s">
        <v>670</v>
      </c>
      <c r="B165" s="27">
        <v>46005</v>
      </c>
      <c r="C165" s="27">
        <v>46079</v>
      </c>
      <c r="D165" s="29" t="s">
        <v>6</v>
      </c>
      <c r="E165" s="29" t="s">
        <v>671</v>
      </c>
      <c r="F165" s="78" t="s">
        <v>672</v>
      </c>
      <c r="G165" s="29"/>
      <c r="H165" s="29" t="s">
        <v>474</v>
      </c>
      <c r="I165" s="26">
        <v>941.4</v>
      </c>
      <c r="J165" s="26">
        <v>31.38</v>
      </c>
      <c r="K165" s="77" t="s">
        <v>379</v>
      </c>
      <c r="L165" s="29" t="s">
        <v>670</v>
      </c>
      <c r="M165" s="29" t="s">
        <v>11</v>
      </c>
      <c r="N165" s="29" t="s">
        <v>81</v>
      </c>
      <c r="O165" s="29" t="s">
        <v>181</v>
      </c>
      <c r="P165" s="26"/>
      <c r="Q165" s="26"/>
      <c r="R165" s="26"/>
      <c r="S165" s="26"/>
      <c r="T165" s="26"/>
      <c r="U165" s="26"/>
      <c r="V165" s="26"/>
      <c r="W165" s="26"/>
      <c r="X165" s="70" t="s">
        <v>38</v>
      </c>
      <c r="Y165" s="65">
        <f t="shared" si="6"/>
        <v>2026</v>
      </c>
      <c r="Z165" s="65">
        <f t="shared" si="7"/>
        <v>2</v>
      </c>
      <c r="AA165" s="65">
        <f t="shared" si="8"/>
        <v>26</v>
      </c>
    </row>
    <row r="166" s="23" customFormat="1" ht="13.85" hidden="1" spans="1:27">
      <c r="A166" s="29" t="s">
        <v>673</v>
      </c>
      <c r="B166" s="31" t="s">
        <v>674</v>
      </c>
      <c r="C166" s="27">
        <v>46079</v>
      </c>
      <c r="D166" s="26" t="s">
        <v>6</v>
      </c>
      <c r="E166" s="29" t="s">
        <v>675</v>
      </c>
      <c r="F166" s="29" t="s">
        <v>676</v>
      </c>
      <c r="G166" s="29"/>
      <c r="H166" s="29" t="s">
        <v>455</v>
      </c>
      <c r="I166" s="26">
        <v>25018.07</v>
      </c>
      <c r="J166" s="26">
        <v>3997.86</v>
      </c>
      <c r="K166" s="29" t="s">
        <v>677</v>
      </c>
      <c r="L166" s="29" t="s">
        <v>673</v>
      </c>
      <c r="M166" s="29" t="s">
        <v>13</v>
      </c>
      <c r="N166" s="29" t="s">
        <v>81</v>
      </c>
      <c r="O166" s="29" t="s">
        <v>355</v>
      </c>
      <c r="P166" s="26"/>
      <c r="Q166" s="26"/>
      <c r="R166" s="26"/>
      <c r="S166" s="26"/>
      <c r="T166" s="26"/>
      <c r="U166" s="26"/>
      <c r="V166" s="26"/>
      <c r="W166" s="26"/>
      <c r="X166" s="26" t="s">
        <v>34</v>
      </c>
      <c r="Y166" s="65">
        <f t="shared" si="6"/>
        <v>2026</v>
      </c>
      <c r="Z166" s="65">
        <f t="shared" si="7"/>
        <v>2</v>
      </c>
      <c r="AA166" s="65">
        <f t="shared" si="8"/>
        <v>26</v>
      </c>
    </row>
    <row r="167" ht="13.85" hidden="1" spans="1:27">
      <c r="A167" s="29" t="s">
        <v>678</v>
      </c>
      <c r="B167" s="27">
        <v>46060</v>
      </c>
      <c r="C167" s="27">
        <v>46081</v>
      </c>
      <c r="D167" s="29" t="s">
        <v>6</v>
      </c>
      <c r="E167" s="29" t="s">
        <v>679</v>
      </c>
      <c r="F167" s="29" t="s">
        <v>680</v>
      </c>
      <c r="G167" s="29"/>
      <c r="H167" s="29" t="s">
        <v>633</v>
      </c>
      <c r="I167" s="26">
        <v>1668.84</v>
      </c>
      <c r="J167" s="26">
        <v>278.14</v>
      </c>
      <c r="K167" s="29" t="s">
        <v>681</v>
      </c>
      <c r="L167" s="29" t="s">
        <v>678</v>
      </c>
      <c r="M167" s="29" t="s">
        <v>11</v>
      </c>
      <c r="N167" s="29" t="s">
        <v>81</v>
      </c>
      <c r="O167" s="29" t="s">
        <v>181</v>
      </c>
      <c r="P167" s="26"/>
      <c r="Q167" s="26"/>
      <c r="R167" s="26"/>
      <c r="S167" s="26"/>
      <c r="T167" s="26"/>
      <c r="U167" s="26"/>
      <c r="V167" s="26"/>
      <c r="W167" s="26"/>
      <c r="X167" s="26" t="s">
        <v>35</v>
      </c>
      <c r="Y167" s="60">
        <f t="shared" si="6"/>
        <v>2026</v>
      </c>
      <c r="Z167" s="60">
        <f t="shared" si="7"/>
        <v>2</v>
      </c>
      <c r="AA167" s="60">
        <f t="shared" si="8"/>
        <v>28</v>
      </c>
    </row>
    <row r="168" ht="13.85" hidden="1" spans="1:27">
      <c r="A168" s="26" t="s">
        <v>682</v>
      </c>
      <c r="B168" s="27">
        <v>46060</v>
      </c>
      <c r="C168" s="27">
        <v>46081</v>
      </c>
      <c r="D168" s="29" t="s">
        <v>6</v>
      </c>
      <c r="E168" s="29" t="s">
        <v>683</v>
      </c>
      <c r="F168" s="29" t="s">
        <v>684</v>
      </c>
      <c r="G168" s="29"/>
      <c r="H168" s="29" t="s">
        <v>455</v>
      </c>
      <c r="I168" s="26">
        <v>1050.4</v>
      </c>
      <c r="J168" s="26">
        <v>52.52</v>
      </c>
      <c r="K168" s="29"/>
      <c r="L168" s="29" t="s">
        <v>682</v>
      </c>
      <c r="M168" s="29" t="s">
        <v>11</v>
      </c>
      <c r="N168" s="29" t="s">
        <v>81</v>
      </c>
      <c r="O168" s="29" t="s">
        <v>181</v>
      </c>
      <c r="P168" s="26"/>
      <c r="Q168" s="26"/>
      <c r="R168" s="26"/>
      <c r="S168" s="26"/>
      <c r="T168" s="26"/>
      <c r="U168" s="26"/>
      <c r="V168" s="26"/>
      <c r="W168" s="26"/>
      <c r="X168" s="26" t="s">
        <v>34</v>
      </c>
      <c r="Y168" s="60">
        <f t="shared" si="6"/>
        <v>2026</v>
      </c>
      <c r="Z168" s="60">
        <f t="shared" si="7"/>
        <v>2</v>
      </c>
      <c r="AA168" s="60">
        <f t="shared" si="8"/>
        <v>28</v>
      </c>
    </row>
    <row r="169" ht="13.85" hidden="1" spans="1:27">
      <c r="A169" s="29" t="s">
        <v>685</v>
      </c>
      <c r="B169" s="27">
        <v>46062</v>
      </c>
      <c r="C169" s="27">
        <v>46083</v>
      </c>
      <c r="D169" s="29" t="s">
        <v>6</v>
      </c>
      <c r="E169" s="29" t="s">
        <v>509</v>
      </c>
      <c r="F169" s="29" t="s">
        <v>686</v>
      </c>
      <c r="G169" s="29"/>
      <c r="H169" s="29" t="s">
        <v>455</v>
      </c>
      <c r="I169" s="26">
        <v>2161.58</v>
      </c>
      <c r="J169" s="26">
        <v>100.17</v>
      </c>
      <c r="K169" s="29" t="s">
        <v>687</v>
      </c>
      <c r="L169" s="29" t="s">
        <v>685</v>
      </c>
      <c r="M169" s="29" t="s">
        <v>14</v>
      </c>
      <c r="N169" s="29" t="s">
        <v>81</v>
      </c>
      <c r="O169" s="29" t="s">
        <v>238</v>
      </c>
      <c r="P169" s="26"/>
      <c r="Q169" s="26"/>
      <c r="R169" s="26"/>
      <c r="S169" s="26"/>
      <c r="T169" s="26"/>
      <c r="U169" s="26"/>
      <c r="V169" s="26"/>
      <c r="W169" s="26"/>
      <c r="X169" s="26" t="s">
        <v>34</v>
      </c>
      <c r="Y169" s="60">
        <f t="shared" si="6"/>
        <v>2026</v>
      </c>
      <c r="Z169" s="60">
        <f t="shared" si="7"/>
        <v>3</v>
      </c>
      <c r="AA169" s="60">
        <f t="shared" si="8"/>
        <v>2</v>
      </c>
    </row>
    <row r="170" ht="13.85" hidden="1" spans="1:27">
      <c r="A170" s="26" t="s">
        <v>688</v>
      </c>
      <c r="B170" s="27">
        <v>46051</v>
      </c>
      <c r="C170" s="27">
        <v>46083</v>
      </c>
      <c r="D170" s="26" t="s">
        <v>6</v>
      </c>
      <c r="E170" s="29" t="s">
        <v>689</v>
      </c>
      <c r="F170" s="29" t="s">
        <v>690</v>
      </c>
      <c r="G170" s="29"/>
      <c r="H170" s="29" t="s">
        <v>633</v>
      </c>
      <c r="I170" s="26">
        <v>447.8</v>
      </c>
      <c r="J170" s="26">
        <v>44.78</v>
      </c>
      <c r="K170" s="29"/>
      <c r="L170" s="29" t="s">
        <v>688</v>
      </c>
      <c r="M170" s="29" t="s">
        <v>11</v>
      </c>
      <c r="N170" s="29" t="s">
        <v>81</v>
      </c>
      <c r="O170" s="29" t="s">
        <v>125</v>
      </c>
      <c r="P170" s="26"/>
      <c r="Q170" s="26"/>
      <c r="R170" s="26"/>
      <c r="S170" s="26"/>
      <c r="T170" s="26"/>
      <c r="U170" s="26"/>
      <c r="V170" s="26"/>
      <c r="W170" s="26"/>
      <c r="X170" s="26" t="s">
        <v>35</v>
      </c>
      <c r="Y170" s="60">
        <f t="shared" si="6"/>
        <v>2026</v>
      </c>
      <c r="Z170" s="60">
        <f t="shared" si="7"/>
        <v>3</v>
      </c>
      <c r="AA170" s="60">
        <f t="shared" si="8"/>
        <v>2</v>
      </c>
    </row>
    <row r="171" ht="13.85" hidden="1" spans="1:27">
      <c r="A171" s="29" t="s">
        <v>691</v>
      </c>
      <c r="B171" s="27">
        <v>46066</v>
      </c>
      <c r="C171" s="31">
        <v>46083</v>
      </c>
      <c r="D171" s="26" t="s">
        <v>6</v>
      </c>
      <c r="E171" s="29" t="s">
        <v>692</v>
      </c>
      <c r="F171" s="29" t="s">
        <v>693</v>
      </c>
      <c r="G171" s="29"/>
      <c r="H171" s="29" t="s">
        <v>455</v>
      </c>
      <c r="I171" s="26">
        <v>32984.4</v>
      </c>
      <c r="J171" s="26">
        <v>1099.48</v>
      </c>
      <c r="K171" s="29" t="s">
        <v>694</v>
      </c>
      <c r="L171" s="29" t="s">
        <v>691</v>
      </c>
      <c r="M171" s="29" t="s">
        <v>11</v>
      </c>
      <c r="N171" s="29" t="s">
        <v>81</v>
      </c>
      <c r="O171" s="29" t="s">
        <v>263</v>
      </c>
      <c r="P171" s="26"/>
      <c r="Q171" s="26"/>
      <c r="R171" s="26"/>
      <c r="S171" s="26"/>
      <c r="T171" s="26"/>
      <c r="U171" s="26"/>
      <c r="V171" s="26"/>
      <c r="W171" s="26"/>
      <c r="X171" s="26" t="s">
        <v>34</v>
      </c>
      <c r="Y171" s="60">
        <f t="shared" si="6"/>
        <v>2026</v>
      </c>
      <c r="Z171" s="60">
        <f t="shared" si="7"/>
        <v>3</v>
      </c>
      <c r="AA171" s="60">
        <f t="shared" si="8"/>
        <v>2</v>
      </c>
    </row>
    <row r="172" ht="13.85" hidden="1" spans="1:27">
      <c r="A172" s="29" t="s">
        <v>695</v>
      </c>
      <c r="B172" s="27">
        <v>46048</v>
      </c>
      <c r="C172" s="31">
        <v>46083</v>
      </c>
      <c r="D172" s="26" t="s">
        <v>6</v>
      </c>
      <c r="E172" s="29" t="s">
        <v>696</v>
      </c>
      <c r="F172" s="29" t="s">
        <v>697</v>
      </c>
      <c r="G172" s="29"/>
      <c r="H172" s="29" t="s">
        <v>698</v>
      </c>
      <c r="I172" s="26">
        <v>79988.24</v>
      </c>
      <c r="J172" s="26">
        <v>1999.706</v>
      </c>
      <c r="K172" s="29" t="s">
        <v>466</v>
      </c>
      <c r="L172" s="29" t="s">
        <v>695</v>
      </c>
      <c r="M172" s="29" t="s">
        <v>11</v>
      </c>
      <c r="N172" s="29" t="s">
        <v>81</v>
      </c>
      <c r="O172" s="29" t="s">
        <v>263</v>
      </c>
      <c r="P172" s="26"/>
      <c r="Q172" s="26"/>
      <c r="R172" s="26"/>
      <c r="S172" s="26"/>
      <c r="T172" s="26"/>
      <c r="U172" s="26"/>
      <c r="V172" s="26"/>
      <c r="W172" s="26"/>
      <c r="X172" s="26" t="s">
        <v>34</v>
      </c>
      <c r="Y172" s="60">
        <f t="shared" si="6"/>
        <v>2026</v>
      </c>
      <c r="Z172" s="60">
        <f t="shared" si="7"/>
        <v>3</v>
      </c>
      <c r="AA172" s="60">
        <f t="shared" si="8"/>
        <v>2</v>
      </c>
    </row>
    <row r="173" ht="17.6" hidden="1" spans="1:27">
      <c r="A173" s="26" t="s">
        <v>699</v>
      </c>
      <c r="B173" s="31" t="s">
        <v>700</v>
      </c>
      <c r="C173" s="31">
        <v>46083</v>
      </c>
      <c r="D173" s="26" t="s">
        <v>6</v>
      </c>
      <c r="E173" s="29" t="s">
        <v>701</v>
      </c>
      <c r="F173" s="29" t="s">
        <v>702</v>
      </c>
      <c r="G173" s="29"/>
      <c r="H173" s="29" t="s">
        <v>455</v>
      </c>
      <c r="I173" s="79">
        <v>23183</v>
      </c>
      <c r="J173" s="79">
        <v>1949.64</v>
      </c>
      <c r="K173" s="29" t="s">
        <v>703</v>
      </c>
      <c r="L173" s="29" t="s">
        <v>699</v>
      </c>
      <c r="M173" s="29" t="s">
        <v>14</v>
      </c>
      <c r="N173" s="29" t="s">
        <v>81</v>
      </c>
      <c r="O173" s="29" t="s">
        <v>308</v>
      </c>
      <c r="P173" s="26"/>
      <c r="Q173" s="26"/>
      <c r="R173" s="26"/>
      <c r="S173" s="26"/>
      <c r="T173" s="26"/>
      <c r="U173" s="26"/>
      <c r="V173" s="26"/>
      <c r="W173" s="26"/>
      <c r="X173" s="26" t="s">
        <v>34</v>
      </c>
      <c r="Y173" s="60">
        <f t="shared" si="6"/>
        <v>2026</v>
      </c>
      <c r="Z173" s="60">
        <f t="shared" si="7"/>
        <v>3</v>
      </c>
      <c r="AA173" s="60">
        <f t="shared" si="8"/>
        <v>2</v>
      </c>
    </row>
    <row r="174" ht="13.85" hidden="1" spans="1:27">
      <c r="A174" s="29" t="s">
        <v>704</v>
      </c>
      <c r="B174" s="31" t="s">
        <v>705</v>
      </c>
      <c r="C174" s="27">
        <v>46083</v>
      </c>
      <c r="D174" s="26" t="s">
        <v>6</v>
      </c>
      <c r="E174" s="29" t="s">
        <v>706</v>
      </c>
      <c r="F174" s="29" t="s">
        <v>707</v>
      </c>
      <c r="G174" s="29"/>
      <c r="H174" s="29" t="s">
        <v>455</v>
      </c>
      <c r="I174" s="26">
        <v>954.42</v>
      </c>
      <c r="J174" s="26">
        <v>12839.3</v>
      </c>
      <c r="K174" s="29" t="s">
        <v>708</v>
      </c>
      <c r="L174" s="29" t="s">
        <v>704</v>
      </c>
      <c r="M174" s="29" t="s">
        <v>14</v>
      </c>
      <c r="N174" s="29" t="s">
        <v>81</v>
      </c>
      <c r="O174" s="29" t="s">
        <v>308</v>
      </c>
      <c r="P174" s="26"/>
      <c r="Q174" s="26"/>
      <c r="R174" s="26"/>
      <c r="S174" s="26"/>
      <c r="T174" s="26"/>
      <c r="U174" s="26"/>
      <c r="V174" s="26"/>
      <c r="W174" s="26"/>
      <c r="X174" s="26" t="s">
        <v>34</v>
      </c>
      <c r="Y174" s="60">
        <f t="shared" si="6"/>
        <v>2026</v>
      </c>
      <c r="Z174" s="60">
        <f t="shared" si="7"/>
        <v>3</v>
      </c>
      <c r="AA174" s="60">
        <f t="shared" si="8"/>
        <v>2</v>
      </c>
    </row>
    <row r="175" ht="20.6" hidden="1" spans="1:27">
      <c r="A175" s="26" t="s">
        <v>709</v>
      </c>
      <c r="B175" s="27">
        <v>46081</v>
      </c>
      <c r="C175" s="27">
        <v>46084</v>
      </c>
      <c r="D175" s="29" t="s">
        <v>6</v>
      </c>
      <c r="E175" s="80" t="s">
        <v>710</v>
      </c>
      <c r="F175" s="29" t="s">
        <v>711</v>
      </c>
      <c r="G175" s="29"/>
      <c r="H175" s="29" t="s">
        <v>536</v>
      </c>
      <c r="I175" s="26">
        <v>29663.15</v>
      </c>
      <c r="J175" s="26">
        <v>12.2575</v>
      </c>
      <c r="K175" s="29"/>
      <c r="L175" s="26" t="s">
        <v>709</v>
      </c>
      <c r="M175" s="29" t="s">
        <v>11</v>
      </c>
      <c r="N175" s="29" t="s">
        <v>495</v>
      </c>
      <c r="O175" s="29" t="s">
        <v>181</v>
      </c>
      <c r="P175" s="26"/>
      <c r="Q175" s="26"/>
      <c r="R175" s="26"/>
      <c r="S175" s="26"/>
      <c r="T175" s="26"/>
      <c r="U175" s="26"/>
      <c r="V175" s="26"/>
      <c r="W175" s="26"/>
      <c r="X175" s="59" t="s">
        <v>39</v>
      </c>
      <c r="Y175" s="60">
        <f t="shared" si="6"/>
        <v>2026</v>
      </c>
      <c r="Z175" s="60">
        <f t="shared" si="7"/>
        <v>3</v>
      </c>
      <c r="AA175" s="60">
        <f t="shared" si="8"/>
        <v>3</v>
      </c>
    </row>
    <row r="176" ht="13.85" hidden="1" spans="1:27">
      <c r="A176" s="26" t="s">
        <v>712</v>
      </c>
      <c r="B176" s="27">
        <v>46065</v>
      </c>
      <c r="C176" s="27">
        <v>46084</v>
      </c>
      <c r="D176" s="29" t="s">
        <v>6</v>
      </c>
      <c r="E176" s="26" t="s">
        <v>713</v>
      </c>
      <c r="F176" s="29" t="s">
        <v>714</v>
      </c>
      <c r="G176" s="29"/>
      <c r="H176" s="29" t="s">
        <v>536</v>
      </c>
      <c r="I176" s="26">
        <v>14233.725</v>
      </c>
      <c r="J176" s="26">
        <v>5.8575</v>
      </c>
      <c r="K176" s="29"/>
      <c r="L176" s="26" t="s">
        <v>712</v>
      </c>
      <c r="M176" s="29" t="s">
        <v>11</v>
      </c>
      <c r="N176" s="29" t="s">
        <v>495</v>
      </c>
      <c r="O176" s="29" t="s">
        <v>181</v>
      </c>
      <c r="P176" s="26"/>
      <c r="Q176" s="26"/>
      <c r="R176" s="26"/>
      <c r="S176" s="26"/>
      <c r="T176" s="26"/>
      <c r="U176" s="26"/>
      <c r="V176" s="26"/>
      <c r="W176" s="26"/>
      <c r="X176" s="59" t="s">
        <v>39</v>
      </c>
      <c r="Y176" s="60">
        <f t="shared" si="6"/>
        <v>2026</v>
      </c>
      <c r="Z176" s="60">
        <f t="shared" si="7"/>
        <v>3</v>
      </c>
      <c r="AA176" s="60">
        <f t="shared" si="8"/>
        <v>3</v>
      </c>
    </row>
    <row r="177" ht="13.85" hidden="1" spans="1:27">
      <c r="A177" s="29" t="s">
        <v>715</v>
      </c>
      <c r="B177" s="31" t="s">
        <v>716</v>
      </c>
      <c r="C177" s="27">
        <v>46084</v>
      </c>
      <c r="D177" s="26" t="s">
        <v>6</v>
      </c>
      <c r="E177" s="29" t="s">
        <v>717</v>
      </c>
      <c r="F177" s="29" t="s">
        <v>718</v>
      </c>
      <c r="G177" s="29"/>
      <c r="H177" s="29" t="s">
        <v>621</v>
      </c>
      <c r="I177" s="26">
        <v>495.14</v>
      </c>
      <c r="J177" s="26">
        <v>15134.5</v>
      </c>
      <c r="K177" s="29"/>
      <c r="L177" s="29" t="s">
        <v>719</v>
      </c>
      <c r="M177" s="29" t="s">
        <v>14</v>
      </c>
      <c r="N177" s="29" t="s">
        <v>81</v>
      </c>
      <c r="O177" s="29" t="s">
        <v>308</v>
      </c>
      <c r="P177" s="26"/>
      <c r="Q177" s="26"/>
      <c r="R177" s="26"/>
      <c r="S177" s="26"/>
      <c r="T177" s="26"/>
      <c r="U177" s="26"/>
      <c r="V177" s="26"/>
      <c r="W177" s="26"/>
      <c r="X177" s="70" t="s">
        <v>37</v>
      </c>
      <c r="Y177" s="60">
        <f t="shared" si="6"/>
        <v>2026</v>
      </c>
      <c r="Z177" s="60">
        <f t="shared" si="7"/>
        <v>3</v>
      </c>
      <c r="AA177" s="60">
        <f t="shared" si="8"/>
        <v>3</v>
      </c>
    </row>
    <row r="178" ht="114" hidden="1" spans="1:27">
      <c r="A178" s="56" t="s">
        <v>720</v>
      </c>
      <c r="B178" s="31">
        <v>46057</v>
      </c>
      <c r="C178" s="27">
        <v>46085</v>
      </c>
      <c r="D178" s="26" t="s">
        <v>6</v>
      </c>
      <c r="E178" s="29" t="s">
        <v>721</v>
      </c>
      <c r="F178" s="58" t="s">
        <v>722</v>
      </c>
      <c r="G178" s="29"/>
      <c r="H178" s="29" t="s">
        <v>723</v>
      </c>
      <c r="I178" s="26">
        <v>10533</v>
      </c>
      <c r="J178" s="81">
        <v>702.2</v>
      </c>
      <c r="K178" s="56" t="s">
        <v>422</v>
      </c>
      <c r="L178" s="56" t="s">
        <v>720</v>
      </c>
      <c r="M178" s="29" t="s">
        <v>12</v>
      </c>
      <c r="N178" s="29" t="s">
        <v>81</v>
      </c>
      <c r="O178" s="29" t="s">
        <v>157</v>
      </c>
      <c r="P178" s="26"/>
      <c r="Q178" s="26"/>
      <c r="R178" s="26"/>
      <c r="S178" s="26"/>
      <c r="T178" s="26"/>
      <c r="U178" s="26"/>
      <c r="V178" s="26"/>
      <c r="W178" s="26"/>
      <c r="X178" s="26" t="s">
        <v>35</v>
      </c>
      <c r="Y178" s="60">
        <f t="shared" si="6"/>
        <v>2026</v>
      </c>
      <c r="Z178" s="60">
        <f t="shared" si="7"/>
        <v>3</v>
      </c>
      <c r="AA178" s="60">
        <f t="shared" si="8"/>
        <v>4</v>
      </c>
    </row>
    <row r="179" ht="114" hidden="1" spans="1:27">
      <c r="A179" s="56" t="s">
        <v>724</v>
      </c>
      <c r="B179" s="31">
        <v>46057</v>
      </c>
      <c r="C179" s="27">
        <v>46085</v>
      </c>
      <c r="D179" s="26" t="s">
        <v>6</v>
      </c>
      <c r="E179" s="26" t="s">
        <v>725</v>
      </c>
      <c r="F179" s="82" t="s">
        <v>726</v>
      </c>
      <c r="G179" s="29"/>
      <c r="H179" s="29" t="s">
        <v>727</v>
      </c>
      <c r="I179" s="26">
        <v>7946.4</v>
      </c>
      <c r="J179" s="81">
        <v>529.76</v>
      </c>
      <c r="K179" s="56" t="s">
        <v>728</v>
      </c>
      <c r="L179" s="56" t="s">
        <v>724</v>
      </c>
      <c r="M179" s="29" t="s">
        <v>12</v>
      </c>
      <c r="N179" s="29" t="s">
        <v>81</v>
      </c>
      <c r="O179" s="29" t="s">
        <v>157</v>
      </c>
      <c r="P179" s="26"/>
      <c r="Q179" s="26"/>
      <c r="R179" s="26"/>
      <c r="S179" s="26"/>
      <c r="T179" s="26"/>
      <c r="U179" s="26"/>
      <c r="V179" s="26"/>
      <c r="W179" s="26"/>
      <c r="X179" s="59" t="s">
        <v>38</v>
      </c>
      <c r="Y179" s="60">
        <f t="shared" si="6"/>
        <v>2026</v>
      </c>
      <c r="Z179" s="60">
        <f t="shared" si="7"/>
        <v>3</v>
      </c>
      <c r="AA179" s="60">
        <f t="shared" si="8"/>
        <v>4</v>
      </c>
    </row>
    <row r="180" ht="128.25" hidden="1" spans="1:27">
      <c r="A180" s="56" t="s">
        <v>729</v>
      </c>
      <c r="B180" s="31">
        <v>46057</v>
      </c>
      <c r="C180" s="27">
        <v>46085</v>
      </c>
      <c r="D180" s="26" t="s">
        <v>6</v>
      </c>
      <c r="E180" s="26" t="s">
        <v>725</v>
      </c>
      <c r="F180" s="58" t="s">
        <v>730</v>
      </c>
      <c r="G180" s="29"/>
      <c r="H180" s="29" t="s">
        <v>731</v>
      </c>
      <c r="I180" s="26">
        <v>1710.3</v>
      </c>
      <c r="J180" s="81">
        <v>114.02</v>
      </c>
      <c r="K180" s="56" t="s">
        <v>728</v>
      </c>
      <c r="L180" s="56" t="s">
        <v>729</v>
      </c>
      <c r="M180" s="29" t="s">
        <v>12</v>
      </c>
      <c r="N180" s="29" t="s">
        <v>81</v>
      </c>
      <c r="O180" s="29" t="s">
        <v>157</v>
      </c>
      <c r="P180" s="26"/>
      <c r="Q180" s="26"/>
      <c r="R180" s="26"/>
      <c r="S180" s="26"/>
      <c r="T180" s="26"/>
      <c r="U180" s="26"/>
      <c r="V180" s="26"/>
      <c r="W180" s="26"/>
      <c r="X180" s="26" t="s">
        <v>34</v>
      </c>
      <c r="Y180" s="60">
        <f t="shared" si="6"/>
        <v>2026</v>
      </c>
      <c r="Z180" s="60">
        <f t="shared" si="7"/>
        <v>3</v>
      </c>
      <c r="AA180" s="60">
        <f t="shared" si="8"/>
        <v>4</v>
      </c>
    </row>
    <row r="181" ht="114" hidden="1" spans="1:27">
      <c r="A181" s="56" t="s">
        <v>732</v>
      </c>
      <c r="B181" s="31">
        <v>46059</v>
      </c>
      <c r="C181" s="27">
        <v>46085</v>
      </c>
      <c r="D181" s="26" t="s">
        <v>6</v>
      </c>
      <c r="E181" s="26" t="s">
        <v>733</v>
      </c>
      <c r="F181" s="83" t="s">
        <v>734</v>
      </c>
      <c r="G181" s="29"/>
      <c r="H181" s="29" t="s">
        <v>633</v>
      </c>
      <c r="I181" s="26">
        <v>3564.89</v>
      </c>
      <c r="J181" s="81">
        <v>1.79</v>
      </c>
      <c r="K181" s="56" t="s">
        <v>735</v>
      </c>
      <c r="L181" s="56" t="s">
        <v>732</v>
      </c>
      <c r="M181" s="29" t="s">
        <v>13</v>
      </c>
      <c r="N181" s="29" t="s">
        <v>81</v>
      </c>
      <c r="O181" s="29" t="s">
        <v>355</v>
      </c>
      <c r="P181" s="26"/>
      <c r="Q181" s="26"/>
      <c r="R181" s="26"/>
      <c r="S181" s="26"/>
      <c r="T181" s="26"/>
      <c r="U181" s="26"/>
      <c r="V181" s="26"/>
      <c r="W181" s="26"/>
      <c r="X181" s="26" t="s">
        <v>35</v>
      </c>
      <c r="Y181" s="60">
        <f t="shared" si="6"/>
        <v>2026</v>
      </c>
      <c r="Z181" s="60">
        <f t="shared" si="7"/>
        <v>3</v>
      </c>
      <c r="AA181" s="60">
        <f t="shared" si="8"/>
        <v>4</v>
      </c>
    </row>
    <row r="182" ht="14.25" hidden="1" spans="1:27">
      <c r="A182" s="56" t="s">
        <v>736</v>
      </c>
      <c r="B182" s="31">
        <v>46057</v>
      </c>
      <c r="C182" s="27">
        <v>46086</v>
      </c>
      <c r="D182" s="26" t="s">
        <v>6</v>
      </c>
      <c r="E182" s="26" t="s">
        <v>725</v>
      </c>
      <c r="F182" s="84" t="s">
        <v>737</v>
      </c>
      <c r="G182" s="29"/>
      <c r="H182" s="29" t="s">
        <v>450</v>
      </c>
      <c r="I182" s="26">
        <v>1081.5</v>
      </c>
      <c r="J182" s="81">
        <v>216.3</v>
      </c>
      <c r="K182" s="56" t="s">
        <v>728</v>
      </c>
      <c r="L182" s="56" t="s">
        <v>736</v>
      </c>
      <c r="M182" s="29" t="s">
        <v>12</v>
      </c>
      <c r="N182" s="29" t="s">
        <v>81</v>
      </c>
      <c r="O182" s="29" t="s">
        <v>157</v>
      </c>
      <c r="P182" s="26"/>
      <c r="Q182" s="26"/>
      <c r="R182" s="26"/>
      <c r="S182" s="26"/>
      <c r="T182" s="26"/>
      <c r="U182" s="26"/>
      <c r="V182" s="26"/>
      <c r="W182" s="26"/>
      <c r="X182" s="59" t="s">
        <v>41</v>
      </c>
      <c r="Y182" s="60">
        <f t="shared" si="6"/>
        <v>2026</v>
      </c>
      <c r="Z182" s="60">
        <f t="shared" si="7"/>
        <v>3</v>
      </c>
      <c r="AA182" s="60">
        <f t="shared" si="8"/>
        <v>5</v>
      </c>
    </row>
    <row r="183" ht="14.25" hidden="1" spans="1:27">
      <c r="A183" s="56" t="s">
        <v>738</v>
      </c>
      <c r="B183" s="31">
        <v>46057</v>
      </c>
      <c r="C183" s="27">
        <v>46086</v>
      </c>
      <c r="D183" s="26" t="s">
        <v>6</v>
      </c>
      <c r="E183" s="26" t="s">
        <v>725</v>
      </c>
      <c r="F183" s="84" t="s">
        <v>739</v>
      </c>
      <c r="G183" s="29"/>
      <c r="H183" s="29" t="s">
        <v>455</v>
      </c>
      <c r="I183" s="26">
        <v>5958.3</v>
      </c>
      <c r="J183" s="81">
        <v>397.22</v>
      </c>
      <c r="K183" s="56" t="s">
        <v>728</v>
      </c>
      <c r="L183" s="56" t="s">
        <v>738</v>
      </c>
      <c r="M183" s="29" t="s">
        <v>12</v>
      </c>
      <c r="N183" s="29" t="s">
        <v>81</v>
      </c>
      <c r="O183" s="29" t="s">
        <v>157</v>
      </c>
      <c r="P183" s="26"/>
      <c r="Q183" s="26"/>
      <c r="R183" s="26"/>
      <c r="S183" s="26"/>
      <c r="T183" s="26"/>
      <c r="U183" s="26"/>
      <c r="V183" s="26"/>
      <c r="W183" s="26"/>
      <c r="X183" s="26" t="s">
        <v>34</v>
      </c>
      <c r="Y183" s="60">
        <f t="shared" si="6"/>
        <v>2026</v>
      </c>
      <c r="Z183" s="60">
        <f t="shared" si="7"/>
        <v>3</v>
      </c>
      <c r="AA183" s="60">
        <f t="shared" si="8"/>
        <v>5</v>
      </c>
    </row>
    <row r="184" ht="13.85" hidden="1" spans="1:27">
      <c r="A184" s="29" t="s">
        <v>740</v>
      </c>
      <c r="B184" s="27">
        <v>46061</v>
      </c>
      <c r="C184" s="27">
        <v>46086</v>
      </c>
      <c r="D184" s="26" t="s">
        <v>6</v>
      </c>
      <c r="E184" s="26" t="s">
        <v>741</v>
      </c>
      <c r="F184" s="29" t="s">
        <v>742</v>
      </c>
      <c r="G184" s="29"/>
      <c r="H184" s="29" t="s">
        <v>633</v>
      </c>
      <c r="I184" s="26">
        <v>592.06</v>
      </c>
      <c r="J184" s="26">
        <v>84.58</v>
      </c>
      <c r="K184" s="29" t="s">
        <v>743</v>
      </c>
      <c r="L184" s="29" t="s">
        <v>740</v>
      </c>
      <c r="M184" s="29" t="s">
        <v>12</v>
      </c>
      <c r="N184" s="29" t="s">
        <v>81</v>
      </c>
      <c r="O184" s="29" t="s">
        <v>148</v>
      </c>
      <c r="P184" s="26"/>
      <c r="Q184" s="26"/>
      <c r="R184" s="26"/>
      <c r="S184" s="26"/>
      <c r="T184" s="26"/>
      <c r="U184" s="26"/>
      <c r="V184" s="26"/>
      <c r="W184" s="26"/>
      <c r="X184" s="26" t="s">
        <v>35</v>
      </c>
      <c r="Y184" s="60">
        <f t="shared" si="6"/>
        <v>2026</v>
      </c>
      <c r="Z184" s="60">
        <f t="shared" si="7"/>
        <v>3</v>
      </c>
      <c r="AA184" s="60">
        <f t="shared" si="8"/>
        <v>5</v>
      </c>
    </row>
    <row r="185" ht="13.85" hidden="1" spans="1:27">
      <c r="A185" s="26" t="s">
        <v>744</v>
      </c>
      <c r="B185" s="31">
        <v>46057</v>
      </c>
      <c r="C185" s="27">
        <v>46086</v>
      </c>
      <c r="D185" s="26" t="s">
        <v>6</v>
      </c>
      <c r="E185" s="26" t="s">
        <v>745</v>
      </c>
      <c r="F185" s="29" t="s">
        <v>746</v>
      </c>
      <c r="G185" s="29"/>
      <c r="H185" s="29" t="s">
        <v>455</v>
      </c>
      <c r="I185" s="26">
        <v>3825.3</v>
      </c>
      <c r="J185" s="26">
        <v>127.51</v>
      </c>
      <c r="K185" s="29" t="s">
        <v>747</v>
      </c>
      <c r="L185" s="26" t="s">
        <v>744</v>
      </c>
      <c r="M185" s="29" t="s">
        <v>11</v>
      </c>
      <c r="N185" s="29" t="s">
        <v>81</v>
      </c>
      <c r="O185" s="29" t="s">
        <v>457</v>
      </c>
      <c r="P185" s="26"/>
      <c r="Q185" s="26"/>
      <c r="R185" s="26"/>
      <c r="S185" s="26"/>
      <c r="T185" s="26"/>
      <c r="U185" s="26"/>
      <c r="V185" s="26"/>
      <c r="W185" s="26"/>
      <c r="X185" s="26" t="s">
        <v>34</v>
      </c>
      <c r="Y185" s="60">
        <f t="shared" si="6"/>
        <v>2026</v>
      </c>
      <c r="Z185" s="60">
        <f t="shared" si="7"/>
        <v>3</v>
      </c>
      <c r="AA185" s="60">
        <f t="shared" si="8"/>
        <v>5</v>
      </c>
    </row>
    <row r="186" ht="13.85" hidden="1" spans="1:27">
      <c r="A186" s="29" t="s">
        <v>748</v>
      </c>
      <c r="B186" s="27">
        <v>46061</v>
      </c>
      <c r="C186" s="27">
        <v>46086</v>
      </c>
      <c r="D186" s="26" t="s">
        <v>6</v>
      </c>
      <c r="E186" s="26" t="s">
        <v>749</v>
      </c>
      <c r="F186" s="29" t="s">
        <v>750</v>
      </c>
      <c r="G186" s="29"/>
      <c r="H186" s="29" t="s">
        <v>455</v>
      </c>
      <c r="I186" s="26">
        <v>62.94</v>
      </c>
      <c r="J186" s="26">
        <v>1258.8</v>
      </c>
      <c r="K186" s="29"/>
      <c r="L186" s="29" t="s">
        <v>751</v>
      </c>
      <c r="M186" s="29" t="s">
        <v>12</v>
      </c>
      <c r="N186" s="29" t="s">
        <v>81</v>
      </c>
      <c r="O186" s="29" t="s">
        <v>148</v>
      </c>
      <c r="P186" s="26"/>
      <c r="Q186" s="26"/>
      <c r="R186" s="26"/>
      <c r="S186" s="26"/>
      <c r="T186" s="26"/>
      <c r="U186" s="26"/>
      <c r="V186" s="26"/>
      <c r="W186" s="26"/>
      <c r="X186" s="26" t="s">
        <v>34</v>
      </c>
      <c r="Y186" s="60">
        <f t="shared" si="6"/>
        <v>2026</v>
      </c>
      <c r="Z186" s="60">
        <f t="shared" si="7"/>
        <v>3</v>
      </c>
      <c r="AA186" s="60">
        <f t="shared" si="8"/>
        <v>5</v>
      </c>
    </row>
    <row r="187" ht="13.85" hidden="1" spans="1:27">
      <c r="A187" s="29" t="s">
        <v>752</v>
      </c>
      <c r="B187" s="27">
        <v>46063</v>
      </c>
      <c r="C187" s="27">
        <v>46090</v>
      </c>
      <c r="D187" s="26" t="s">
        <v>6</v>
      </c>
      <c r="E187" s="26" t="s">
        <v>753</v>
      </c>
      <c r="F187" s="29" t="s">
        <v>754</v>
      </c>
      <c r="G187" s="29"/>
      <c r="H187" s="29" t="s">
        <v>633</v>
      </c>
      <c r="I187" s="26">
        <v>3193.5</v>
      </c>
      <c r="J187" s="26">
        <v>638.7</v>
      </c>
      <c r="K187" s="29" t="s">
        <v>735</v>
      </c>
      <c r="L187" s="26" t="s">
        <v>752</v>
      </c>
      <c r="M187" s="29" t="s">
        <v>13</v>
      </c>
      <c r="N187" s="29" t="s">
        <v>81</v>
      </c>
      <c r="O187" s="29" t="s">
        <v>186</v>
      </c>
      <c r="P187" s="26"/>
      <c r="Q187" s="26"/>
      <c r="R187" s="26"/>
      <c r="S187" s="26"/>
      <c r="T187" s="26"/>
      <c r="U187" s="26"/>
      <c r="V187" s="26"/>
      <c r="W187" s="26"/>
      <c r="X187" s="26" t="s">
        <v>35</v>
      </c>
      <c r="Y187" s="60">
        <f t="shared" si="6"/>
        <v>2026</v>
      </c>
      <c r="Z187" s="60">
        <f t="shared" si="7"/>
        <v>3</v>
      </c>
      <c r="AA187" s="60">
        <f t="shared" si="8"/>
        <v>9</v>
      </c>
    </row>
    <row r="188" ht="13.85" hidden="1" spans="1:27">
      <c r="A188" s="29" t="s">
        <v>755</v>
      </c>
      <c r="B188" s="27">
        <v>46064</v>
      </c>
      <c r="C188" s="27">
        <v>46090</v>
      </c>
      <c r="D188" s="26" t="s">
        <v>6</v>
      </c>
      <c r="E188" s="29" t="s">
        <v>756</v>
      </c>
      <c r="F188" s="29" t="s">
        <v>757</v>
      </c>
      <c r="G188" s="29"/>
      <c r="H188" s="29" t="s">
        <v>569</v>
      </c>
      <c r="I188" s="26">
        <v>6881.5</v>
      </c>
      <c r="J188" s="26">
        <v>1031.03</v>
      </c>
      <c r="K188" s="29" t="s">
        <v>503</v>
      </c>
      <c r="L188" s="29" t="s">
        <v>755</v>
      </c>
      <c r="M188" s="29" t="s">
        <v>14</v>
      </c>
      <c r="N188" s="29" t="s">
        <v>81</v>
      </c>
      <c r="O188" s="29" t="s">
        <v>212</v>
      </c>
      <c r="P188" s="26"/>
      <c r="Q188" s="26"/>
      <c r="R188" s="26"/>
      <c r="S188" s="26"/>
      <c r="T188" s="26"/>
      <c r="U188" s="26"/>
      <c r="V188" s="26"/>
      <c r="W188" s="26"/>
      <c r="X188" s="26" t="s">
        <v>34</v>
      </c>
      <c r="Y188" s="60">
        <f t="shared" si="6"/>
        <v>2026</v>
      </c>
      <c r="Z188" s="60">
        <f t="shared" si="7"/>
        <v>3</v>
      </c>
      <c r="AA188" s="60">
        <f t="shared" si="8"/>
        <v>9</v>
      </c>
    </row>
    <row r="189" ht="13.85" hidden="1" spans="1:27">
      <c r="A189" s="29" t="s">
        <v>758</v>
      </c>
      <c r="B189" s="27">
        <v>46065</v>
      </c>
      <c r="C189" s="27">
        <v>46090</v>
      </c>
      <c r="D189" s="26" t="s">
        <v>6</v>
      </c>
      <c r="E189" s="26" t="s">
        <v>759</v>
      </c>
      <c r="F189" s="29" t="s">
        <v>760</v>
      </c>
      <c r="G189" s="29"/>
      <c r="H189" s="29" t="s">
        <v>455</v>
      </c>
      <c r="I189" s="26">
        <v>2394.7</v>
      </c>
      <c r="J189" s="26">
        <v>1497.048</v>
      </c>
      <c r="K189" s="26" t="s">
        <v>761</v>
      </c>
      <c r="L189" s="26" t="s">
        <v>758</v>
      </c>
      <c r="M189" s="29" t="s">
        <v>11</v>
      </c>
      <c r="N189" s="29" t="s">
        <v>81</v>
      </c>
      <c r="O189" s="29" t="s">
        <v>125</v>
      </c>
      <c r="P189" s="26"/>
      <c r="Q189" s="26"/>
      <c r="R189" s="26"/>
      <c r="S189" s="26"/>
      <c r="T189" s="26"/>
      <c r="U189" s="26"/>
      <c r="V189" s="26"/>
      <c r="W189" s="26"/>
      <c r="X189" s="26" t="s">
        <v>34</v>
      </c>
      <c r="Y189" s="60">
        <f t="shared" si="6"/>
        <v>2026</v>
      </c>
      <c r="Z189" s="60">
        <f t="shared" si="7"/>
        <v>3</v>
      </c>
      <c r="AA189" s="60">
        <f t="shared" si="8"/>
        <v>9</v>
      </c>
    </row>
    <row r="190" ht="13.85" spans="1:27">
      <c r="A190" s="29" t="s">
        <v>762</v>
      </c>
      <c r="B190" s="27">
        <v>46050</v>
      </c>
      <c r="C190" s="27">
        <v>46087</v>
      </c>
      <c r="D190" s="26" t="s">
        <v>6</v>
      </c>
      <c r="E190" s="29" t="s">
        <v>763</v>
      </c>
      <c r="F190" s="29" t="s">
        <v>764</v>
      </c>
      <c r="G190" s="29"/>
      <c r="H190" s="29" t="s">
        <v>75</v>
      </c>
      <c r="I190" s="26">
        <v>1538.22</v>
      </c>
      <c r="J190" s="26">
        <v>1490.8</v>
      </c>
      <c r="K190" s="29" t="s">
        <v>404</v>
      </c>
      <c r="L190" s="29" t="s">
        <v>762</v>
      </c>
      <c r="M190" s="29" t="s">
        <v>13</v>
      </c>
      <c r="N190" s="29" t="s">
        <v>81</v>
      </c>
      <c r="O190" s="29" t="s">
        <v>397</v>
      </c>
      <c r="P190" s="26"/>
      <c r="Q190" s="26"/>
      <c r="R190" s="26"/>
      <c r="S190" s="26"/>
      <c r="T190" s="26"/>
      <c r="U190" s="26"/>
      <c r="V190" s="26"/>
      <c r="W190" s="26"/>
      <c r="X190" s="26" t="s">
        <v>35</v>
      </c>
      <c r="Y190" s="60">
        <f t="shared" si="6"/>
        <v>2026</v>
      </c>
      <c r="Z190" s="60">
        <f t="shared" si="7"/>
        <v>3</v>
      </c>
      <c r="AA190" s="60">
        <f t="shared" si="8"/>
        <v>6</v>
      </c>
    </row>
    <row r="191" ht="13.85" hidden="1" spans="1:27">
      <c r="A191" s="85" t="s">
        <v>765</v>
      </c>
      <c r="B191" s="27">
        <v>46056</v>
      </c>
      <c r="C191" s="27">
        <v>46092</v>
      </c>
      <c r="D191" s="26" t="s">
        <v>6</v>
      </c>
      <c r="E191" s="29" t="s">
        <v>766</v>
      </c>
      <c r="F191" s="29" t="s">
        <v>767</v>
      </c>
      <c r="G191" s="29"/>
      <c r="H191" s="29" t="s">
        <v>633</v>
      </c>
      <c r="I191" s="29">
        <v>2144.2</v>
      </c>
      <c r="J191" s="29">
        <v>428.84</v>
      </c>
      <c r="K191" s="29" t="s">
        <v>735</v>
      </c>
      <c r="L191" s="29" t="s">
        <v>765</v>
      </c>
      <c r="M191" s="29" t="s">
        <v>13</v>
      </c>
      <c r="N191" s="29" t="s">
        <v>81</v>
      </c>
      <c r="O191" s="29" t="s">
        <v>355</v>
      </c>
      <c r="P191" s="26"/>
      <c r="Q191" s="26"/>
      <c r="R191" s="26"/>
      <c r="S191" s="26"/>
      <c r="T191" s="26"/>
      <c r="U191" s="26"/>
      <c r="V191" s="26"/>
      <c r="W191" s="26"/>
      <c r="X191" s="26" t="s">
        <v>35</v>
      </c>
      <c r="Y191" s="60">
        <f t="shared" si="6"/>
        <v>2026</v>
      </c>
      <c r="Z191" s="60">
        <f t="shared" si="7"/>
        <v>3</v>
      </c>
      <c r="AA191" s="60">
        <f t="shared" si="8"/>
        <v>11</v>
      </c>
    </row>
    <row r="192" ht="13.85" hidden="1" spans="1:27">
      <c r="A192" s="85" t="s">
        <v>768</v>
      </c>
      <c r="B192" s="27">
        <v>46030</v>
      </c>
      <c r="C192" s="27">
        <v>46092</v>
      </c>
      <c r="D192" s="26" t="s">
        <v>6</v>
      </c>
      <c r="E192" s="29" t="s">
        <v>766</v>
      </c>
      <c r="F192" s="29" t="s">
        <v>769</v>
      </c>
      <c r="G192" s="29"/>
      <c r="H192" s="29" t="s">
        <v>633</v>
      </c>
      <c r="I192" s="29" t="s">
        <v>770</v>
      </c>
      <c r="J192" s="29">
        <v>139.07</v>
      </c>
      <c r="K192" s="29" t="s">
        <v>771</v>
      </c>
      <c r="L192" s="29" t="s">
        <v>768</v>
      </c>
      <c r="M192" s="29" t="s">
        <v>13</v>
      </c>
      <c r="N192" s="29" t="s">
        <v>81</v>
      </c>
      <c r="O192" s="29" t="s">
        <v>355</v>
      </c>
      <c r="P192" s="26"/>
      <c r="Q192" s="26"/>
      <c r="R192" s="26"/>
      <c r="S192" s="26"/>
      <c r="T192" s="26"/>
      <c r="U192" s="26"/>
      <c r="V192" s="26"/>
      <c r="W192" s="26"/>
      <c r="X192" s="26" t="s">
        <v>35</v>
      </c>
      <c r="Y192" s="60">
        <f t="shared" si="6"/>
        <v>2026</v>
      </c>
      <c r="Z192" s="60">
        <f t="shared" si="7"/>
        <v>3</v>
      </c>
      <c r="AA192" s="60">
        <f t="shared" si="8"/>
        <v>11</v>
      </c>
    </row>
    <row r="193" ht="13.85" hidden="1" spans="1:27">
      <c r="A193" s="26" t="s">
        <v>772</v>
      </c>
      <c r="B193" s="27">
        <v>46067</v>
      </c>
      <c r="C193" s="27">
        <v>46092</v>
      </c>
      <c r="D193" s="26" t="s">
        <v>6</v>
      </c>
      <c r="E193" s="29" t="s">
        <v>773</v>
      </c>
      <c r="F193" s="29" t="s">
        <v>774</v>
      </c>
      <c r="G193" s="29"/>
      <c r="H193" s="29" t="s">
        <v>633</v>
      </c>
      <c r="I193" s="26">
        <v>505.6</v>
      </c>
      <c r="J193" s="26">
        <v>58.46</v>
      </c>
      <c r="K193" s="29"/>
      <c r="L193" s="26" t="s">
        <v>772</v>
      </c>
      <c r="M193" s="29" t="s">
        <v>11</v>
      </c>
      <c r="N193" s="29" t="s">
        <v>81</v>
      </c>
      <c r="O193" s="29" t="s">
        <v>350</v>
      </c>
      <c r="P193" s="26"/>
      <c r="Q193" s="26"/>
      <c r="R193" s="26"/>
      <c r="S193" s="26"/>
      <c r="T193" s="26"/>
      <c r="U193" s="26"/>
      <c r="V193" s="26"/>
      <c r="W193" s="26"/>
      <c r="X193" s="26" t="s">
        <v>35</v>
      </c>
      <c r="Y193" s="60">
        <f t="shared" si="6"/>
        <v>2026</v>
      </c>
      <c r="Z193" s="60">
        <f t="shared" si="7"/>
        <v>3</v>
      </c>
      <c r="AA193" s="60">
        <f t="shared" si="8"/>
        <v>11</v>
      </c>
    </row>
    <row r="194" ht="13.85" hidden="1" spans="1:27">
      <c r="A194" s="26"/>
      <c r="B194" s="27">
        <v>46085</v>
      </c>
      <c r="C194" s="27">
        <v>46092</v>
      </c>
      <c r="D194" s="26" t="s">
        <v>6</v>
      </c>
      <c r="E194" s="29" t="s">
        <v>775</v>
      </c>
      <c r="F194" s="29" t="s">
        <v>776</v>
      </c>
      <c r="G194" s="29"/>
      <c r="H194" s="29" t="s">
        <v>777</v>
      </c>
      <c r="I194" s="26">
        <v>5360</v>
      </c>
      <c r="J194" s="26">
        <v>5.36</v>
      </c>
      <c r="K194" s="29"/>
      <c r="L194" s="26" t="s">
        <v>778</v>
      </c>
      <c r="M194" s="29" t="s">
        <v>11</v>
      </c>
      <c r="N194" s="29" t="s">
        <v>81</v>
      </c>
      <c r="O194" s="29" t="s">
        <v>350</v>
      </c>
      <c r="P194" s="26"/>
      <c r="Q194" s="26"/>
      <c r="R194" s="26"/>
      <c r="S194" s="26"/>
      <c r="T194" s="26"/>
      <c r="U194" s="26"/>
      <c r="V194" s="26"/>
      <c r="W194" s="26"/>
      <c r="X194" s="26" t="s">
        <v>37</v>
      </c>
      <c r="Y194" s="60">
        <f t="shared" ref="Y194:Y257" si="9">YEAR(C194)</f>
        <v>2026</v>
      </c>
      <c r="Z194" s="60">
        <f t="shared" ref="Z194:Z257" si="10">MONTH(C194)</f>
        <v>3</v>
      </c>
      <c r="AA194" s="60">
        <f t="shared" ref="AA194:AA257" si="11">DAY(C194)</f>
        <v>11</v>
      </c>
    </row>
    <row r="195" ht="13.85" hidden="1" spans="1:27">
      <c r="A195" s="26" t="s">
        <v>779</v>
      </c>
      <c r="B195" s="27">
        <v>46083</v>
      </c>
      <c r="C195" s="27">
        <v>46092</v>
      </c>
      <c r="D195" s="29" t="s">
        <v>6</v>
      </c>
      <c r="E195" s="29" t="s">
        <v>780</v>
      </c>
      <c r="F195" s="29" t="s">
        <v>781</v>
      </c>
      <c r="G195" s="29"/>
      <c r="H195" s="29" t="s">
        <v>455</v>
      </c>
      <c r="I195" s="26">
        <v>1882.2</v>
      </c>
      <c r="J195" s="26">
        <v>62.74</v>
      </c>
      <c r="K195" s="29"/>
      <c r="L195" s="26" t="s">
        <v>779</v>
      </c>
      <c r="M195" s="29" t="s">
        <v>11</v>
      </c>
      <c r="N195" s="29" t="s">
        <v>81</v>
      </c>
      <c r="O195" s="29" t="s">
        <v>181</v>
      </c>
      <c r="P195" s="26"/>
      <c r="Q195" s="26"/>
      <c r="R195" s="26"/>
      <c r="S195" s="26"/>
      <c r="T195" s="26"/>
      <c r="U195" s="26"/>
      <c r="V195" s="26"/>
      <c r="W195" s="26"/>
      <c r="X195" s="26" t="s">
        <v>34</v>
      </c>
      <c r="Y195" s="60">
        <f t="shared" si="9"/>
        <v>2026</v>
      </c>
      <c r="Z195" s="60">
        <f t="shared" si="10"/>
        <v>3</v>
      </c>
      <c r="AA195" s="60">
        <f t="shared" si="11"/>
        <v>11</v>
      </c>
    </row>
    <row r="196" ht="13.85" hidden="1" spans="1:27">
      <c r="A196" s="26" t="s">
        <v>782</v>
      </c>
      <c r="B196" s="27">
        <v>46080</v>
      </c>
      <c r="C196" s="27">
        <v>46092</v>
      </c>
      <c r="D196" s="29" t="s">
        <v>6</v>
      </c>
      <c r="E196" s="29" t="s">
        <v>783</v>
      </c>
      <c r="F196" s="29" t="s">
        <v>784</v>
      </c>
      <c r="G196" s="29"/>
      <c r="H196" s="29" t="s">
        <v>569</v>
      </c>
      <c r="I196" s="26">
        <v>24984.2</v>
      </c>
      <c r="J196" s="26">
        <v>2498.42</v>
      </c>
      <c r="K196" s="29"/>
      <c r="L196" s="26" t="s">
        <v>782</v>
      </c>
      <c r="M196" s="29" t="s">
        <v>11</v>
      </c>
      <c r="N196" s="29" t="s">
        <v>81</v>
      </c>
      <c r="O196" s="29" t="s">
        <v>181</v>
      </c>
      <c r="P196" s="26"/>
      <c r="Q196" s="26"/>
      <c r="R196" s="26"/>
      <c r="S196" s="26"/>
      <c r="T196" s="26"/>
      <c r="U196" s="26"/>
      <c r="V196" s="26"/>
      <c r="W196" s="26"/>
      <c r="X196" s="26" t="s">
        <v>34</v>
      </c>
      <c r="Y196" s="60">
        <f t="shared" si="9"/>
        <v>2026</v>
      </c>
      <c r="Z196" s="60">
        <f t="shared" si="10"/>
        <v>3</v>
      </c>
      <c r="AA196" s="60">
        <f t="shared" si="11"/>
        <v>11</v>
      </c>
    </row>
    <row r="197" ht="16.15" hidden="1" spans="1:27">
      <c r="A197" s="29" t="s">
        <v>785</v>
      </c>
      <c r="B197" s="27">
        <v>46055</v>
      </c>
      <c r="C197" s="27">
        <v>46092</v>
      </c>
      <c r="D197" s="29" t="s">
        <v>6</v>
      </c>
      <c r="E197" s="39" t="s">
        <v>786</v>
      </c>
      <c r="F197" s="44" t="s">
        <v>787</v>
      </c>
      <c r="G197" s="29"/>
      <c r="H197" s="29" t="s">
        <v>455</v>
      </c>
      <c r="I197" s="40">
        <v>8626.5</v>
      </c>
      <c r="J197" s="40">
        <v>862.65</v>
      </c>
      <c r="K197" s="29"/>
      <c r="L197" s="39" t="s">
        <v>785</v>
      </c>
      <c r="M197" s="29" t="s">
        <v>12</v>
      </c>
      <c r="N197" s="29" t="s">
        <v>81</v>
      </c>
      <c r="O197" s="29" t="s">
        <v>148</v>
      </c>
      <c r="P197" s="26"/>
      <c r="Q197" s="26"/>
      <c r="R197" s="26"/>
      <c r="S197" s="26"/>
      <c r="T197" s="26"/>
      <c r="U197" s="26"/>
      <c r="V197" s="26"/>
      <c r="W197" s="26"/>
      <c r="X197" s="26" t="s">
        <v>34</v>
      </c>
      <c r="Y197" s="60">
        <f t="shared" si="9"/>
        <v>2026</v>
      </c>
      <c r="Z197" s="60">
        <f t="shared" si="10"/>
        <v>3</v>
      </c>
      <c r="AA197" s="60">
        <f t="shared" si="11"/>
        <v>11</v>
      </c>
    </row>
    <row r="198" ht="16.1" hidden="1" spans="1:27">
      <c r="A198" s="29" t="s">
        <v>785</v>
      </c>
      <c r="B198" s="27">
        <v>46031</v>
      </c>
      <c r="C198" s="27">
        <v>46092</v>
      </c>
      <c r="D198" s="29" t="s">
        <v>6</v>
      </c>
      <c r="E198" s="29" t="s">
        <v>788</v>
      </c>
      <c r="F198" s="29" t="s">
        <v>789</v>
      </c>
      <c r="G198" s="29"/>
      <c r="H198" s="29" t="s">
        <v>569</v>
      </c>
      <c r="I198" s="26">
        <v>528.77</v>
      </c>
      <c r="J198" s="26">
        <v>9902.1</v>
      </c>
      <c r="K198" s="29"/>
      <c r="L198" s="39" t="s">
        <v>785</v>
      </c>
      <c r="M198" s="29" t="s">
        <v>12</v>
      </c>
      <c r="N198" s="29" t="s">
        <v>81</v>
      </c>
      <c r="O198" s="29" t="s">
        <v>148</v>
      </c>
      <c r="P198" s="26"/>
      <c r="Q198" s="26"/>
      <c r="R198" s="26"/>
      <c r="S198" s="26"/>
      <c r="T198" s="26"/>
      <c r="U198" s="26"/>
      <c r="V198" s="26"/>
      <c r="W198" s="26"/>
      <c r="X198" s="26" t="s">
        <v>34</v>
      </c>
      <c r="Y198" s="60">
        <f t="shared" si="9"/>
        <v>2026</v>
      </c>
      <c r="Z198" s="60">
        <f t="shared" si="10"/>
        <v>3</v>
      </c>
      <c r="AA198" s="60">
        <f t="shared" si="11"/>
        <v>11</v>
      </c>
    </row>
    <row r="199" ht="13.85" hidden="1" spans="1:27">
      <c r="A199" s="26" t="s">
        <v>790</v>
      </c>
      <c r="B199" s="27">
        <v>46067</v>
      </c>
      <c r="C199" s="27">
        <v>46093</v>
      </c>
      <c r="D199" s="29" t="s">
        <v>6</v>
      </c>
      <c r="E199" s="29" t="s">
        <v>791</v>
      </c>
      <c r="F199" s="29" t="s">
        <v>792</v>
      </c>
      <c r="G199" s="29"/>
      <c r="H199" s="29" t="s">
        <v>455</v>
      </c>
      <c r="I199" s="26">
        <v>1321.2</v>
      </c>
      <c r="J199" s="26">
        <v>132.12</v>
      </c>
      <c r="K199" s="29" t="s">
        <v>793</v>
      </c>
      <c r="L199" s="29" t="s">
        <v>794</v>
      </c>
      <c r="M199" s="29" t="s">
        <v>11</v>
      </c>
      <c r="N199" s="29" t="s">
        <v>81</v>
      </c>
      <c r="O199" s="29" t="s">
        <v>115</v>
      </c>
      <c r="P199" s="26"/>
      <c r="Q199" s="26"/>
      <c r="R199" s="26"/>
      <c r="S199" s="26"/>
      <c r="T199" s="26"/>
      <c r="U199" s="26"/>
      <c r="V199" s="26"/>
      <c r="W199" s="26"/>
      <c r="X199" s="26" t="s">
        <v>34</v>
      </c>
      <c r="Y199" s="60">
        <f t="shared" si="9"/>
        <v>2026</v>
      </c>
      <c r="Z199" s="60">
        <f t="shared" si="10"/>
        <v>3</v>
      </c>
      <c r="AA199" s="60">
        <f t="shared" si="11"/>
        <v>12</v>
      </c>
    </row>
    <row r="200" ht="14.25" hidden="1" spans="1:27">
      <c r="A200" s="29" t="s">
        <v>795</v>
      </c>
      <c r="B200" s="27">
        <v>46067</v>
      </c>
      <c r="C200" s="27">
        <v>46093</v>
      </c>
      <c r="D200" s="29" t="s">
        <v>6</v>
      </c>
      <c r="E200" s="29" t="s">
        <v>796</v>
      </c>
      <c r="F200" s="29" t="s">
        <v>797</v>
      </c>
      <c r="G200" s="29"/>
      <c r="H200" s="29" t="s">
        <v>798</v>
      </c>
      <c r="I200" s="76">
        <v>8926.81</v>
      </c>
      <c r="J200" s="76">
        <v>563.98</v>
      </c>
      <c r="K200" s="29" t="s">
        <v>661</v>
      </c>
      <c r="L200" s="29" t="s">
        <v>795</v>
      </c>
      <c r="M200" s="29" t="s">
        <v>11</v>
      </c>
      <c r="N200" s="29" t="s">
        <v>81</v>
      </c>
      <c r="O200" s="29" t="s">
        <v>115</v>
      </c>
      <c r="P200" s="26"/>
      <c r="Q200" s="26"/>
      <c r="R200" s="26"/>
      <c r="S200" s="26"/>
      <c r="T200" s="26"/>
      <c r="U200" s="26"/>
      <c r="V200" s="26"/>
      <c r="W200" s="26"/>
      <c r="X200" s="26" t="s">
        <v>35</v>
      </c>
      <c r="Y200" s="60">
        <f t="shared" si="9"/>
        <v>2026</v>
      </c>
      <c r="Z200" s="60">
        <f t="shared" si="10"/>
        <v>3</v>
      </c>
      <c r="AA200" s="60">
        <f t="shared" si="11"/>
        <v>12</v>
      </c>
    </row>
    <row r="201" ht="13.85" hidden="1" spans="1:27">
      <c r="A201" s="29" t="s">
        <v>799</v>
      </c>
      <c r="B201" s="31" t="s">
        <v>800</v>
      </c>
      <c r="C201" s="27">
        <v>46094</v>
      </c>
      <c r="D201" s="26" t="s">
        <v>6</v>
      </c>
      <c r="E201" s="29" t="s">
        <v>801</v>
      </c>
      <c r="F201" s="29" t="s">
        <v>802</v>
      </c>
      <c r="G201" s="29"/>
      <c r="H201" s="29" t="s">
        <v>633</v>
      </c>
      <c r="I201" s="26">
        <v>5000</v>
      </c>
      <c r="J201" s="26">
        <v>305.84</v>
      </c>
      <c r="K201" s="29"/>
      <c r="L201" s="29" t="s">
        <v>799</v>
      </c>
      <c r="M201" s="29" t="s">
        <v>15</v>
      </c>
      <c r="N201" s="29" t="s">
        <v>81</v>
      </c>
      <c r="O201" s="29" t="s">
        <v>228</v>
      </c>
      <c r="P201" s="26"/>
      <c r="Q201" s="26"/>
      <c r="R201" s="26"/>
      <c r="S201" s="26"/>
      <c r="T201" s="26"/>
      <c r="U201" s="26"/>
      <c r="V201" s="26"/>
      <c r="W201" s="26"/>
      <c r="X201" s="26" t="s">
        <v>35</v>
      </c>
      <c r="Y201" s="60">
        <f t="shared" si="9"/>
        <v>2026</v>
      </c>
      <c r="Z201" s="60">
        <f t="shared" si="10"/>
        <v>3</v>
      </c>
      <c r="AA201" s="60">
        <f t="shared" si="11"/>
        <v>13</v>
      </c>
    </row>
    <row r="202" ht="13.85" hidden="1" spans="1:27">
      <c r="A202" s="29" t="s">
        <v>803</v>
      </c>
      <c r="B202" s="27">
        <v>46081</v>
      </c>
      <c r="C202" s="27">
        <v>46094</v>
      </c>
      <c r="D202" s="26" t="s">
        <v>6</v>
      </c>
      <c r="E202" s="29" t="s">
        <v>509</v>
      </c>
      <c r="F202" s="29" t="s">
        <v>804</v>
      </c>
      <c r="G202" s="29"/>
      <c r="H202" s="29" t="s">
        <v>455</v>
      </c>
      <c r="I202" s="26">
        <v>5804.06</v>
      </c>
      <c r="J202" s="26">
        <v>174.67</v>
      </c>
      <c r="K202" s="29" t="s">
        <v>805</v>
      </c>
      <c r="L202" s="29" t="s">
        <v>803</v>
      </c>
      <c r="M202" s="29" t="s">
        <v>14</v>
      </c>
      <c r="N202" s="29" t="s">
        <v>81</v>
      </c>
      <c r="O202" s="29" t="s">
        <v>238</v>
      </c>
      <c r="P202" s="26"/>
      <c r="Q202" s="26"/>
      <c r="R202" s="26"/>
      <c r="S202" s="26"/>
      <c r="T202" s="26"/>
      <c r="U202" s="26"/>
      <c r="V202" s="26"/>
      <c r="W202" s="26"/>
      <c r="X202" s="26" t="s">
        <v>34</v>
      </c>
      <c r="Y202" s="60">
        <f t="shared" si="9"/>
        <v>2026</v>
      </c>
      <c r="Z202" s="60">
        <f t="shared" si="10"/>
        <v>3</v>
      </c>
      <c r="AA202" s="60">
        <f t="shared" si="11"/>
        <v>13</v>
      </c>
    </row>
    <row r="203" ht="13.85" hidden="1" spans="1:27">
      <c r="A203" s="29" t="s">
        <v>806</v>
      </c>
      <c r="B203" s="27">
        <v>46063</v>
      </c>
      <c r="C203" s="27">
        <v>46094</v>
      </c>
      <c r="D203" s="26" t="s">
        <v>6</v>
      </c>
      <c r="E203" s="29" t="s">
        <v>807</v>
      </c>
      <c r="F203" s="29" t="s">
        <v>808</v>
      </c>
      <c r="G203" s="29"/>
      <c r="H203" s="29" t="s">
        <v>633</v>
      </c>
      <c r="I203" s="26">
        <v>7729.8</v>
      </c>
      <c r="J203" s="26">
        <v>515.32</v>
      </c>
      <c r="K203" s="29" t="s">
        <v>809</v>
      </c>
      <c r="L203" s="29" t="s">
        <v>806</v>
      </c>
      <c r="M203" s="29" t="s">
        <v>14</v>
      </c>
      <c r="N203" s="29" t="s">
        <v>81</v>
      </c>
      <c r="O203" s="29" t="s">
        <v>810</v>
      </c>
      <c r="P203" s="26"/>
      <c r="Q203" s="26"/>
      <c r="R203" s="26"/>
      <c r="S203" s="26"/>
      <c r="T203" s="26"/>
      <c r="U203" s="26"/>
      <c r="V203" s="26"/>
      <c r="W203" s="26"/>
      <c r="X203" s="26" t="s">
        <v>35</v>
      </c>
      <c r="Y203" s="60">
        <f t="shared" si="9"/>
        <v>2026</v>
      </c>
      <c r="Z203" s="60">
        <f t="shared" si="10"/>
        <v>3</v>
      </c>
      <c r="AA203" s="60">
        <f t="shared" si="11"/>
        <v>13</v>
      </c>
    </row>
    <row r="204" ht="13.85" hidden="1" spans="1:27">
      <c r="A204" s="29" t="s">
        <v>811</v>
      </c>
      <c r="B204" s="27">
        <v>46051</v>
      </c>
      <c r="C204" s="27">
        <v>46094</v>
      </c>
      <c r="D204" s="29" t="s">
        <v>6</v>
      </c>
      <c r="E204" s="29" t="s">
        <v>812</v>
      </c>
      <c r="F204" s="29" t="s">
        <v>813</v>
      </c>
      <c r="G204" s="29"/>
      <c r="H204" s="29" t="s">
        <v>814</v>
      </c>
      <c r="I204" s="26">
        <v>6971.7</v>
      </c>
      <c r="J204" s="26">
        <v>397.59</v>
      </c>
      <c r="K204" s="29" t="s">
        <v>809</v>
      </c>
      <c r="L204" s="29" t="s">
        <v>811</v>
      </c>
      <c r="M204" s="29" t="s">
        <v>14</v>
      </c>
      <c r="N204" s="29" t="s">
        <v>81</v>
      </c>
      <c r="O204" s="29" t="s">
        <v>810</v>
      </c>
      <c r="P204" s="26"/>
      <c r="Q204" s="26"/>
      <c r="R204" s="26"/>
      <c r="S204" s="26"/>
      <c r="T204" s="26"/>
      <c r="U204" s="26"/>
      <c r="V204" s="26"/>
      <c r="W204" s="26"/>
      <c r="X204" s="26" t="s">
        <v>35</v>
      </c>
      <c r="Y204" s="60">
        <f t="shared" si="9"/>
        <v>2026</v>
      </c>
      <c r="Z204" s="60">
        <f t="shared" si="10"/>
        <v>3</v>
      </c>
      <c r="AA204" s="60">
        <f t="shared" si="11"/>
        <v>13</v>
      </c>
    </row>
    <row r="205" ht="15.75" hidden="1" spans="1:27">
      <c r="A205" s="45" t="s">
        <v>815</v>
      </c>
      <c r="B205" s="27">
        <v>46086</v>
      </c>
      <c r="C205" s="27">
        <v>46094</v>
      </c>
      <c r="D205" s="26" t="s">
        <v>6</v>
      </c>
      <c r="E205" s="46" t="s">
        <v>816</v>
      </c>
      <c r="F205" s="86" t="s">
        <v>817</v>
      </c>
      <c r="G205" s="29" t="s">
        <v>818</v>
      </c>
      <c r="H205" s="29" t="s">
        <v>633</v>
      </c>
      <c r="I205" s="26">
        <v>2414.4</v>
      </c>
      <c r="J205" s="26">
        <v>301.8</v>
      </c>
      <c r="K205" s="29"/>
      <c r="L205" s="26" t="s">
        <v>815</v>
      </c>
      <c r="M205" s="29" t="s">
        <v>13</v>
      </c>
      <c r="N205" s="29" t="s">
        <v>81</v>
      </c>
      <c r="O205" s="29" t="s">
        <v>397</v>
      </c>
      <c r="P205" s="26"/>
      <c r="Q205" s="26"/>
      <c r="R205" s="26"/>
      <c r="S205" s="26"/>
      <c r="T205" s="26"/>
      <c r="U205" s="26"/>
      <c r="V205" s="26"/>
      <c r="W205" s="26"/>
      <c r="X205" s="26" t="s">
        <v>35</v>
      </c>
      <c r="Y205" s="60">
        <f t="shared" si="9"/>
        <v>2026</v>
      </c>
      <c r="Z205" s="60">
        <f t="shared" si="10"/>
        <v>3</v>
      </c>
      <c r="AA205" s="60">
        <f t="shared" si="11"/>
        <v>13</v>
      </c>
    </row>
    <row r="206" ht="13.85" hidden="1" spans="1:27">
      <c r="A206" s="29" t="s">
        <v>819</v>
      </c>
      <c r="B206" s="27">
        <v>46095</v>
      </c>
      <c r="C206" s="27">
        <v>46097</v>
      </c>
      <c r="D206" s="26" t="s">
        <v>6</v>
      </c>
      <c r="E206" s="29" t="s">
        <v>820</v>
      </c>
      <c r="F206" s="29" t="s">
        <v>821</v>
      </c>
      <c r="G206" s="29" t="s">
        <v>818</v>
      </c>
      <c r="H206" s="29" t="s">
        <v>633</v>
      </c>
      <c r="I206" s="26">
        <v>5117.1</v>
      </c>
      <c r="J206" s="26">
        <v>1023.42</v>
      </c>
      <c r="K206" s="29"/>
      <c r="L206" s="26" t="s">
        <v>822</v>
      </c>
      <c r="M206" s="29" t="s">
        <v>13</v>
      </c>
      <c r="N206" s="29" t="s">
        <v>81</v>
      </c>
      <c r="O206" s="29" t="s">
        <v>549</v>
      </c>
      <c r="P206" s="26"/>
      <c r="Q206" s="26"/>
      <c r="R206" s="26"/>
      <c r="S206" s="26"/>
      <c r="T206" s="26"/>
      <c r="U206" s="26"/>
      <c r="V206" s="26"/>
      <c r="W206" s="26"/>
      <c r="X206" s="26" t="s">
        <v>35</v>
      </c>
      <c r="Y206" s="60">
        <f t="shared" si="9"/>
        <v>2026</v>
      </c>
      <c r="Z206" s="60">
        <f t="shared" si="10"/>
        <v>3</v>
      </c>
      <c r="AA206" s="60">
        <f t="shared" si="11"/>
        <v>16</v>
      </c>
    </row>
    <row r="207" s="23" customFormat="1" ht="16.15" hidden="1" spans="1:27">
      <c r="A207" s="26" t="s">
        <v>823</v>
      </c>
      <c r="B207" s="27">
        <v>46049</v>
      </c>
      <c r="C207" s="27">
        <v>46097</v>
      </c>
      <c r="D207" s="26" t="s">
        <v>6</v>
      </c>
      <c r="E207" s="39" t="s">
        <v>824</v>
      </c>
      <c r="F207" s="29" t="s">
        <v>825</v>
      </c>
      <c r="G207" s="29" t="s">
        <v>818</v>
      </c>
      <c r="H207" s="29" t="s">
        <v>474</v>
      </c>
      <c r="I207" s="40">
        <v>14231.6</v>
      </c>
      <c r="J207" s="40">
        <v>711.58</v>
      </c>
      <c r="K207" s="40" t="s">
        <v>826</v>
      </c>
      <c r="L207" s="39" t="s">
        <v>823</v>
      </c>
      <c r="M207" s="29" t="s">
        <v>12</v>
      </c>
      <c r="N207" s="29" t="s">
        <v>81</v>
      </c>
      <c r="O207" s="29" t="s">
        <v>148</v>
      </c>
      <c r="P207" s="26"/>
      <c r="Q207" s="26"/>
      <c r="R207" s="26"/>
      <c r="S207" s="26"/>
      <c r="T207" s="26"/>
      <c r="U207" s="26"/>
      <c r="V207" s="26"/>
      <c r="W207" s="26"/>
      <c r="X207" s="70" t="s">
        <v>38</v>
      </c>
      <c r="Y207" s="65">
        <f t="shared" si="9"/>
        <v>2026</v>
      </c>
      <c r="Z207" s="65">
        <f t="shared" si="10"/>
        <v>3</v>
      </c>
      <c r="AA207" s="65">
        <f t="shared" si="11"/>
        <v>16</v>
      </c>
    </row>
    <row r="208" ht="16.1" hidden="1" spans="1:27">
      <c r="A208" s="26" t="s">
        <v>823</v>
      </c>
      <c r="B208" s="27">
        <v>46045</v>
      </c>
      <c r="C208" s="27">
        <v>46097</v>
      </c>
      <c r="D208" s="26" t="s">
        <v>6</v>
      </c>
      <c r="E208" s="39" t="s">
        <v>827</v>
      </c>
      <c r="F208" s="29" t="s">
        <v>828</v>
      </c>
      <c r="G208" s="29"/>
      <c r="H208" s="29" t="s">
        <v>829</v>
      </c>
      <c r="I208" s="26">
        <v>15682.4</v>
      </c>
      <c r="J208" s="26">
        <v>784.12</v>
      </c>
      <c r="K208" s="40" t="s">
        <v>830</v>
      </c>
      <c r="L208" s="39" t="s">
        <v>823</v>
      </c>
      <c r="M208" s="29" t="s">
        <v>12</v>
      </c>
      <c r="N208" s="29" t="s">
        <v>81</v>
      </c>
      <c r="O208" s="29" t="s">
        <v>148</v>
      </c>
      <c r="P208" s="26"/>
      <c r="Q208" s="26"/>
      <c r="R208" s="26"/>
      <c r="S208" s="26"/>
      <c r="T208" s="26"/>
      <c r="U208" s="26"/>
      <c r="V208" s="26"/>
      <c r="W208" s="26"/>
      <c r="X208" s="26" t="s">
        <v>34</v>
      </c>
      <c r="Y208" s="60">
        <f t="shared" si="9"/>
        <v>2026</v>
      </c>
      <c r="Z208" s="60">
        <f t="shared" si="10"/>
        <v>3</v>
      </c>
      <c r="AA208" s="60">
        <f t="shared" si="11"/>
        <v>16</v>
      </c>
    </row>
    <row r="209" ht="16.1" hidden="1" spans="1:27">
      <c r="A209" s="26" t="s">
        <v>831</v>
      </c>
      <c r="B209" s="27">
        <v>46069</v>
      </c>
      <c r="C209" s="27">
        <v>46098</v>
      </c>
      <c r="D209" s="26" t="s">
        <v>6</v>
      </c>
      <c r="E209" s="39" t="s">
        <v>832</v>
      </c>
      <c r="F209" s="87" t="s">
        <v>833</v>
      </c>
      <c r="G209" s="29"/>
      <c r="H209" s="29" t="s">
        <v>727</v>
      </c>
      <c r="I209" s="26">
        <v>9194</v>
      </c>
      <c r="J209" s="26">
        <v>459.7</v>
      </c>
      <c r="K209" s="29" t="s">
        <v>834</v>
      </c>
      <c r="L209" s="52" t="s">
        <v>831</v>
      </c>
      <c r="M209" s="29" t="s">
        <v>11</v>
      </c>
      <c r="N209" s="29" t="s">
        <v>81</v>
      </c>
      <c r="O209" s="29" t="s">
        <v>115</v>
      </c>
      <c r="P209" s="26"/>
      <c r="Q209" s="26"/>
      <c r="R209" s="26"/>
      <c r="S209" s="26"/>
      <c r="T209" s="26"/>
      <c r="U209" s="26"/>
      <c r="V209" s="26"/>
      <c r="W209" s="26"/>
      <c r="X209" s="59" t="s">
        <v>38</v>
      </c>
      <c r="Y209" s="60">
        <f t="shared" si="9"/>
        <v>2026</v>
      </c>
      <c r="Z209" s="60">
        <f t="shared" si="10"/>
        <v>3</v>
      </c>
      <c r="AA209" s="60">
        <f t="shared" si="11"/>
        <v>17</v>
      </c>
    </row>
    <row r="210" ht="14.25" hidden="1" spans="1:27">
      <c r="A210" s="26" t="s">
        <v>835</v>
      </c>
      <c r="B210" s="27">
        <v>46048</v>
      </c>
      <c r="C210" s="27">
        <v>46098</v>
      </c>
      <c r="D210" s="26" t="s">
        <v>6</v>
      </c>
      <c r="E210" s="52" t="s">
        <v>836</v>
      </c>
      <c r="F210" s="88" t="s">
        <v>837</v>
      </c>
      <c r="G210" s="29"/>
      <c r="H210" s="29" t="s">
        <v>455</v>
      </c>
      <c r="I210" s="57">
        <v>3620.6</v>
      </c>
      <c r="J210" s="57">
        <v>362.06</v>
      </c>
      <c r="K210" s="57" t="s">
        <v>838</v>
      </c>
      <c r="L210" s="57" t="s">
        <v>835</v>
      </c>
      <c r="M210" s="29" t="s">
        <v>11</v>
      </c>
      <c r="N210" s="29" t="s">
        <v>81</v>
      </c>
      <c r="O210" s="29" t="s">
        <v>115</v>
      </c>
      <c r="P210" s="26"/>
      <c r="Q210" s="26"/>
      <c r="R210" s="26"/>
      <c r="S210" s="26"/>
      <c r="T210" s="26"/>
      <c r="U210" s="26"/>
      <c r="V210" s="26"/>
      <c r="W210" s="26"/>
      <c r="X210" s="26" t="s">
        <v>34</v>
      </c>
      <c r="Y210" s="60">
        <f t="shared" si="9"/>
        <v>2026</v>
      </c>
      <c r="Z210" s="60">
        <f t="shared" si="10"/>
        <v>3</v>
      </c>
      <c r="AA210" s="60">
        <f t="shared" si="11"/>
        <v>17</v>
      </c>
    </row>
    <row r="211" ht="14.25" hidden="1" spans="1:27">
      <c r="A211" s="29" t="s">
        <v>839</v>
      </c>
      <c r="B211" s="27">
        <v>46079</v>
      </c>
      <c r="C211" s="27">
        <v>46098</v>
      </c>
      <c r="D211" s="26" t="s">
        <v>6</v>
      </c>
      <c r="E211" s="52" t="s">
        <v>840</v>
      </c>
      <c r="F211" s="29" t="s">
        <v>841</v>
      </c>
      <c r="G211" s="29"/>
      <c r="H211" s="29" t="s">
        <v>455</v>
      </c>
      <c r="I211" s="26">
        <v>1685.9</v>
      </c>
      <c r="J211" s="26">
        <v>168.59</v>
      </c>
      <c r="K211" s="57" t="s">
        <v>838</v>
      </c>
      <c r="L211" s="52" t="s">
        <v>839</v>
      </c>
      <c r="M211" s="29" t="s">
        <v>11</v>
      </c>
      <c r="N211" s="29" t="s">
        <v>81</v>
      </c>
      <c r="O211" s="29" t="s">
        <v>115</v>
      </c>
      <c r="P211" s="26"/>
      <c r="Q211" s="26"/>
      <c r="R211" s="26"/>
      <c r="S211" s="26"/>
      <c r="T211" s="26"/>
      <c r="U211" s="26"/>
      <c r="V211" s="26"/>
      <c r="W211" s="26"/>
      <c r="X211" s="26" t="s">
        <v>34</v>
      </c>
      <c r="Y211" s="60">
        <f t="shared" si="9"/>
        <v>2026</v>
      </c>
      <c r="Z211" s="60">
        <f t="shared" si="10"/>
        <v>3</v>
      </c>
      <c r="AA211" s="60">
        <f t="shared" si="11"/>
        <v>17</v>
      </c>
    </row>
    <row r="212" ht="13.85" hidden="1" spans="1:27">
      <c r="A212" s="29" t="s">
        <v>842</v>
      </c>
      <c r="B212" s="27">
        <v>46090</v>
      </c>
      <c r="C212" s="27">
        <v>46100</v>
      </c>
      <c r="D212" s="26" t="s">
        <v>6</v>
      </c>
      <c r="E212" s="29" t="s">
        <v>843</v>
      </c>
      <c r="F212" s="29" t="s">
        <v>844</v>
      </c>
      <c r="G212" s="29"/>
      <c r="H212" s="29" t="s">
        <v>845</v>
      </c>
      <c r="I212" s="26">
        <v>15041.16</v>
      </c>
      <c r="J212" s="26">
        <v>791.64</v>
      </c>
      <c r="K212" s="29" t="s">
        <v>681</v>
      </c>
      <c r="L212" s="29" t="s">
        <v>842</v>
      </c>
      <c r="M212" s="29" t="s">
        <v>11</v>
      </c>
      <c r="N212" s="29" t="s">
        <v>81</v>
      </c>
      <c r="O212" s="29" t="s">
        <v>132</v>
      </c>
      <c r="P212" s="26"/>
      <c r="Q212" s="26"/>
      <c r="R212" s="26"/>
      <c r="S212" s="26"/>
      <c r="T212" s="26"/>
      <c r="U212" s="26"/>
      <c r="V212" s="26"/>
      <c r="W212" s="26"/>
      <c r="X212" s="26" t="s">
        <v>34</v>
      </c>
      <c r="Y212" s="60">
        <f t="shared" si="9"/>
        <v>2026</v>
      </c>
      <c r="Z212" s="60">
        <f t="shared" si="10"/>
        <v>3</v>
      </c>
      <c r="AA212" s="60">
        <f t="shared" si="11"/>
        <v>19</v>
      </c>
    </row>
    <row r="213" ht="15" hidden="1" spans="1:27">
      <c r="A213" s="26" t="s">
        <v>846</v>
      </c>
      <c r="B213" s="27">
        <v>46092</v>
      </c>
      <c r="C213" s="27">
        <v>46101</v>
      </c>
      <c r="D213" s="26" t="s">
        <v>6</v>
      </c>
      <c r="E213" s="26" t="s">
        <v>847</v>
      </c>
      <c r="F213" s="29" t="s">
        <v>848</v>
      </c>
      <c r="G213" s="29"/>
      <c r="H213" s="29" t="s">
        <v>492</v>
      </c>
      <c r="I213" s="89">
        <v>1320</v>
      </c>
      <c r="J213" s="26"/>
      <c r="K213" s="29"/>
      <c r="L213" s="26" t="s">
        <v>846</v>
      </c>
      <c r="M213" s="29" t="s">
        <v>11</v>
      </c>
      <c r="N213" s="29" t="s">
        <v>495</v>
      </c>
      <c r="O213" s="29" t="s">
        <v>125</v>
      </c>
      <c r="P213" s="26"/>
      <c r="Q213" s="26"/>
      <c r="R213" s="26"/>
      <c r="S213" s="26"/>
      <c r="T213" s="26"/>
      <c r="U213" s="26"/>
      <c r="V213" s="26"/>
      <c r="W213" s="26"/>
      <c r="X213" s="59" t="s">
        <v>36</v>
      </c>
      <c r="Y213" s="60">
        <f t="shared" si="9"/>
        <v>2026</v>
      </c>
      <c r="Z213" s="60">
        <f t="shared" si="10"/>
        <v>3</v>
      </c>
      <c r="AA213" s="60">
        <f t="shared" si="11"/>
        <v>20</v>
      </c>
    </row>
    <row r="214" ht="13.85" spans="1:27">
      <c r="A214" s="26" t="s">
        <v>849</v>
      </c>
      <c r="B214" s="27">
        <v>46094</v>
      </c>
      <c r="C214" s="27">
        <v>46096</v>
      </c>
      <c r="D214" s="26" t="s">
        <v>6</v>
      </c>
      <c r="E214" s="29" t="s">
        <v>145</v>
      </c>
      <c r="F214" s="29" t="s">
        <v>850</v>
      </c>
      <c r="G214" s="29"/>
      <c r="H214" s="29" t="s">
        <v>75</v>
      </c>
      <c r="I214" s="26">
        <v>320.6</v>
      </c>
      <c r="J214" s="26">
        <v>32.06</v>
      </c>
      <c r="K214" s="29" t="s">
        <v>681</v>
      </c>
      <c r="L214" s="26" t="s">
        <v>849</v>
      </c>
      <c r="M214" s="29" t="s">
        <v>11</v>
      </c>
      <c r="N214" s="29" t="s">
        <v>81</v>
      </c>
      <c r="O214" s="29" t="s">
        <v>268</v>
      </c>
      <c r="P214" s="26"/>
      <c r="Q214" s="26"/>
      <c r="R214" s="26"/>
      <c r="S214" s="26"/>
      <c r="T214" s="26"/>
      <c r="U214" s="26"/>
      <c r="V214" s="26"/>
      <c r="W214" s="26"/>
      <c r="X214" s="26" t="s">
        <v>35</v>
      </c>
      <c r="Y214" s="60">
        <f t="shared" si="9"/>
        <v>2026</v>
      </c>
      <c r="Z214" s="60">
        <f t="shared" si="10"/>
        <v>3</v>
      </c>
      <c r="AA214" s="60">
        <f t="shared" si="11"/>
        <v>15</v>
      </c>
    </row>
    <row r="215" ht="13.85" spans="1:27">
      <c r="A215" s="26" t="s">
        <v>851</v>
      </c>
      <c r="B215" s="27">
        <v>46091</v>
      </c>
      <c r="C215" s="27">
        <v>46092</v>
      </c>
      <c r="D215" s="26" t="s">
        <v>6</v>
      </c>
      <c r="E215" s="29" t="s">
        <v>852</v>
      </c>
      <c r="F215" s="29" t="s">
        <v>853</v>
      </c>
      <c r="G215" s="29"/>
      <c r="H215" s="29" t="s">
        <v>75</v>
      </c>
      <c r="I215" s="26">
        <v>11174.12</v>
      </c>
      <c r="J215" s="26">
        <v>1096.92</v>
      </c>
      <c r="K215" s="29" t="s">
        <v>854</v>
      </c>
      <c r="L215" s="26" t="s">
        <v>851</v>
      </c>
      <c r="M215" s="29" t="s">
        <v>11</v>
      </c>
      <c r="N215" s="29" t="s">
        <v>81</v>
      </c>
      <c r="O215" s="29" t="s">
        <v>268</v>
      </c>
      <c r="P215" s="26"/>
      <c r="Q215" s="26"/>
      <c r="R215" s="26"/>
      <c r="S215" s="26"/>
      <c r="T215" s="26"/>
      <c r="U215" s="26"/>
      <c r="V215" s="26"/>
      <c r="W215" s="26"/>
      <c r="X215" s="26" t="s">
        <v>35</v>
      </c>
      <c r="Y215" s="60">
        <f t="shared" si="9"/>
        <v>2026</v>
      </c>
      <c r="Z215" s="60">
        <f t="shared" si="10"/>
        <v>3</v>
      </c>
      <c r="AA215" s="60">
        <f t="shared" si="11"/>
        <v>11</v>
      </c>
    </row>
    <row r="216" ht="13.85" hidden="1" spans="1:27">
      <c r="A216" s="26" t="s">
        <v>855</v>
      </c>
      <c r="B216" s="27">
        <v>46086</v>
      </c>
      <c r="C216" s="27">
        <v>46101</v>
      </c>
      <c r="D216" s="26" t="s">
        <v>6</v>
      </c>
      <c r="E216" s="29" t="s">
        <v>856</v>
      </c>
      <c r="F216" s="29" t="s">
        <v>857</v>
      </c>
      <c r="G216" s="29"/>
      <c r="H216" s="29" t="s">
        <v>858</v>
      </c>
      <c r="I216" s="26">
        <v>422</v>
      </c>
      <c r="J216" s="26">
        <v>84.4</v>
      </c>
      <c r="K216" s="29"/>
      <c r="L216" s="26" t="s">
        <v>855</v>
      </c>
      <c r="M216" s="29" t="s">
        <v>13</v>
      </c>
      <c r="N216" s="29" t="s">
        <v>495</v>
      </c>
      <c r="O216" s="29" t="s">
        <v>77</v>
      </c>
      <c r="P216" s="26"/>
      <c r="Q216" s="26"/>
      <c r="R216" s="26"/>
      <c r="S216" s="26"/>
      <c r="T216" s="26"/>
      <c r="U216" s="26"/>
      <c r="V216" s="26"/>
      <c r="W216" s="26"/>
      <c r="X216" s="26" t="s">
        <v>37</v>
      </c>
      <c r="Y216" s="60">
        <f t="shared" si="9"/>
        <v>2026</v>
      </c>
      <c r="Z216" s="60">
        <f t="shared" si="10"/>
        <v>3</v>
      </c>
      <c r="AA216" s="60">
        <f t="shared" si="11"/>
        <v>20</v>
      </c>
    </row>
    <row r="217" ht="20.25" hidden="1" spans="1:27">
      <c r="A217" s="26" t="s">
        <v>859</v>
      </c>
      <c r="B217" s="27">
        <v>46085</v>
      </c>
      <c r="C217" s="27">
        <v>46101</v>
      </c>
      <c r="D217" s="26" t="s">
        <v>6</v>
      </c>
      <c r="E217" s="26" t="s">
        <v>860</v>
      </c>
      <c r="F217" s="90" t="s">
        <v>861</v>
      </c>
      <c r="G217" s="29"/>
      <c r="H217" s="29" t="s">
        <v>455</v>
      </c>
      <c r="I217" s="91">
        <v>2277.4</v>
      </c>
      <c r="J217" s="91">
        <v>455.47</v>
      </c>
      <c r="K217" s="29" t="s">
        <v>862</v>
      </c>
      <c r="L217" s="29" t="s">
        <v>859</v>
      </c>
      <c r="M217" s="29" t="s">
        <v>13</v>
      </c>
      <c r="N217" s="29" t="s">
        <v>495</v>
      </c>
      <c r="O217" s="29" t="s">
        <v>77</v>
      </c>
      <c r="P217" s="26"/>
      <c r="Q217" s="26"/>
      <c r="R217" s="26"/>
      <c r="S217" s="26"/>
      <c r="T217" s="26"/>
      <c r="U217" s="26"/>
      <c r="V217" s="26"/>
      <c r="W217" s="26"/>
      <c r="X217" s="26" t="s">
        <v>34</v>
      </c>
      <c r="Y217" s="60">
        <f t="shared" si="9"/>
        <v>2026</v>
      </c>
      <c r="Z217" s="60">
        <f t="shared" si="10"/>
        <v>3</v>
      </c>
      <c r="AA217" s="60">
        <f t="shared" si="11"/>
        <v>20</v>
      </c>
    </row>
    <row r="218" ht="22.85" hidden="1" spans="1:27">
      <c r="A218" s="91" t="s">
        <v>863</v>
      </c>
      <c r="B218" s="27">
        <v>46083</v>
      </c>
      <c r="C218" s="27">
        <v>46101</v>
      </c>
      <c r="D218" s="26" t="s">
        <v>6</v>
      </c>
      <c r="E218" s="53" t="s">
        <v>864</v>
      </c>
      <c r="F218" s="90" t="s">
        <v>865</v>
      </c>
      <c r="G218" s="29"/>
      <c r="H218" s="29" t="s">
        <v>633</v>
      </c>
      <c r="I218" s="26">
        <v>3744.1</v>
      </c>
      <c r="J218" s="26">
        <v>748.82</v>
      </c>
      <c r="K218" s="29" t="s">
        <v>866</v>
      </c>
      <c r="L218" s="91" t="s">
        <v>863</v>
      </c>
      <c r="M218" s="29" t="s">
        <v>13</v>
      </c>
      <c r="N218" s="29" t="s">
        <v>495</v>
      </c>
      <c r="O218" s="29" t="s">
        <v>77</v>
      </c>
      <c r="P218" s="26"/>
      <c r="Q218" s="26"/>
      <c r="R218" s="26"/>
      <c r="S218" s="26"/>
      <c r="T218" s="26"/>
      <c r="U218" s="26"/>
      <c r="V218" s="26"/>
      <c r="W218" s="26"/>
      <c r="X218" s="26" t="s">
        <v>35</v>
      </c>
      <c r="Y218" s="60">
        <f t="shared" si="9"/>
        <v>2026</v>
      </c>
      <c r="Z218" s="60">
        <f t="shared" si="10"/>
        <v>3</v>
      </c>
      <c r="AA218" s="60">
        <f t="shared" si="11"/>
        <v>20</v>
      </c>
    </row>
    <row r="219" ht="20.25" hidden="1" spans="1:27">
      <c r="A219" s="29" t="s">
        <v>867</v>
      </c>
      <c r="B219" s="27">
        <v>46064</v>
      </c>
      <c r="C219" s="27">
        <v>46104</v>
      </c>
      <c r="D219" s="26" t="s">
        <v>6</v>
      </c>
      <c r="E219" s="29" t="s">
        <v>868</v>
      </c>
      <c r="F219" s="90" t="s">
        <v>869</v>
      </c>
      <c r="G219" s="29"/>
      <c r="H219" s="29" t="s">
        <v>870</v>
      </c>
      <c r="I219" s="26">
        <v>14401.5</v>
      </c>
      <c r="J219" s="26">
        <v>288.03</v>
      </c>
      <c r="K219" s="29" t="s">
        <v>809</v>
      </c>
      <c r="L219" s="29" t="s">
        <v>867</v>
      </c>
      <c r="M219" s="29" t="s">
        <v>14</v>
      </c>
      <c r="N219" s="29" t="s">
        <v>495</v>
      </c>
      <c r="O219" s="29" t="s">
        <v>238</v>
      </c>
      <c r="P219" s="26"/>
      <c r="Q219" s="26"/>
      <c r="R219" s="26"/>
      <c r="S219" s="26"/>
      <c r="T219" s="26"/>
      <c r="U219" s="26"/>
      <c r="V219" s="26"/>
      <c r="W219" s="26"/>
      <c r="X219" s="26" t="s">
        <v>34</v>
      </c>
      <c r="Y219" s="60">
        <f t="shared" si="9"/>
        <v>2026</v>
      </c>
      <c r="Z219" s="60">
        <f t="shared" si="10"/>
        <v>3</v>
      </c>
      <c r="AA219" s="60">
        <f t="shared" si="11"/>
        <v>23</v>
      </c>
    </row>
    <row r="220" ht="13.85" hidden="1" spans="1:27">
      <c r="A220" s="29" t="s">
        <v>871</v>
      </c>
      <c r="B220" s="27">
        <v>46082</v>
      </c>
      <c r="C220" s="27">
        <v>46105</v>
      </c>
      <c r="D220" s="26" t="s">
        <v>6</v>
      </c>
      <c r="E220" s="29" t="s">
        <v>872</v>
      </c>
      <c r="F220" s="29" t="s">
        <v>873</v>
      </c>
      <c r="G220" s="29"/>
      <c r="H220" s="29" t="s">
        <v>633</v>
      </c>
      <c r="I220" s="26">
        <v>566.35</v>
      </c>
      <c r="J220" s="26">
        <v>282.4</v>
      </c>
      <c r="K220" s="29" t="s">
        <v>874</v>
      </c>
      <c r="L220" s="29" t="s">
        <v>871</v>
      </c>
      <c r="M220" s="29" t="s">
        <v>14</v>
      </c>
      <c r="N220" s="29" t="s">
        <v>81</v>
      </c>
      <c r="O220" s="29" t="s">
        <v>212</v>
      </c>
      <c r="P220" s="26"/>
      <c r="Q220" s="26"/>
      <c r="R220" s="26"/>
      <c r="S220" s="26"/>
      <c r="T220" s="26"/>
      <c r="U220" s="26"/>
      <c r="V220" s="26"/>
      <c r="W220" s="26"/>
      <c r="X220" s="26" t="s">
        <v>35</v>
      </c>
      <c r="Y220" s="60">
        <f t="shared" si="9"/>
        <v>2026</v>
      </c>
      <c r="Z220" s="60">
        <f t="shared" si="10"/>
        <v>3</v>
      </c>
      <c r="AA220" s="60">
        <f t="shared" si="11"/>
        <v>24</v>
      </c>
    </row>
    <row r="221" ht="15" hidden="1" spans="1:27">
      <c r="A221" s="92" t="s">
        <v>875</v>
      </c>
      <c r="B221" s="27">
        <v>46064</v>
      </c>
      <c r="C221" s="27">
        <v>46105</v>
      </c>
      <c r="D221" s="26" t="s">
        <v>6</v>
      </c>
      <c r="E221" s="29" t="s">
        <v>876</v>
      </c>
      <c r="F221" s="29" t="s">
        <v>877</v>
      </c>
      <c r="G221" s="29"/>
      <c r="H221" s="29" t="s">
        <v>731</v>
      </c>
      <c r="I221" s="26">
        <v>28167.3</v>
      </c>
      <c r="J221" s="26">
        <v>938.91</v>
      </c>
      <c r="K221" s="29" t="s">
        <v>793</v>
      </c>
      <c r="L221" s="29" t="s">
        <v>875</v>
      </c>
      <c r="M221" s="29" t="s">
        <v>11</v>
      </c>
      <c r="N221" s="29" t="s">
        <v>81</v>
      </c>
      <c r="O221" s="29" t="s">
        <v>115</v>
      </c>
      <c r="P221" s="26"/>
      <c r="Q221" s="26"/>
      <c r="R221" s="26"/>
      <c r="S221" s="26"/>
      <c r="T221" s="26"/>
      <c r="U221" s="26"/>
      <c r="V221" s="26"/>
      <c r="W221" s="26"/>
      <c r="X221" s="26" t="s">
        <v>34</v>
      </c>
      <c r="Y221" s="60">
        <f t="shared" si="9"/>
        <v>2026</v>
      </c>
      <c r="Z221" s="60">
        <f t="shared" si="10"/>
        <v>3</v>
      </c>
      <c r="AA221" s="60">
        <f t="shared" si="11"/>
        <v>24</v>
      </c>
    </row>
    <row r="222" ht="15" hidden="1" spans="1:27">
      <c r="A222" s="92" t="s">
        <v>878</v>
      </c>
      <c r="B222" s="27">
        <v>46066</v>
      </c>
      <c r="C222" s="27">
        <v>46105</v>
      </c>
      <c r="D222" s="26" t="s">
        <v>6</v>
      </c>
      <c r="E222" s="29" t="s">
        <v>879</v>
      </c>
      <c r="F222" s="29" t="s">
        <v>880</v>
      </c>
      <c r="G222" s="29"/>
      <c r="H222" s="29" t="s">
        <v>633</v>
      </c>
      <c r="I222" s="26">
        <v>348.9</v>
      </c>
      <c r="J222" s="26">
        <v>69.78</v>
      </c>
      <c r="K222" s="29" t="s">
        <v>793</v>
      </c>
      <c r="L222" s="29" t="s">
        <v>878</v>
      </c>
      <c r="M222" s="29" t="s">
        <v>11</v>
      </c>
      <c r="N222" s="29" t="s">
        <v>81</v>
      </c>
      <c r="O222" s="29" t="s">
        <v>115</v>
      </c>
      <c r="P222" s="26"/>
      <c r="Q222" s="26"/>
      <c r="R222" s="26"/>
      <c r="S222" s="26"/>
      <c r="T222" s="26"/>
      <c r="U222" s="26"/>
      <c r="V222" s="26"/>
      <c r="W222" s="26"/>
      <c r="X222" s="26" t="s">
        <v>35</v>
      </c>
      <c r="Y222" s="60">
        <f t="shared" si="9"/>
        <v>2026</v>
      </c>
      <c r="Z222" s="60">
        <f t="shared" si="10"/>
        <v>3</v>
      </c>
      <c r="AA222" s="60">
        <f t="shared" si="11"/>
        <v>24</v>
      </c>
    </row>
    <row r="223" ht="15" hidden="1" spans="1:27">
      <c r="A223" s="92" t="s">
        <v>881</v>
      </c>
      <c r="B223" s="27">
        <v>46093</v>
      </c>
      <c r="C223" s="27">
        <v>46106</v>
      </c>
      <c r="D223" s="26" t="s">
        <v>6</v>
      </c>
      <c r="E223" s="29" t="s">
        <v>701</v>
      </c>
      <c r="F223" s="29" t="s">
        <v>882</v>
      </c>
      <c r="G223" s="29" t="s">
        <v>883</v>
      </c>
      <c r="H223" s="29" t="s">
        <v>644</v>
      </c>
      <c r="I223" s="26">
        <v>6400.5</v>
      </c>
      <c r="J223" s="26">
        <v>509.96</v>
      </c>
      <c r="K223" s="29" t="s">
        <v>687</v>
      </c>
      <c r="L223" s="29" t="s">
        <v>881</v>
      </c>
      <c r="M223" s="29" t="s">
        <v>14</v>
      </c>
      <c r="N223" s="29" t="s">
        <v>81</v>
      </c>
      <c r="O223" s="29" t="s">
        <v>308</v>
      </c>
      <c r="P223" s="26"/>
      <c r="Q223" s="26"/>
      <c r="R223" s="26"/>
      <c r="S223" s="26"/>
      <c r="T223" s="26"/>
      <c r="U223" s="26"/>
      <c r="V223" s="26"/>
      <c r="W223" s="26"/>
      <c r="X223" s="26" t="s">
        <v>34</v>
      </c>
      <c r="Y223" s="60">
        <f t="shared" si="9"/>
        <v>2026</v>
      </c>
      <c r="Z223" s="60">
        <f t="shared" si="10"/>
        <v>3</v>
      </c>
      <c r="AA223" s="60">
        <f t="shared" si="11"/>
        <v>25</v>
      </c>
    </row>
    <row r="224" ht="15" hidden="1" spans="1:27">
      <c r="A224" s="93" t="s">
        <v>884</v>
      </c>
      <c r="B224" s="27">
        <v>46084</v>
      </c>
      <c r="C224" s="27">
        <v>46107</v>
      </c>
      <c r="D224" s="26" t="s">
        <v>6</v>
      </c>
      <c r="E224" s="29" t="s">
        <v>885</v>
      </c>
      <c r="F224" s="29" t="s">
        <v>886</v>
      </c>
      <c r="G224" s="29"/>
      <c r="H224" s="29" t="s">
        <v>455</v>
      </c>
      <c r="I224" s="26">
        <v>21407.47</v>
      </c>
      <c r="J224" s="26">
        <v>836.36</v>
      </c>
      <c r="K224" s="29" t="s">
        <v>681</v>
      </c>
      <c r="L224" s="29" t="s">
        <v>884</v>
      </c>
      <c r="M224" s="29" t="s">
        <v>11</v>
      </c>
      <c r="N224" s="29" t="s">
        <v>81</v>
      </c>
      <c r="O224" s="29" t="s">
        <v>125</v>
      </c>
      <c r="P224" s="26"/>
      <c r="Q224" s="26"/>
      <c r="R224" s="26"/>
      <c r="S224" s="26"/>
      <c r="T224" s="26"/>
      <c r="U224" s="26"/>
      <c r="V224" s="26"/>
      <c r="W224" s="26"/>
      <c r="X224" s="26" t="s">
        <v>34</v>
      </c>
      <c r="Y224" s="60">
        <f t="shared" si="9"/>
        <v>2026</v>
      </c>
      <c r="Z224" s="60">
        <f t="shared" si="10"/>
        <v>3</v>
      </c>
      <c r="AA224" s="60">
        <f t="shared" si="11"/>
        <v>26</v>
      </c>
    </row>
    <row r="225" ht="13.85" hidden="1" spans="1:27">
      <c r="A225" s="29" t="s">
        <v>887</v>
      </c>
      <c r="B225" s="27">
        <v>46094</v>
      </c>
      <c r="C225" s="27">
        <v>46107</v>
      </c>
      <c r="D225" s="26" t="s">
        <v>6</v>
      </c>
      <c r="E225" s="29" t="s">
        <v>509</v>
      </c>
      <c r="F225" s="29" t="s">
        <v>888</v>
      </c>
      <c r="G225" s="29" t="s">
        <v>883</v>
      </c>
      <c r="H225" s="29" t="s">
        <v>455</v>
      </c>
      <c r="I225" s="26">
        <v>7269.63</v>
      </c>
      <c r="J225" s="26">
        <v>362.22</v>
      </c>
      <c r="K225" s="29" t="s">
        <v>805</v>
      </c>
      <c r="L225" s="29" t="s">
        <v>887</v>
      </c>
      <c r="M225" s="29" t="s">
        <v>14</v>
      </c>
      <c r="N225" s="29" t="s">
        <v>81</v>
      </c>
      <c r="O225" s="29" t="s">
        <v>238</v>
      </c>
      <c r="P225" s="26"/>
      <c r="Q225" s="26"/>
      <c r="R225" s="26"/>
      <c r="S225" s="26"/>
      <c r="T225" s="26"/>
      <c r="U225" s="26"/>
      <c r="V225" s="26"/>
      <c r="W225" s="26"/>
      <c r="X225" s="26" t="s">
        <v>34</v>
      </c>
      <c r="Y225" s="60">
        <f t="shared" si="9"/>
        <v>2026</v>
      </c>
      <c r="Z225" s="60">
        <f t="shared" si="10"/>
        <v>3</v>
      </c>
      <c r="AA225" s="60">
        <f t="shared" si="11"/>
        <v>26</v>
      </c>
    </row>
    <row r="226" ht="13.85" hidden="1" spans="1:27">
      <c r="A226" s="29" t="s">
        <v>508</v>
      </c>
      <c r="B226" s="27">
        <v>46092</v>
      </c>
      <c r="C226" s="27">
        <v>46107</v>
      </c>
      <c r="D226" s="26" t="s">
        <v>6</v>
      </c>
      <c r="E226" s="29" t="s">
        <v>603</v>
      </c>
      <c r="F226" s="29" t="s">
        <v>889</v>
      </c>
      <c r="G226" s="29"/>
      <c r="H226" s="29" t="s">
        <v>455</v>
      </c>
      <c r="I226" s="26">
        <v>3450.3</v>
      </c>
      <c r="J226" s="26">
        <v>230.02</v>
      </c>
      <c r="K226" s="29" t="s">
        <v>809</v>
      </c>
      <c r="L226" s="29" t="s">
        <v>508</v>
      </c>
      <c r="M226" s="29" t="s">
        <v>14</v>
      </c>
      <c r="N226" s="29" t="s">
        <v>81</v>
      </c>
      <c r="O226" s="29" t="s">
        <v>308</v>
      </c>
      <c r="P226" s="26"/>
      <c r="Q226" s="26"/>
      <c r="R226" s="26"/>
      <c r="S226" s="26"/>
      <c r="T226" s="26"/>
      <c r="U226" s="26"/>
      <c r="V226" s="26"/>
      <c r="W226" s="26"/>
      <c r="X226" s="26" t="s">
        <v>34</v>
      </c>
      <c r="Y226" s="60">
        <f t="shared" si="9"/>
        <v>2026</v>
      </c>
      <c r="Z226" s="60">
        <f t="shared" si="10"/>
        <v>3</v>
      </c>
      <c r="AA226" s="60">
        <f t="shared" si="11"/>
        <v>26</v>
      </c>
    </row>
    <row r="227" ht="13.85" hidden="1" spans="1:27">
      <c r="A227" s="29" t="s">
        <v>890</v>
      </c>
      <c r="B227" s="27">
        <v>46096</v>
      </c>
      <c r="C227" s="27">
        <v>46107</v>
      </c>
      <c r="D227" s="26" t="s">
        <v>6</v>
      </c>
      <c r="E227" s="29" t="s">
        <v>891</v>
      </c>
      <c r="F227" s="29" t="s">
        <v>892</v>
      </c>
      <c r="G227" s="29"/>
      <c r="H227" s="29" t="s">
        <v>893</v>
      </c>
      <c r="I227" s="26">
        <v>21838.5</v>
      </c>
      <c r="J227" s="26">
        <v>873.54</v>
      </c>
      <c r="K227" s="29" t="s">
        <v>894</v>
      </c>
      <c r="L227" s="29" t="s">
        <v>890</v>
      </c>
      <c r="M227" s="29" t="s">
        <v>14</v>
      </c>
      <c r="N227" s="29" t="s">
        <v>81</v>
      </c>
      <c r="O227" s="29" t="s">
        <v>308</v>
      </c>
      <c r="P227" s="26"/>
      <c r="Q227" s="26"/>
      <c r="R227" s="26"/>
      <c r="S227" s="26"/>
      <c r="T227" s="26"/>
      <c r="U227" s="26"/>
      <c r="V227" s="26"/>
      <c r="W227" s="26"/>
      <c r="X227" s="26" t="s">
        <v>35</v>
      </c>
      <c r="Y227" s="60">
        <f t="shared" si="9"/>
        <v>2026</v>
      </c>
      <c r="Z227" s="60">
        <f t="shared" si="10"/>
        <v>3</v>
      </c>
      <c r="AA227" s="60">
        <f t="shared" si="11"/>
        <v>26</v>
      </c>
    </row>
    <row r="228" ht="13.85" hidden="1" spans="1:27">
      <c r="A228" s="29" t="s">
        <v>895</v>
      </c>
      <c r="B228" s="27">
        <v>46086</v>
      </c>
      <c r="C228" s="27">
        <v>46107</v>
      </c>
      <c r="D228" s="26" t="s">
        <v>6</v>
      </c>
      <c r="E228" s="29" t="s">
        <v>896</v>
      </c>
      <c r="F228" s="29" t="s">
        <v>897</v>
      </c>
      <c r="G228" s="29"/>
      <c r="H228" s="29" t="s">
        <v>474</v>
      </c>
      <c r="I228" s="26">
        <v>1950.42</v>
      </c>
      <c r="J228" s="26">
        <v>238.56</v>
      </c>
      <c r="K228" s="29" t="s">
        <v>898</v>
      </c>
      <c r="L228" s="29" t="s">
        <v>895</v>
      </c>
      <c r="M228" s="29" t="s">
        <v>11</v>
      </c>
      <c r="N228" s="29" t="s">
        <v>81</v>
      </c>
      <c r="O228" s="29" t="s">
        <v>132</v>
      </c>
      <c r="P228" s="26"/>
      <c r="Q228" s="26"/>
      <c r="R228" s="26"/>
      <c r="S228" s="26"/>
      <c r="T228" s="26"/>
      <c r="U228" s="26"/>
      <c r="V228" s="26"/>
      <c r="W228" s="26"/>
      <c r="X228" s="70" t="s">
        <v>38</v>
      </c>
      <c r="Y228" s="60">
        <f t="shared" si="9"/>
        <v>2026</v>
      </c>
      <c r="Z228" s="60">
        <f t="shared" si="10"/>
        <v>3</v>
      </c>
      <c r="AA228" s="60">
        <f t="shared" si="11"/>
        <v>26</v>
      </c>
    </row>
    <row r="229" ht="13.85" hidden="1" spans="1:27">
      <c r="A229" s="29" t="s">
        <v>899</v>
      </c>
      <c r="B229" s="27">
        <v>46065</v>
      </c>
      <c r="C229" s="27">
        <v>46107</v>
      </c>
      <c r="D229" s="26" t="s">
        <v>6</v>
      </c>
      <c r="E229" s="29" t="s">
        <v>900</v>
      </c>
      <c r="F229" s="29" t="s">
        <v>901</v>
      </c>
      <c r="G229" s="29"/>
      <c r="H229" s="29" t="s">
        <v>902</v>
      </c>
      <c r="I229" s="26">
        <v>27840.4</v>
      </c>
      <c r="J229" s="26">
        <v>1392.02</v>
      </c>
      <c r="K229" s="55" t="s">
        <v>809</v>
      </c>
      <c r="L229" s="29" t="s">
        <v>899</v>
      </c>
      <c r="M229" s="29" t="s">
        <v>14</v>
      </c>
      <c r="N229" s="29" t="s">
        <v>81</v>
      </c>
      <c r="O229" s="29" t="s">
        <v>308</v>
      </c>
      <c r="P229" s="26"/>
      <c r="Q229" s="26"/>
      <c r="R229" s="26"/>
      <c r="S229" s="26"/>
      <c r="T229" s="26"/>
      <c r="U229" s="26"/>
      <c r="V229" s="26"/>
      <c r="W229" s="26"/>
      <c r="X229" s="26" t="s">
        <v>35</v>
      </c>
      <c r="Y229" s="60">
        <f t="shared" si="9"/>
        <v>2026</v>
      </c>
      <c r="Z229" s="60">
        <f t="shared" si="10"/>
        <v>3</v>
      </c>
      <c r="AA229" s="60">
        <f t="shared" si="11"/>
        <v>26</v>
      </c>
    </row>
    <row r="230" ht="13.85" spans="1:27">
      <c r="A230" s="29"/>
      <c r="B230" s="27">
        <v>46086</v>
      </c>
      <c r="C230" s="27">
        <v>46107</v>
      </c>
      <c r="D230" s="26" t="s">
        <v>6</v>
      </c>
      <c r="E230" s="29" t="s">
        <v>903</v>
      </c>
      <c r="F230" s="29" t="s">
        <v>904</v>
      </c>
      <c r="G230" s="29"/>
      <c r="H230" s="29" t="s">
        <v>905</v>
      </c>
      <c r="I230" s="26">
        <v>9787.76</v>
      </c>
      <c r="J230" s="26">
        <v>270</v>
      </c>
      <c r="K230" s="29" t="s">
        <v>898</v>
      </c>
      <c r="L230" s="29" t="s">
        <v>898</v>
      </c>
      <c r="M230" s="29" t="s">
        <v>11</v>
      </c>
      <c r="N230" s="29" t="s">
        <v>81</v>
      </c>
      <c r="O230" s="29" t="s">
        <v>132</v>
      </c>
      <c r="P230" s="26"/>
      <c r="Q230" s="26"/>
      <c r="R230" s="26"/>
      <c r="S230" s="26"/>
      <c r="T230" s="26"/>
      <c r="U230" s="26"/>
      <c r="V230" s="26"/>
      <c r="W230" s="26"/>
      <c r="X230" s="26" t="s">
        <v>38</v>
      </c>
      <c r="Y230" s="60">
        <f t="shared" si="9"/>
        <v>2026</v>
      </c>
      <c r="Z230" s="60">
        <f t="shared" si="10"/>
        <v>3</v>
      </c>
      <c r="AA230" s="60">
        <f t="shared" si="11"/>
        <v>26</v>
      </c>
    </row>
    <row r="231" ht="13.85" hidden="1" spans="1:27">
      <c r="A231" s="29" t="s">
        <v>906</v>
      </c>
      <c r="B231" s="27">
        <v>46084</v>
      </c>
      <c r="C231" s="27">
        <v>46108</v>
      </c>
      <c r="D231" s="26" t="s">
        <v>6</v>
      </c>
      <c r="E231" s="29" t="s">
        <v>907</v>
      </c>
      <c r="F231" s="29" t="s">
        <v>908</v>
      </c>
      <c r="G231" s="29"/>
      <c r="H231" s="29" t="s">
        <v>909</v>
      </c>
      <c r="I231" s="26">
        <v>364.08</v>
      </c>
      <c r="J231" s="26">
        <v>30.74</v>
      </c>
      <c r="K231" s="29" t="s">
        <v>910</v>
      </c>
      <c r="L231" s="29" t="s">
        <v>906</v>
      </c>
      <c r="M231" s="29" t="s">
        <v>11</v>
      </c>
      <c r="N231" s="29" t="s">
        <v>81</v>
      </c>
      <c r="O231" s="29" t="s">
        <v>263</v>
      </c>
      <c r="P231" s="26"/>
      <c r="Q231" s="26"/>
      <c r="R231" s="26"/>
      <c r="S231" s="26"/>
      <c r="T231" s="26"/>
      <c r="U231" s="26"/>
      <c r="V231" s="26"/>
      <c r="W231" s="26"/>
      <c r="X231" s="59" t="s">
        <v>34</v>
      </c>
      <c r="Y231" s="60">
        <f t="shared" si="9"/>
        <v>2026</v>
      </c>
      <c r="Z231" s="60">
        <f t="shared" si="10"/>
        <v>3</v>
      </c>
      <c r="AA231" s="60">
        <f t="shared" si="11"/>
        <v>27</v>
      </c>
    </row>
    <row r="232" ht="13.85" hidden="1" spans="1:27">
      <c r="A232" s="29" t="s">
        <v>911</v>
      </c>
      <c r="B232" s="27">
        <v>46080</v>
      </c>
      <c r="C232" s="27">
        <v>46108</v>
      </c>
      <c r="D232" s="26" t="s">
        <v>6</v>
      </c>
      <c r="E232" s="29" t="s">
        <v>912</v>
      </c>
      <c r="F232" s="29" t="s">
        <v>913</v>
      </c>
      <c r="G232" s="29"/>
      <c r="H232" s="29" t="s">
        <v>474</v>
      </c>
      <c r="I232" s="26">
        <v>1227.4</v>
      </c>
      <c r="J232" s="26">
        <v>122.74</v>
      </c>
      <c r="K232" s="29" t="s">
        <v>654</v>
      </c>
      <c r="L232" s="29" t="s">
        <v>911</v>
      </c>
      <c r="M232" s="29" t="s">
        <v>11</v>
      </c>
      <c r="N232" s="29" t="s">
        <v>81</v>
      </c>
      <c r="O232" s="29" t="s">
        <v>263</v>
      </c>
      <c r="P232" s="26"/>
      <c r="Q232" s="26"/>
      <c r="R232" s="26"/>
      <c r="S232" s="26"/>
      <c r="T232" s="26"/>
      <c r="U232" s="26"/>
      <c r="V232" s="26"/>
      <c r="W232" s="26"/>
      <c r="X232" s="70" t="s">
        <v>38</v>
      </c>
      <c r="Y232" s="60">
        <f t="shared" si="9"/>
        <v>2026</v>
      </c>
      <c r="Z232" s="60">
        <f t="shared" si="10"/>
        <v>3</v>
      </c>
      <c r="AA232" s="60">
        <f t="shared" si="11"/>
        <v>27</v>
      </c>
    </row>
    <row r="233" ht="13.85" hidden="1" spans="1:27">
      <c r="A233" s="29" t="s">
        <v>914</v>
      </c>
      <c r="B233" s="27">
        <v>46091</v>
      </c>
      <c r="C233" s="27">
        <v>46108</v>
      </c>
      <c r="D233" s="26" t="s">
        <v>6</v>
      </c>
      <c r="E233" s="29" t="s">
        <v>234</v>
      </c>
      <c r="F233" s="29" t="s">
        <v>915</v>
      </c>
      <c r="G233" s="29" t="s">
        <v>883</v>
      </c>
      <c r="H233" s="29" t="s">
        <v>465</v>
      </c>
      <c r="I233" s="26">
        <v>11793.57</v>
      </c>
      <c r="J233" s="26">
        <v>498.09</v>
      </c>
      <c r="K233" s="29" t="s">
        <v>809</v>
      </c>
      <c r="L233" s="29" t="s">
        <v>914</v>
      </c>
      <c r="M233" s="29" t="s">
        <v>14</v>
      </c>
      <c r="N233" s="29" t="s">
        <v>81</v>
      </c>
      <c r="O233" s="29" t="s">
        <v>238</v>
      </c>
      <c r="P233" s="26"/>
      <c r="Q233" s="26"/>
      <c r="R233" s="26"/>
      <c r="S233" s="26"/>
      <c r="T233" s="26"/>
      <c r="U233" s="26"/>
      <c r="V233" s="26"/>
      <c r="W233" s="26"/>
      <c r="X233" s="26" t="s">
        <v>35</v>
      </c>
      <c r="Y233" s="60">
        <f t="shared" si="9"/>
        <v>2026</v>
      </c>
      <c r="Z233" s="60">
        <f t="shared" si="10"/>
        <v>3</v>
      </c>
      <c r="AA233" s="60">
        <f t="shared" si="11"/>
        <v>27</v>
      </c>
    </row>
    <row r="234" ht="13.85" hidden="1" spans="1:27">
      <c r="A234" s="29" t="s">
        <v>916</v>
      </c>
      <c r="B234" s="27">
        <v>46099</v>
      </c>
      <c r="C234" s="27">
        <v>46115</v>
      </c>
      <c r="D234" s="29" t="s">
        <v>6</v>
      </c>
      <c r="E234" s="29" t="s">
        <v>917</v>
      </c>
      <c r="F234" s="29" t="s">
        <v>918</v>
      </c>
      <c r="G234" s="29"/>
      <c r="H234" s="29" t="s">
        <v>633</v>
      </c>
      <c r="I234" s="26">
        <v>5158.66</v>
      </c>
      <c r="J234" s="26">
        <v>414.66</v>
      </c>
      <c r="K234" s="29" t="s">
        <v>919</v>
      </c>
      <c r="L234" s="29" t="s">
        <v>916</v>
      </c>
      <c r="M234" s="29" t="s">
        <v>11</v>
      </c>
      <c r="N234" s="29" t="s">
        <v>81</v>
      </c>
      <c r="O234" s="29" t="s">
        <v>181</v>
      </c>
      <c r="P234" s="26"/>
      <c r="Q234" s="26"/>
      <c r="R234" s="26"/>
      <c r="S234" s="26"/>
      <c r="T234" s="26"/>
      <c r="U234" s="26"/>
      <c r="V234" s="26"/>
      <c r="W234" s="26"/>
      <c r="X234" s="26" t="s">
        <v>35</v>
      </c>
      <c r="Y234" s="60">
        <f t="shared" si="9"/>
        <v>2026</v>
      </c>
      <c r="Z234" s="60">
        <f t="shared" si="10"/>
        <v>4</v>
      </c>
      <c r="AA234" s="60">
        <f t="shared" si="11"/>
        <v>3</v>
      </c>
    </row>
    <row r="235" ht="13.85" hidden="1" spans="1:27">
      <c r="A235" s="29" t="s">
        <v>920</v>
      </c>
      <c r="B235" s="27">
        <v>46050</v>
      </c>
      <c r="C235" s="27">
        <v>46115</v>
      </c>
      <c r="D235" s="29" t="s">
        <v>6</v>
      </c>
      <c r="E235" s="29" t="s">
        <v>921</v>
      </c>
      <c r="F235" s="29" t="s">
        <v>922</v>
      </c>
      <c r="G235" s="29"/>
      <c r="H235" s="29" t="s">
        <v>923</v>
      </c>
      <c r="I235" s="26"/>
      <c r="J235" s="26"/>
      <c r="K235" s="29" t="s">
        <v>924</v>
      </c>
      <c r="L235" s="29" t="s">
        <v>920</v>
      </c>
      <c r="M235" s="29" t="s">
        <v>11</v>
      </c>
      <c r="N235" s="29" t="s">
        <v>495</v>
      </c>
      <c r="O235" s="29" t="s">
        <v>181</v>
      </c>
      <c r="P235" s="26"/>
      <c r="Q235" s="26"/>
      <c r="R235" s="26"/>
      <c r="S235" s="26"/>
      <c r="T235" s="26"/>
      <c r="U235" s="26"/>
      <c r="V235" s="26"/>
      <c r="W235" s="26"/>
      <c r="X235" s="59" t="s">
        <v>39</v>
      </c>
      <c r="Y235" s="60">
        <f t="shared" si="9"/>
        <v>2026</v>
      </c>
      <c r="Z235" s="60">
        <f t="shared" si="10"/>
        <v>4</v>
      </c>
      <c r="AA235" s="60">
        <f t="shared" si="11"/>
        <v>3</v>
      </c>
    </row>
    <row r="236" ht="13.85" hidden="1" spans="1:27">
      <c r="A236" s="29" t="s">
        <v>925</v>
      </c>
      <c r="B236" s="27">
        <v>46094</v>
      </c>
      <c r="C236" s="27">
        <v>46115</v>
      </c>
      <c r="D236" s="29" t="s">
        <v>6</v>
      </c>
      <c r="E236" s="29" t="s">
        <v>926</v>
      </c>
      <c r="F236" s="29" t="s">
        <v>927</v>
      </c>
      <c r="G236" s="29"/>
      <c r="H236" s="29" t="s">
        <v>236</v>
      </c>
      <c r="I236" s="26">
        <v>1402.8</v>
      </c>
      <c r="J236" s="26">
        <v>0.6</v>
      </c>
      <c r="K236" s="29" t="s">
        <v>854</v>
      </c>
      <c r="L236" s="29" t="s">
        <v>925</v>
      </c>
      <c r="M236" s="29" t="s">
        <v>11</v>
      </c>
      <c r="N236" s="29" t="s">
        <v>495</v>
      </c>
      <c r="O236" s="29" t="s">
        <v>181</v>
      </c>
      <c r="P236" s="26"/>
      <c r="Q236" s="26"/>
      <c r="R236" s="26"/>
      <c r="S236" s="26"/>
      <c r="T236" s="26"/>
      <c r="U236" s="26"/>
      <c r="V236" s="26"/>
      <c r="W236" s="26"/>
      <c r="X236" s="59" t="s">
        <v>39</v>
      </c>
      <c r="Y236" s="60">
        <f t="shared" si="9"/>
        <v>2026</v>
      </c>
      <c r="Z236" s="60">
        <f t="shared" si="10"/>
        <v>4</v>
      </c>
      <c r="AA236" s="60">
        <f t="shared" si="11"/>
        <v>3</v>
      </c>
    </row>
    <row r="237" ht="13.85" hidden="1" spans="1:27">
      <c r="A237" s="29" t="s">
        <v>928</v>
      </c>
      <c r="B237" s="27">
        <v>46098</v>
      </c>
      <c r="C237" s="27">
        <v>46115</v>
      </c>
      <c r="D237" s="26" t="s">
        <v>6</v>
      </c>
      <c r="E237" s="55" t="s">
        <v>929</v>
      </c>
      <c r="F237" s="29" t="s">
        <v>930</v>
      </c>
      <c r="G237" s="22"/>
      <c r="H237" s="29" t="s">
        <v>507</v>
      </c>
      <c r="I237" s="26">
        <v>11885.25</v>
      </c>
      <c r="J237" s="26">
        <v>9.27</v>
      </c>
      <c r="K237" s="29" t="s">
        <v>874</v>
      </c>
      <c r="L237" s="29" t="s">
        <v>928</v>
      </c>
      <c r="M237" s="29" t="s">
        <v>14</v>
      </c>
      <c r="N237" s="29" t="s">
        <v>81</v>
      </c>
      <c r="O237" s="29" t="s">
        <v>212</v>
      </c>
      <c r="P237" s="26"/>
      <c r="Q237" s="26"/>
      <c r="R237" s="26"/>
      <c r="S237" s="26"/>
      <c r="T237" s="26"/>
      <c r="U237" s="26"/>
      <c r="V237" s="26"/>
      <c r="W237" s="26"/>
      <c r="X237" s="26" t="s">
        <v>34</v>
      </c>
      <c r="Y237" s="60">
        <f t="shared" si="9"/>
        <v>2026</v>
      </c>
      <c r="Z237" s="60">
        <f t="shared" si="10"/>
        <v>4</v>
      </c>
      <c r="AA237" s="60">
        <f t="shared" si="11"/>
        <v>3</v>
      </c>
    </row>
    <row r="238" ht="13.85" hidden="1" spans="1:27">
      <c r="A238" s="29" t="s">
        <v>931</v>
      </c>
      <c r="B238" s="27">
        <v>46098</v>
      </c>
      <c r="C238" s="27">
        <v>46115</v>
      </c>
      <c r="D238" s="26" t="s">
        <v>6</v>
      </c>
      <c r="E238" s="55" t="s">
        <v>932</v>
      </c>
      <c r="F238" s="29" t="s">
        <v>933</v>
      </c>
      <c r="G238" s="22"/>
      <c r="H238" s="29" t="s">
        <v>507</v>
      </c>
      <c r="I238" s="26">
        <v>5704.78</v>
      </c>
      <c r="J238" s="26">
        <v>8.31</v>
      </c>
      <c r="K238" s="29" t="s">
        <v>874</v>
      </c>
      <c r="L238" s="29" t="s">
        <v>931</v>
      </c>
      <c r="M238" s="29" t="s">
        <v>14</v>
      </c>
      <c r="N238" s="29" t="s">
        <v>81</v>
      </c>
      <c r="O238" s="29" t="s">
        <v>212</v>
      </c>
      <c r="P238" s="26"/>
      <c r="Q238" s="26"/>
      <c r="R238" s="26"/>
      <c r="S238" s="26"/>
      <c r="T238" s="26"/>
      <c r="U238" s="26"/>
      <c r="V238" s="26"/>
      <c r="W238" s="26"/>
      <c r="X238" s="26" t="s">
        <v>34</v>
      </c>
      <c r="Y238" s="60">
        <f t="shared" si="9"/>
        <v>2026</v>
      </c>
      <c r="Z238" s="60">
        <f t="shared" si="10"/>
        <v>4</v>
      </c>
      <c r="AA238" s="60">
        <f t="shared" si="11"/>
        <v>3</v>
      </c>
    </row>
    <row r="239" ht="13.85" hidden="1" spans="1:27">
      <c r="A239" s="26" t="s">
        <v>934</v>
      </c>
      <c r="B239" s="27">
        <v>46089</v>
      </c>
      <c r="C239" s="27">
        <v>46119</v>
      </c>
      <c r="D239" s="26" t="s">
        <v>6</v>
      </c>
      <c r="E239" s="26" t="s">
        <v>935</v>
      </c>
      <c r="F239" s="29" t="s">
        <v>936</v>
      </c>
      <c r="G239" s="29"/>
      <c r="H239" s="29" t="s">
        <v>507</v>
      </c>
      <c r="I239" s="26">
        <v>1618.6</v>
      </c>
      <c r="J239" s="26">
        <v>161.86</v>
      </c>
      <c r="K239" s="29" t="s">
        <v>937</v>
      </c>
      <c r="L239" s="26" t="s">
        <v>934</v>
      </c>
      <c r="M239" s="29" t="s">
        <v>11</v>
      </c>
      <c r="N239" s="29" t="s">
        <v>81</v>
      </c>
      <c r="O239" s="29" t="s">
        <v>350</v>
      </c>
      <c r="P239" s="26"/>
      <c r="Q239" s="26"/>
      <c r="R239" s="26"/>
      <c r="S239" s="26"/>
      <c r="T239" s="26"/>
      <c r="U239" s="26"/>
      <c r="V239" s="26"/>
      <c r="W239" s="26"/>
      <c r="X239" s="26" t="s">
        <v>34</v>
      </c>
      <c r="Y239" s="60">
        <f t="shared" si="9"/>
        <v>2026</v>
      </c>
      <c r="Z239" s="60">
        <f t="shared" si="10"/>
        <v>4</v>
      </c>
      <c r="AA239" s="60">
        <f t="shared" si="11"/>
        <v>7</v>
      </c>
    </row>
    <row r="240" ht="13.85" hidden="1" spans="1:27">
      <c r="A240" s="26" t="s">
        <v>938</v>
      </c>
      <c r="B240" s="27">
        <v>45986</v>
      </c>
      <c r="C240" s="27">
        <v>46120</v>
      </c>
      <c r="D240" s="26" t="s">
        <v>6</v>
      </c>
      <c r="E240" s="26" t="s">
        <v>939</v>
      </c>
      <c r="F240" s="29" t="s">
        <v>940</v>
      </c>
      <c r="G240" s="22"/>
      <c r="H240" s="29" t="s">
        <v>236</v>
      </c>
      <c r="I240" s="26">
        <v>180</v>
      </c>
      <c r="J240" s="26">
        <v>336.962</v>
      </c>
      <c r="K240" s="22"/>
      <c r="L240" s="29" t="s">
        <v>941</v>
      </c>
      <c r="M240" s="29" t="s">
        <v>11</v>
      </c>
      <c r="N240" s="29" t="s">
        <v>81</v>
      </c>
      <c r="O240" s="29" t="s">
        <v>125</v>
      </c>
      <c r="P240" s="26"/>
      <c r="Q240" s="26"/>
      <c r="R240" s="26"/>
      <c r="S240" s="26"/>
      <c r="T240" s="26"/>
      <c r="U240" s="26"/>
      <c r="V240" s="26"/>
      <c r="W240" s="26"/>
      <c r="X240" s="59" t="s">
        <v>36</v>
      </c>
      <c r="Y240" s="60">
        <f t="shared" si="9"/>
        <v>2026</v>
      </c>
      <c r="Z240" s="60">
        <f t="shared" si="10"/>
        <v>4</v>
      </c>
      <c r="AA240" s="60">
        <f t="shared" si="11"/>
        <v>8</v>
      </c>
    </row>
    <row r="241" ht="13.85" hidden="1" spans="1:27">
      <c r="A241" s="29" t="s">
        <v>942</v>
      </c>
      <c r="B241" s="27">
        <v>46094</v>
      </c>
      <c r="C241" s="27">
        <v>46126</v>
      </c>
      <c r="D241" s="29" t="s">
        <v>6</v>
      </c>
      <c r="E241" s="29" t="s">
        <v>943</v>
      </c>
      <c r="F241" s="29" t="s">
        <v>944</v>
      </c>
      <c r="G241" s="22"/>
      <c r="H241" s="29" t="s">
        <v>945</v>
      </c>
      <c r="I241" s="26">
        <v>4187.4</v>
      </c>
      <c r="J241" s="26">
        <v>139.58</v>
      </c>
      <c r="K241" s="26"/>
      <c r="L241" s="29" t="s">
        <v>942</v>
      </c>
      <c r="M241" s="29" t="s">
        <v>14</v>
      </c>
      <c r="N241" s="29" t="s">
        <v>81</v>
      </c>
      <c r="O241" s="29" t="s">
        <v>810</v>
      </c>
      <c r="P241" s="26"/>
      <c r="Q241" s="26"/>
      <c r="R241" s="26"/>
      <c r="S241" s="26"/>
      <c r="T241" s="26"/>
      <c r="U241" s="26"/>
      <c r="V241" s="26"/>
      <c r="W241" s="26"/>
      <c r="X241" s="26" t="s">
        <v>35</v>
      </c>
      <c r="Y241" s="60">
        <f t="shared" si="9"/>
        <v>2026</v>
      </c>
      <c r="Z241" s="60">
        <f t="shared" si="10"/>
        <v>4</v>
      </c>
      <c r="AA241" s="60">
        <f t="shared" si="11"/>
        <v>14</v>
      </c>
    </row>
    <row r="242" ht="13.85" hidden="1" spans="1:27">
      <c r="A242" s="29" t="s">
        <v>946</v>
      </c>
      <c r="B242" s="27">
        <v>46104</v>
      </c>
      <c r="C242" s="27">
        <v>46126</v>
      </c>
      <c r="D242" s="29" t="s">
        <v>6</v>
      </c>
      <c r="E242" s="29" t="s">
        <v>947</v>
      </c>
      <c r="F242" s="29" t="s">
        <v>948</v>
      </c>
      <c r="G242" s="22"/>
      <c r="H242" s="29" t="s">
        <v>945</v>
      </c>
      <c r="I242" s="26">
        <v>8997.6</v>
      </c>
      <c r="J242" s="26">
        <v>449.88</v>
      </c>
      <c r="K242" s="26"/>
      <c r="L242" s="29" t="s">
        <v>946</v>
      </c>
      <c r="M242" s="29" t="s">
        <v>14</v>
      </c>
      <c r="N242" s="29" t="s">
        <v>81</v>
      </c>
      <c r="O242" s="29" t="s">
        <v>810</v>
      </c>
      <c r="P242" s="26"/>
      <c r="Q242" s="26"/>
      <c r="R242" s="26"/>
      <c r="S242" s="26"/>
      <c r="T242" s="26"/>
      <c r="U242" s="26"/>
      <c r="V242" s="26"/>
      <c r="W242" s="26"/>
      <c r="X242" s="26" t="s">
        <v>35</v>
      </c>
      <c r="Y242" s="60">
        <f t="shared" si="9"/>
        <v>2026</v>
      </c>
      <c r="Z242" s="60">
        <f t="shared" si="10"/>
        <v>4</v>
      </c>
      <c r="AA242" s="60">
        <f t="shared" si="11"/>
        <v>14</v>
      </c>
    </row>
    <row r="243" ht="13.85" hidden="1" spans="1:27">
      <c r="A243" s="29" t="s">
        <v>949</v>
      </c>
      <c r="B243" s="27">
        <v>46106</v>
      </c>
      <c r="C243" s="27">
        <v>46127</v>
      </c>
      <c r="D243" s="29" t="s">
        <v>6</v>
      </c>
      <c r="E243" s="29" t="s">
        <v>950</v>
      </c>
      <c r="F243" s="29" t="s">
        <v>951</v>
      </c>
      <c r="G243" s="22"/>
      <c r="H243" s="29" t="s">
        <v>507</v>
      </c>
      <c r="I243" s="26">
        <v>12893.4</v>
      </c>
      <c r="J243" s="26">
        <v>961.35</v>
      </c>
      <c r="K243" s="29" t="s">
        <v>952</v>
      </c>
      <c r="L243" s="29" t="s">
        <v>949</v>
      </c>
      <c r="M243" s="29" t="s">
        <v>14</v>
      </c>
      <c r="N243" s="29" t="s">
        <v>81</v>
      </c>
      <c r="O243" s="29" t="s">
        <v>308</v>
      </c>
      <c r="P243" s="26"/>
      <c r="Q243" s="26"/>
      <c r="R243" s="26"/>
      <c r="S243" s="26"/>
      <c r="T243" s="26"/>
      <c r="U243" s="26"/>
      <c r="V243" s="26"/>
      <c r="W243" s="26"/>
      <c r="X243" s="26" t="s">
        <v>34</v>
      </c>
      <c r="Y243" s="60">
        <f t="shared" si="9"/>
        <v>2026</v>
      </c>
      <c r="Z243" s="60">
        <f t="shared" si="10"/>
        <v>4</v>
      </c>
      <c r="AA243" s="60">
        <f t="shared" si="11"/>
        <v>15</v>
      </c>
    </row>
    <row r="244" ht="13.85" hidden="1" spans="1:27">
      <c r="A244" s="29" t="s">
        <v>953</v>
      </c>
      <c r="B244" s="27">
        <v>46106</v>
      </c>
      <c r="C244" s="27">
        <v>46127</v>
      </c>
      <c r="D244" s="29" t="s">
        <v>6</v>
      </c>
      <c r="E244" s="29" t="s">
        <v>807</v>
      </c>
      <c r="F244" s="55" t="s">
        <v>954</v>
      </c>
      <c r="G244" s="22"/>
      <c r="H244" s="29" t="s">
        <v>945</v>
      </c>
      <c r="I244" s="26">
        <v>15835</v>
      </c>
      <c r="J244" s="26">
        <v>622.69</v>
      </c>
      <c r="K244" s="26"/>
      <c r="L244" s="29" t="s">
        <v>953</v>
      </c>
      <c r="M244" s="29" t="s">
        <v>14</v>
      </c>
      <c r="N244" s="29" t="s">
        <v>81</v>
      </c>
      <c r="O244" s="29" t="s">
        <v>810</v>
      </c>
      <c r="P244" s="26"/>
      <c r="Q244" s="26"/>
      <c r="R244" s="26"/>
      <c r="S244" s="26"/>
      <c r="T244" s="26"/>
      <c r="U244" s="26"/>
      <c r="V244" s="26"/>
      <c r="W244" s="26"/>
      <c r="X244" s="26" t="s">
        <v>35</v>
      </c>
      <c r="Y244" s="60">
        <f t="shared" si="9"/>
        <v>2026</v>
      </c>
      <c r="Z244" s="60">
        <f t="shared" si="10"/>
        <v>4</v>
      </c>
      <c r="AA244" s="60">
        <f t="shared" si="11"/>
        <v>15</v>
      </c>
    </row>
    <row r="245" ht="13.85" hidden="1" spans="1:27">
      <c r="A245" s="26" t="s">
        <v>955</v>
      </c>
      <c r="B245" s="27">
        <v>46127</v>
      </c>
      <c r="C245" s="27">
        <v>46128</v>
      </c>
      <c r="D245" s="29" t="s">
        <v>6</v>
      </c>
      <c r="E245" s="26" t="s">
        <v>956</v>
      </c>
      <c r="F245" s="29" t="s">
        <v>957</v>
      </c>
      <c r="G245" s="22"/>
      <c r="H245" s="29" t="s">
        <v>945</v>
      </c>
      <c r="I245" s="26">
        <v>9965.88</v>
      </c>
      <c r="J245" s="26">
        <v>996.588</v>
      </c>
      <c r="K245" s="29" t="s">
        <v>958</v>
      </c>
      <c r="L245" s="26" t="s">
        <v>955</v>
      </c>
      <c r="M245" s="29" t="s">
        <v>11</v>
      </c>
      <c r="N245" s="29" t="s">
        <v>81</v>
      </c>
      <c r="O245" s="29" t="s">
        <v>125</v>
      </c>
      <c r="P245" s="26"/>
      <c r="Q245" s="26"/>
      <c r="R245" s="26"/>
      <c r="S245" s="26"/>
      <c r="T245" s="26"/>
      <c r="U245" s="26"/>
      <c r="V245" s="26"/>
      <c r="W245" s="26"/>
      <c r="X245" s="26" t="s">
        <v>35</v>
      </c>
      <c r="Y245" s="60">
        <f t="shared" si="9"/>
        <v>2026</v>
      </c>
      <c r="Z245" s="60">
        <f t="shared" si="10"/>
        <v>4</v>
      </c>
      <c r="AA245" s="60">
        <f t="shared" si="11"/>
        <v>16</v>
      </c>
    </row>
    <row r="246" ht="13.85" hidden="1" spans="1:27">
      <c r="A246" s="29" t="s">
        <v>959</v>
      </c>
      <c r="B246" s="27">
        <v>46096</v>
      </c>
      <c r="C246" s="27">
        <v>46132</v>
      </c>
      <c r="D246" s="29" t="s">
        <v>6</v>
      </c>
      <c r="E246" s="29" t="s">
        <v>960</v>
      </c>
      <c r="F246" s="29" t="s">
        <v>961</v>
      </c>
      <c r="G246" s="22"/>
      <c r="H246" s="29" t="s">
        <v>945</v>
      </c>
      <c r="I246" s="26">
        <v>12073.69</v>
      </c>
      <c r="J246" s="26">
        <v>413.34</v>
      </c>
      <c r="K246" s="26"/>
      <c r="L246" s="29" t="s">
        <v>959</v>
      </c>
      <c r="M246" s="29" t="s">
        <v>14</v>
      </c>
      <c r="N246" s="29" t="s">
        <v>81</v>
      </c>
      <c r="O246" s="29" t="s">
        <v>810</v>
      </c>
      <c r="P246" s="26"/>
      <c r="Q246" s="26"/>
      <c r="R246" s="26"/>
      <c r="S246" s="26"/>
      <c r="T246" s="26"/>
      <c r="U246" s="26"/>
      <c r="V246" s="26"/>
      <c r="W246" s="26"/>
      <c r="X246" s="26" t="s">
        <v>35</v>
      </c>
      <c r="Y246" s="60">
        <f t="shared" si="9"/>
        <v>2026</v>
      </c>
      <c r="Z246" s="60">
        <f t="shared" si="10"/>
        <v>4</v>
      </c>
      <c r="AA246" s="60">
        <f t="shared" si="11"/>
        <v>20</v>
      </c>
    </row>
    <row r="247" ht="13.85" hidden="1" spans="1:27">
      <c r="A247" s="29" t="s">
        <v>962</v>
      </c>
      <c r="B247" s="27">
        <v>46101</v>
      </c>
      <c r="C247" s="27">
        <v>46132</v>
      </c>
      <c r="D247" s="29" t="s">
        <v>6</v>
      </c>
      <c r="E247" s="29" t="s">
        <v>807</v>
      </c>
      <c r="F247" s="29" t="s">
        <v>963</v>
      </c>
      <c r="G247" s="22"/>
      <c r="H247" s="29" t="s">
        <v>945</v>
      </c>
      <c r="I247" s="26">
        <v>13135.5</v>
      </c>
      <c r="J247" s="26">
        <v>524.42</v>
      </c>
      <c r="K247" s="26"/>
      <c r="L247" s="29" t="s">
        <v>962</v>
      </c>
      <c r="M247" s="29" t="s">
        <v>14</v>
      </c>
      <c r="N247" s="29" t="s">
        <v>81</v>
      </c>
      <c r="O247" s="29" t="s">
        <v>810</v>
      </c>
      <c r="P247" s="26"/>
      <c r="Q247" s="26"/>
      <c r="R247" s="26"/>
      <c r="S247" s="26"/>
      <c r="T247" s="26"/>
      <c r="U247" s="26"/>
      <c r="V247" s="26"/>
      <c r="W247" s="26"/>
      <c r="X247" s="26" t="s">
        <v>35</v>
      </c>
      <c r="Y247" s="60">
        <f t="shared" si="9"/>
        <v>2026</v>
      </c>
      <c r="Z247" s="60">
        <f t="shared" si="10"/>
        <v>4</v>
      </c>
      <c r="AA247" s="60">
        <f t="shared" si="11"/>
        <v>20</v>
      </c>
    </row>
    <row r="248" ht="13.85" hidden="1" spans="1:27">
      <c r="A248" s="55" t="s">
        <v>964</v>
      </c>
      <c r="B248" s="27">
        <v>46047</v>
      </c>
      <c r="C248" s="27">
        <v>46133</v>
      </c>
      <c r="D248" s="29" t="s">
        <v>6</v>
      </c>
      <c r="E248" s="94" t="s">
        <v>965</v>
      </c>
      <c r="F248" s="29" t="s">
        <v>966</v>
      </c>
      <c r="G248" s="22"/>
      <c r="H248" s="29" t="s">
        <v>967</v>
      </c>
      <c r="I248" s="26">
        <v>1593.45</v>
      </c>
      <c r="J248" s="26">
        <v>52.8</v>
      </c>
      <c r="K248" s="26"/>
      <c r="L248" s="29" t="s">
        <v>964</v>
      </c>
      <c r="M248" s="29" t="s">
        <v>14</v>
      </c>
      <c r="N248" s="29" t="s">
        <v>81</v>
      </c>
      <c r="O248" s="29" t="s">
        <v>308</v>
      </c>
      <c r="P248" s="26"/>
      <c r="Q248" s="26"/>
      <c r="R248" s="26"/>
      <c r="S248" s="26"/>
      <c r="T248" s="26"/>
      <c r="U248" s="26"/>
      <c r="V248" s="26"/>
      <c r="W248" s="26"/>
      <c r="X248" s="70" t="s">
        <v>38</v>
      </c>
      <c r="Y248" s="60">
        <f t="shared" si="9"/>
        <v>2026</v>
      </c>
      <c r="Z248" s="60">
        <f t="shared" si="10"/>
        <v>4</v>
      </c>
      <c r="AA248" s="60">
        <f t="shared" si="11"/>
        <v>21</v>
      </c>
    </row>
    <row r="249" ht="15.75" hidden="1" spans="1:27">
      <c r="A249" s="45" t="s">
        <v>968</v>
      </c>
      <c r="B249" s="27">
        <v>46112</v>
      </c>
      <c r="C249" s="27">
        <v>46135</v>
      </c>
      <c r="D249" s="29" t="s">
        <v>6</v>
      </c>
      <c r="E249" s="29" t="s">
        <v>969</v>
      </c>
      <c r="F249" s="95" t="s">
        <v>970</v>
      </c>
      <c r="G249" s="55" t="s">
        <v>883</v>
      </c>
      <c r="H249" s="29" t="s">
        <v>967</v>
      </c>
      <c r="I249" s="26">
        <v>2679.28</v>
      </c>
      <c r="J249" s="26">
        <v>466.96</v>
      </c>
      <c r="K249" s="26" t="s">
        <v>971</v>
      </c>
      <c r="L249" s="45" t="s">
        <v>968</v>
      </c>
      <c r="M249" s="29" t="s">
        <v>13</v>
      </c>
      <c r="N249" s="29" t="s">
        <v>81</v>
      </c>
      <c r="O249" s="29" t="s">
        <v>397</v>
      </c>
      <c r="P249" s="26"/>
      <c r="Q249" s="26"/>
      <c r="R249" s="26"/>
      <c r="S249" s="26"/>
      <c r="T249" s="26"/>
      <c r="U249" s="26"/>
      <c r="V249" s="26"/>
      <c r="W249" s="26"/>
      <c r="X249" s="70" t="s">
        <v>38</v>
      </c>
      <c r="Y249" s="60">
        <f t="shared" si="9"/>
        <v>2026</v>
      </c>
      <c r="Z249" s="60">
        <f t="shared" si="10"/>
        <v>4</v>
      </c>
      <c r="AA249" s="60">
        <f t="shared" si="11"/>
        <v>23</v>
      </c>
    </row>
    <row r="250" ht="14.25" hidden="1" spans="1:27">
      <c r="A250" s="26" t="s">
        <v>972</v>
      </c>
      <c r="B250" s="27">
        <v>46099</v>
      </c>
      <c r="C250" s="27">
        <v>46140</v>
      </c>
      <c r="D250" s="29" t="s">
        <v>6</v>
      </c>
      <c r="E250" s="27" t="s">
        <v>973</v>
      </c>
      <c r="F250" s="29" t="s">
        <v>974</v>
      </c>
      <c r="G250" s="55" t="s">
        <v>975</v>
      </c>
      <c r="H250" s="29" t="s">
        <v>945</v>
      </c>
      <c r="I250" s="76">
        <v>41388.13</v>
      </c>
      <c r="J250" s="76">
        <v>1971.46</v>
      </c>
      <c r="K250" s="29" t="s">
        <v>976</v>
      </c>
      <c r="L250" s="26" t="s">
        <v>972</v>
      </c>
      <c r="M250" s="29" t="s">
        <v>11</v>
      </c>
      <c r="N250" s="29" t="s">
        <v>11</v>
      </c>
      <c r="O250" s="29" t="s">
        <v>115</v>
      </c>
      <c r="P250" s="26"/>
      <c r="Q250" s="26"/>
      <c r="R250" s="26"/>
      <c r="S250" s="26"/>
      <c r="T250" s="26"/>
      <c r="U250" s="26"/>
      <c r="V250" s="26"/>
      <c r="W250" s="26"/>
      <c r="X250" s="26" t="s">
        <v>35</v>
      </c>
      <c r="Y250" s="60">
        <f t="shared" si="9"/>
        <v>2026</v>
      </c>
      <c r="Z250" s="60">
        <f t="shared" si="10"/>
        <v>4</v>
      </c>
      <c r="AA250" s="60">
        <f t="shared" si="11"/>
        <v>28</v>
      </c>
    </row>
    <row r="251" ht="14.25" hidden="1" spans="1:27">
      <c r="A251" s="29" t="s">
        <v>977</v>
      </c>
      <c r="B251" s="27">
        <v>46107</v>
      </c>
      <c r="C251" s="31">
        <v>46148</v>
      </c>
      <c r="D251" s="29" t="s">
        <v>6</v>
      </c>
      <c r="E251" s="29" t="s">
        <v>978</v>
      </c>
      <c r="F251" s="29" t="s">
        <v>979</v>
      </c>
      <c r="G251" s="22"/>
      <c r="H251" s="29" t="s">
        <v>507</v>
      </c>
      <c r="I251" s="26">
        <v>2859.9</v>
      </c>
      <c r="J251" s="76">
        <v>285.99</v>
      </c>
      <c r="K251" s="29" t="s">
        <v>980</v>
      </c>
      <c r="L251" s="26" t="s">
        <v>977</v>
      </c>
      <c r="M251" s="29" t="s">
        <v>11</v>
      </c>
      <c r="N251" s="29" t="s">
        <v>11</v>
      </c>
      <c r="O251" s="29" t="s">
        <v>115</v>
      </c>
      <c r="P251" s="26"/>
      <c r="Q251" s="26"/>
      <c r="R251" s="26"/>
      <c r="S251" s="26"/>
      <c r="T251" s="26"/>
      <c r="U251" s="26"/>
      <c r="V251" s="26"/>
      <c r="W251" s="26"/>
      <c r="X251" s="26" t="s">
        <v>34</v>
      </c>
      <c r="Y251" s="60">
        <f t="shared" si="9"/>
        <v>2026</v>
      </c>
      <c r="Z251" s="60">
        <f t="shared" si="10"/>
        <v>5</v>
      </c>
      <c r="AA251" s="60">
        <f t="shared" si="11"/>
        <v>6</v>
      </c>
    </row>
    <row r="252" ht="13.85" hidden="1" spans="1:27">
      <c r="A252" s="29" t="s">
        <v>981</v>
      </c>
      <c r="B252" s="27">
        <v>46139</v>
      </c>
      <c r="C252" s="27">
        <v>46150</v>
      </c>
      <c r="D252" s="29" t="s">
        <v>6</v>
      </c>
      <c r="E252" s="26" t="s">
        <v>982</v>
      </c>
      <c r="F252" s="29" t="s">
        <v>983</v>
      </c>
      <c r="G252" s="22"/>
      <c r="H252" s="29" t="s">
        <v>984</v>
      </c>
      <c r="I252" s="26">
        <v>67418.87</v>
      </c>
      <c r="J252" s="26">
        <v>549.685</v>
      </c>
      <c r="K252" s="26"/>
      <c r="L252" s="26" t="s">
        <v>981</v>
      </c>
      <c r="M252" s="29" t="s">
        <v>11</v>
      </c>
      <c r="N252" s="29" t="s">
        <v>81</v>
      </c>
      <c r="O252" s="29" t="s">
        <v>125</v>
      </c>
      <c r="P252" s="26"/>
      <c r="Q252" s="26"/>
      <c r="R252" s="26"/>
      <c r="S252" s="26"/>
      <c r="T252" s="26"/>
      <c r="U252" s="26"/>
      <c r="V252" s="26"/>
      <c r="W252" s="26"/>
      <c r="X252" s="26" t="s">
        <v>37</v>
      </c>
      <c r="Y252" s="60">
        <f t="shared" si="9"/>
        <v>2026</v>
      </c>
      <c r="Z252" s="60">
        <f t="shared" si="10"/>
        <v>5</v>
      </c>
      <c r="AA252" s="60">
        <f t="shared" si="11"/>
        <v>8</v>
      </c>
    </row>
    <row r="253" ht="13.85" hidden="1" spans="1:27">
      <c r="A253" s="29" t="s">
        <v>985</v>
      </c>
      <c r="B253" s="27">
        <v>46136</v>
      </c>
      <c r="C253" s="27">
        <v>46150</v>
      </c>
      <c r="D253" s="29" t="s">
        <v>6</v>
      </c>
      <c r="E253" s="26" t="s">
        <v>986</v>
      </c>
      <c r="F253" s="29" t="s">
        <v>987</v>
      </c>
      <c r="G253" s="22"/>
      <c r="H253" s="29" t="s">
        <v>547</v>
      </c>
      <c r="I253" s="26">
        <v>7164.75</v>
      </c>
      <c r="J253" s="26">
        <v>540.52</v>
      </c>
      <c r="K253" s="26"/>
      <c r="L253" s="26" t="s">
        <v>985</v>
      </c>
      <c r="M253" s="29" t="s">
        <v>11</v>
      </c>
      <c r="N253" s="29" t="s">
        <v>81</v>
      </c>
      <c r="O253" s="29" t="s">
        <v>125</v>
      </c>
      <c r="P253" s="26"/>
      <c r="Q253" s="26"/>
      <c r="R253" s="26"/>
      <c r="S253" s="26"/>
      <c r="T253" s="26"/>
      <c r="U253" s="26"/>
      <c r="V253" s="26"/>
      <c r="W253" s="26"/>
      <c r="X253" s="26" t="s">
        <v>35</v>
      </c>
      <c r="Y253" s="60">
        <f t="shared" si="9"/>
        <v>2026</v>
      </c>
      <c r="Z253" s="60">
        <f t="shared" si="10"/>
        <v>5</v>
      </c>
      <c r="AA253" s="60">
        <f t="shared" si="11"/>
        <v>8</v>
      </c>
    </row>
    <row r="254" ht="16.1" hidden="1" spans="1:27">
      <c r="A254" s="29" t="s">
        <v>988</v>
      </c>
      <c r="B254" s="27">
        <v>46131</v>
      </c>
      <c r="C254" s="27">
        <v>46150</v>
      </c>
      <c r="D254" s="29" t="s">
        <v>6</v>
      </c>
      <c r="E254" s="29" t="s">
        <v>989</v>
      </c>
      <c r="F254" s="29" t="s">
        <v>990</v>
      </c>
      <c r="G254" s="22"/>
      <c r="H254" s="29" t="s">
        <v>547</v>
      </c>
      <c r="I254" s="26">
        <v>21148.04</v>
      </c>
      <c r="J254" s="26"/>
      <c r="K254" s="40" t="s">
        <v>991</v>
      </c>
      <c r="L254" s="39" t="s">
        <v>988</v>
      </c>
      <c r="M254" s="29" t="s">
        <v>12</v>
      </c>
      <c r="N254" s="29" t="s">
        <v>81</v>
      </c>
      <c r="O254" s="29" t="s">
        <v>148</v>
      </c>
      <c r="P254" s="26"/>
      <c r="Q254" s="26"/>
      <c r="R254" s="26"/>
      <c r="S254" s="26"/>
      <c r="T254" s="26"/>
      <c r="U254" s="26"/>
      <c r="V254" s="26"/>
      <c r="W254" s="26"/>
      <c r="X254" s="26" t="s">
        <v>35</v>
      </c>
      <c r="Y254" s="60">
        <f t="shared" si="9"/>
        <v>2026</v>
      </c>
      <c r="Z254" s="60">
        <f t="shared" si="10"/>
        <v>5</v>
      </c>
      <c r="AA254" s="60">
        <f t="shared" si="11"/>
        <v>8</v>
      </c>
    </row>
    <row r="255" ht="16.1" hidden="1" spans="1:27">
      <c r="A255" s="29" t="s">
        <v>992</v>
      </c>
      <c r="B255" s="27">
        <v>46128</v>
      </c>
      <c r="C255" s="27">
        <v>46150</v>
      </c>
      <c r="D255" s="29" t="s">
        <v>6</v>
      </c>
      <c r="E255" s="29" t="s">
        <v>993</v>
      </c>
      <c r="F255" s="29" t="s">
        <v>994</v>
      </c>
      <c r="G255" s="22"/>
      <c r="H255" s="29" t="s">
        <v>547</v>
      </c>
      <c r="I255" s="40">
        <v>14491.04</v>
      </c>
      <c r="J255" s="26"/>
      <c r="K255" s="96" t="s">
        <v>995</v>
      </c>
      <c r="L255" s="39" t="s">
        <v>992</v>
      </c>
      <c r="M255" s="29" t="s">
        <v>12</v>
      </c>
      <c r="N255" s="29" t="s">
        <v>81</v>
      </c>
      <c r="O255" s="29" t="s">
        <v>148</v>
      </c>
      <c r="P255" s="26"/>
      <c r="Q255" s="26"/>
      <c r="R255" s="26"/>
      <c r="S255" s="26"/>
      <c r="T255" s="26"/>
      <c r="U255" s="26"/>
      <c r="V255" s="26"/>
      <c r="W255" s="26"/>
      <c r="X255" s="26" t="s">
        <v>35</v>
      </c>
      <c r="Y255" s="60">
        <f t="shared" si="9"/>
        <v>2026</v>
      </c>
      <c r="Z255" s="60">
        <f t="shared" si="10"/>
        <v>5</v>
      </c>
      <c r="AA255" s="60">
        <f t="shared" si="11"/>
        <v>8</v>
      </c>
    </row>
    <row r="256" s="23" customFormat="1" ht="14.25" hidden="1" spans="1:27">
      <c r="A256" s="76" t="s">
        <v>996</v>
      </c>
      <c r="B256" s="27">
        <v>46063</v>
      </c>
      <c r="C256" s="27">
        <v>46151</v>
      </c>
      <c r="D256" s="29" t="s">
        <v>6</v>
      </c>
      <c r="E256" s="97" t="s">
        <v>997</v>
      </c>
      <c r="F256" s="29" t="s">
        <v>998</v>
      </c>
      <c r="G256" s="22"/>
      <c r="H256" s="29" t="s">
        <v>547</v>
      </c>
      <c r="I256" s="76">
        <v>3120.8</v>
      </c>
      <c r="J256" s="26"/>
      <c r="K256" s="26"/>
      <c r="L256" s="29" t="s">
        <v>996</v>
      </c>
      <c r="M256" s="29" t="s">
        <v>11</v>
      </c>
      <c r="N256" s="29" t="s">
        <v>81</v>
      </c>
      <c r="O256" s="29" t="s">
        <v>115</v>
      </c>
      <c r="P256" s="26"/>
      <c r="Q256" s="26"/>
      <c r="R256" s="26"/>
      <c r="S256" s="26"/>
      <c r="T256" s="26"/>
      <c r="U256" s="26"/>
      <c r="V256" s="26"/>
      <c r="W256" s="26"/>
      <c r="X256" s="26" t="s">
        <v>35</v>
      </c>
      <c r="Y256" s="65">
        <f t="shared" si="9"/>
        <v>2026</v>
      </c>
      <c r="Z256" s="65">
        <f t="shared" si="10"/>
        <v>5</v>
      </c>
      <c r="AA256" s="65">
        <f t="shared" si="11"/>
        <v>9</v>
      </c>
    </row>
    <row r="257" s="23" customFormat="1" ht="20.25" hidden="1" spans="1:27">
      <c r="A257" s="56" t="s">
        <v>999</v>
      </c>
      <c r="B257" s="27">
        <v>46133</v>
      </c>
      <c r="C257" s="27">
        <v>46153</v>
      </c>
      <c r="D257" s="29" t="s">
        <v>6</v>
      </c>
      <c r="E257" s="56" t="s">
        <v>1000</v>
      </c>
      <c r="F257" s="29" t="s">
        <v>1001</v>
      </c>
      <c r="G257" s="22"/>
      <c r="H257" s="29" t="s">
        <v>1002</v>
      </c>
      <c r="I257" s="56">
        <v>2176.8</v>
      </c>
      <c r="J257" s="26">
        <v>27.21</v>
      </c>
      <c r="K257" s="67" t="s">
        <v>1003</v>
      </c>
      <c r="L257" s="56" t="s">
        <v>1004</v>
      </c>
      <c r="M257" s="29" t="s">
        <v>12</v>
      </c>
      <c r="N257" s="29" t="s">
        <v>81</v>
      </c>
      <c r="O257" s="29" t="s">
        <v>1005</v>
      </c>
      <c r="P257" s="26"/>
      <c r="Q257" s="26"/>
      <c r="R257" s="26"/>
      <c r="S257" s="26"/>
      <c r="T257" s="26"/>
      <c r="U257" s="26"/>
      <c r="V257" s="26"/>
      <c r="W257" s="26"/>
      <c r="X257" s="26" t="s">
        <v>35</v>
      </c>
      <c r="Y257" s="65">
        <f t="shared" si="9"/>
        <v>2026</v>
      </c>
      <c r="Z257" s="65">
        <f t="shared" si="10"/>
        <v>5</v>
      </c>
      <c r="AA257" s="65">
        <f t="shared" si="11"/>
        <v>11</v>
      </c>
    </row>
    <row r="258" ht="15.75" hidden="1" spans="1:27">
      <c r="A258" s="26" t="s">
        <v>1006</v>
      </c>
      <c r="B258" s="27">
        <v>46135</v>
      </c>
      <c r="C258" s="27">
        <v>46156</v>
      </c>
      <c r="D258" s="29" t="s">
        <v>6</v>
      </c>
      <c r="E258" s="29" t="s">
        <v>234</v>
      </c>
      <c r="F258" s="29" t="s">
        <v>1007</v>
      </c>
      <c r="G258" s="22"/>
      <c r="H258" s="29" t="s">
        <v>507</v>
      </c>
      <c r="I258" s="98">
        <v>4589.52</v>
      </c>
      <c r="J258" s="26">
        <v>9.3711</v>
      </c>
      <c r="K258" s="29" t="s">
        <v>1008</v>
      </c>
      <c r="L258" s="99" t="s">
        <v>1006</v>
      </c>
      <c r="M258" s="29" t="s">
        <v>14</v>
      </c>
      <c r="N258" s="29" t="s">
        <v>81</v>
      </c>
      <c r="O258" s="29" t="s">
        <v>212</v>
      </c>
      <c r="P258" s="26"/>
      <c r="Q258" s="26"/>
      <c r="R258" s="26"/>
      <c r="S258" s="26"/>
      <c r="T258" s="26"/>
      <c r="U258" s="26"/>
      <c r="V258" s="26"/>
      <c r="W258" s="26"/>
      <c r="X258" s="26" t="s">
        <v>34</v>
      </c>
      <c r="Y258" s="60">
        <f t="shared" ref="Y258:Y307" si="12">YEAR(C258)</f>
        <v>2026</v>
      </c>
      <c r="Z258" s="60">
        <f t="shared" ref="Z258:Z307" si="13">MONTH(C258)</f>
        <v>5</v>
      </c>
      <c r="AA258" s="60">
        <f t="shared" ref="AA258:AA307" si="14">DAY(C258)</f>
        <v>14</v>
      </c>
    </row>
    <row r="259" ht="15.75" hidden="1" spans="1:27">
      <c r="A259" s="29" t="s">
        <v>1009</v>
      </c>
      <c r="B259" s="27">
        <v>46149</v>
      </c>
      <c r="C259" s="27">
        <v>46156</v>
      </c>
      <c r="D259" s="29" t="s">
        <v>6</v>
      </c>
      <c r="E259" s="29" t="s">
        <v>1010</v>
      </c>
      <c r="F259" s="29" t="s">
        <v>1011</v>
      </c>
      <c r="G259" s="22"/>
      <c r="H259" s="29" t="s">
        <v>507</v>
      </c>
      <c r="I259" s="98">
        <v>36097.5</v>
      </c>
      <c r="J259" s="26">
        <v>12.13</v>
      </c>
      <c r="K259" s="29" t="s">
        <v>1012</v>
      </c>
      <c r="L259" s="100" t="s">
        <v>1009</v>
      </c>
      <c r="M259" s="29" t="s">
        <v>14</v>
      </c>
      <c r="N259" s="29" t="s">
        <v>81</v>
      </c>
      <c r="O259" s="29" t="s">
        <v>212</v>
      </c>
      <c r="P259" s="26"/>
      <c r="Q259" s="26"/>
      <c r="R259" s="26"/>
      <c r="S259" s="26"/>
      <c r="T259" s="26"/>
      <c r="U259" s="26"/>
      <c r="V259" s="26"/>
      <c r="W259" s="26"/>
      <c r="X259" s="26" t="s">
        <v>34</v>
      </c>
      <c r="Y259" s="60">
        <f t="shared" si="12"/>
        <v>2026</v>
      </c>
      <c r="Z259" s="60">
        <f t="shared" si="13"/>
        <v>5</v>
      </c>
      <c r="AA259" s="60">
        <f t="shared" si="14"/>
        <v>14</v>
      </c>
    </row>
    <row r="260" ht="15.75" hidden="1" spans="1:27">
      <c r="A260" s="26" t="s">
        <v>1013</v>
      </c>
      <c r="B260" s="27">
        <v>46154</v>
      </c>
      <c r="C260" s="27">
        <v>46156</v>
      </c>
      <c r="D260" s="29" t="s">
        <v>6</v>
      </c>
      <c r="E260" s="29" t="s">
        <v>1014</v>
      </c>
      <c r="F260" s="29" t="s">
        <v>1015</v>
      </c>
      <c r="G260" s="22"/>
      <c r="H260" s="29" t="s">
        <v>1016</v>
      </c>
      <c r="I260" s="98">
        <v>14508.88</v>
      </c>
      <c r="J260" s="26">
        <v>15.02</v>
      </c>
      <c r="K260" s="29" t="s">
        <v>1012</v>
      </c>
      <c r="L260" s="100" t="s">
        <v>1013</v>
      </c>
      <c r="M260" s="29" t="s">
        <v>14</v>
      </c>
      <c r="N260" s="29" t="s">
        <v>81</v>
      </c>
      <c r="O260" s="29" t="s">
        <v>212</v>
      </c>
      <c r="P260" s="26"/>
      <c r="Q260" s="26"/>
      <c r="R260" s="26"/>
      <c r="S260" s="26"/>
      <c r="T260" s="26"/>
      <c r="U260" s="26"/>
      <c r="V260" s="26"/>
      <c r="W260" s="26"/>
      <c r="X260" s="26" t="s">
        <v>34</v>
      </c>
      <c r="Y260" s="60">
        <f t="shared" si="12"/>
        <v>2026</v>
      </c>
      <c r="Z260" s="60">
        <f t="shared" si="13"/>
        <v>5</v>
      </c>
      <c r="AA260" s="60">
        <f t="shared" si="14"/>
        <v>14</v>
      </c>
    </row>
    <row r="261" ht="13.85" hidden="1" spans="1:27">
      <c r="A261" s="26" t="s">
        <v>1017</v>
      </c>
      <c r="B261" s="27">
        <v>46133</v>
      </c>
      <c r="C261" s="27">
        <v>46157</v>
      </c>
      <c r="D261" s="29" t="s">
        <v>6</v>
      </c>
      <c r="E261" s="29" t="s">
        <v>1018</v>
      </c>
      <c r="F261" s="29" t="s">
        <v>1019</v>
      </c>
      <c r="G261" s="22"/>
      <c r="H261" s="29" t="s">
        <v>1020</v>
      </c>
      <c r="I261" s="26">
        <v>45000</v>
      </c>
      <c r="J261" s="26">
        <v>446.5</v>
      </c>
      <c r="K261" s="29" t="s">
        <v>1021</v>
      </c>
      <c r="L261" s="26" t="s">
        <v>1017</v>
      </c>
      <c r="M261" s="29" t="s">
        <v>11</v>
      </c>
      <c r="N261" s="29" t="s">
        <v>81</v>
      </c>
      <c r="O261" s="29" t="s">
        <v>125</v>
      </c>
      <c r="P261" s="26"/>
      <c r="Q261" s="26"/>
      <c r="R261" s="26"/>
      <c r="S261" s="26"/>
      <c r="T261" s="26"/>
      <c r="U261" s="26"/>
      <c r="V261" s="26"/>
      <c r="W261" s="26"/>
      <c r="X261" s="59" t="s">
        <v>40</v>
      </c>
      <c r="Y261" s="60">
        <f t="shared" si="12"/>
        <v>2026</v>
      </c>
      <c r="Z261" s="60">
        <f t="shared" si="13"/>
        <v>5</v>
      </c>
      <c r="AA261" s="60">
        <f t="shared" si="14"/>
        <v>15</v>
      </c>
    </row>
    <row r="262" ht="13.85" hidden="1" spans="1:27">
      <c r="A262" s="29" t="s">
        <v>1022</v>
      </c>
      <c r="B262" s="27">
        <v>46152</v>
      </c>
      <c r="C262" s="27">
        <v>46157</v>
      </c>
      <c r="D262" s="29" t="s">
        <v>6</v>
      </c>
      <c r="E262" s="29" t="s">
        <v>1023</v>
      </c>
      <c r="F262" s="29" t="s">
        <v>1024</v>
      </c>
      <c r="G262" s="22"/>
      <c r="H262" s="29" t="s">
        <v>633</v>
      </c>
      <c r="I262" s="26">
        <v>346.1</v>
      </c>
      <c r="J262" s="26">
        <v>61.32</v>
      </c>
      <c r="K262" s="29" t="s">
        <v>1025</v>
      </c>
      <c r="L262" s="29" t="s">
        <v>1026</v>
      </c>
      <c r="M262" s="29" t="s">
        <v>12</v>
      </c>
      <c r="N262" s="29" t="s">
        <v>81</v>
      </c>
      <c r="O262" s="29" t="s">
        <v>1005</v>
      </c>
      <c r="P262" s="26"/>
      <c r="Q262" s="26"/>
      <c r="R262" s="26"/>
      <c r="S262" s="26"/>
      <c r="T262" s="26"/>
      <c r="U262" s="26"/>
      <c r="V262" s="26"/>
      <c r="W262" s="26"/>
      <c r="X262" s="26" t="s">
        <v>35</v>
      </c>
      <c r="Y262" s="60">
        <f t="shared" si="12"/>
        <v>2026</v>
      </c>
      <c r="Z262" s="60">
        <f t="shared" si="13"/>
        <v>5</v>
      </c>
      <c r="AA262" s="60">
        <f t="shared" si="14"/>
        <v>15</v>
      </c>
    </row>
    <row r="263" ht="13.85" hidden="1" spans="1:27">
      <c r="A263" s="29" t="s">
        <v>1027</v>
      </c>
      <c r="B263" s="27">
        <v>46133</v>
      </c>
      <c r="C263" s="27">
        <v>46157</v>
      </c>
      <c r="D263" s="29" t="s">
        <v>6</v>
      </c>
      <c r="E263" s="29" t="s">
        <v>1028</v>
      </c>
      <c r="F263" s="29" t="s">
        <v>1029</v>
      </c>
      <c r="G263" s="22"/>
      <c r="H263" s="29" t="s">
        <v>465</v>
      </c>
      <c r="I263" s="26">
        <v>9652.4</v>
      </c>
      <c r="J263" s="26">
        <v>482.62</v>
      </c>
      <c r="K263" s="29" t="s">
        <v>1030</v>
      </c>
      <c r="L263" s="29" t="s">
        <v>1027</v>
      </c>
      <c r="M263" s="29" t="s">
        <v>14</v>
      </c>
      <c r="N263" s="29" t="s">
        <v>81</v>
      </c>
      <c r="O263" s="29" t="s">
        <v>810</v>
      </c>
      <c r="P263" s="26"/>
      <c r="Q263" s="26"/>
      <c r="R263" s="26"/>
      <c r="S263" s="26"/>
      <c r="T263" s="26"/>
      <c r="U263" s="26"/>
      <c r="V263" s="26"/>
      <c r="W263" s="26"/>
      <c r="X263" s="26" t="s">
        <v>35</v>
      </c>
      <c r="Y263" s="60">
        <f t="shared" si="12"/>
        <v>2026</v>
      </c>
      <c r="Z263" s="60">
        <f t="shared" si="13"/>
        <v>5</v>
      </c>
      <c r="AA263" s="60">
        <f t="shared" si="14"/>
        <v>15</v>
      </c>
    </row>
    <row r="264" ht="16.1" hidden="1" spans="1:27">
      <c r="A264" s="39" t="s">
        <v>1031</v>
      </c>
      <c r="B264" s="27">
        <v>46120</v>
      </c>
      <c r="C264" s="27">
        <v>46157</v>
      </c>
      <c r="D264" s="29" t="s">
        <v>6</v>
      </c>
      <c r="E264" s="39" t="s">
        <v>1032</v>
      </c>
      <c r="F264" s="29" t="s">
        <v>1033</v>
      </c>
      <c r="G264" s="22"/>
      <c r="H264" s="29" t="s">
        <v>465</v>
      </c>
      <c r="I264" s="40">
        <v>1829.4</v>
      </c>
      <c r="J264" s="40">
        <v>60.98</v>
      </c>
      <c r="K264" s="40" t="s">
        <v>1034</v>
      </c>
      <c r="L264" s="39" t="s">
        <v>1031</v>
      </c>
      <c r="M264" s="29" t="s">
        <v>12</v>
      </c>
      <c r="N264" s="29" t="s">
        <v>81</v>
      </c>
      <c r="O264" s="29" t="s">
        <v>148</v>
      </c>
      <c r="P264" s="26"/>
      <c r="Q264" s="26"/>
      <c r="R264" s="26"/>
      <c r="S264" s="26"/>
      <c r="T264" s="26"/>
      <c r="U264" s="26"/>
      <c r="V264" s="26"/>
      <c r="W264" s="26"/>
      <c r="X264" s="26" t="s">
        <v>35</v>
      </c>
      <c r="Y264" s="60">
        <f t="shared" si="12"/>
        <v>2026</v>
      </c>
      <c r="Z264" s="60">
        <f t="shared" si="13"/>
        <v>5</v>
      </c>
      <c r="AA264" s="60">
        <f t="shared" si="14"/>
        <v>15</v>
      </c>
    </row>
    <row r="265" ht="13.85" hidden="1" spans="1:27">
      <c r="A265" s="101" t="s">
        <v>1035</v>
      </c>
      <c r="B265" s="27">
        <v>46123</v>
      </c>
      <c r="C265" s="27">
        <v>46160</v>
      </c>
      <c r="D265" s="29" t="s">
        <v>6</v>
      </c>
      <c r="E265" s="94" t="s">
        <v>950</v>
      </c>
      <c r="F265" s="29" t="s">
        <v>1036</v>
      </c>
      <c r="G265" s="22"/>
      <c r="H265" s="29" t="s">
        <v>455</v>
      </c>
      <c r="I265" s="26">
        <v>13649.7</v>
      </c>
      <c r="J265" s="26">
        <v>1022.59</v>
      </c>
      <c r="K265" s="29" t="s">
        <v>1037</v>
      </c>
      <c r="L265" s="29" t="s">
        <v>1035</v>
      </c>
      <c r="M265" s="29" t="s">
        <v>14</v>
      </c>
      <c r="N265" s="29" t="s">
        <v>81</v>
      </c>
      <c r="O265" s="29" t="s">
        <v>308</v>
      </c>
      <c r="P265" s="26"/>
      <c r="Q265" s="26"/>
      <c r="R265" s="26"/>
      <c r="S265" s="26"/>
      <c r="T265" s="26"/>
      <c r="U265" s="26"/>
      <c r="V265" s="26"/>
      <c r="W265" s="26"/>
      <c r="X265" s="26" t="s">
        <v>34</v>
      </c>
      <c r="Y265" s="60">
        <f t="shared" si="12"/>
        <v>2026</v>
      </c>
      <c r="Z265" s="60">
        <f t="shared" si="13"/>
        <v>5</v>
      </c>
      <c r="AA265" s="60">
        <f t="shared" si="14"/>
        <v>18</v>
      </c>
    </row>
    <row r="266" ht="13.85" hidden="1" spans="1:27">
      <c r="A266" s="101" t="s">
        <v>1038</v>
      </c>
      <c r="B266" s="27">
        <v>46123</v>
      </c>
      <c r="C266" s="27">
        <v>46160</v>
      </c>
      <c r="D266" s="29" t="s">
        <v>6</v>
      </c>
      <c r="E266" s="29" t="s">
        <v>701</v>
      </c>
      <c r="F266" s="29" t="s">
        <v>1039</v>
      </c>
      <c r="G266" s="22"/>
      <c r="H266" s="29" t="s">
        <v>455</v>
      </c>
      <c r="I266" s="26">
        <v>37401.3</v>
      </c>
      <c r="J266" s="26">
        <v>2873.33</v>
      </c>
      <c r="K266" s="29" t="s">
        <v>952</v>
      </c>
      <c r="L266" s="29" t="s">
        <v>1038</v>
      </c>
      <c r="M266" s="29" t="s">
        <v>14</v>
      </c>
      <c r="N266" s="29" t="s">
        <v>81</v>
      </c>
      <c r="O266" s="29" t="s">
        <v>308</v>
      </c>
      <c r="P266" s="26"/>
      <c r="Q266" s="26"/>
      <c r="R266" s="26"/>
      <c r="S266" s="26"/>
      <c r="T266" s="26"/>
      <c r="U266" s="26"/>
      <c r="V266" s="26"/>
      <c r="W266" s="26"/>
      <c r="X266" s="26" t="s">
        <v>34</v>
      </c>
      <c r="Y266" s="60">
        <f t="shared" si="12"/>
        <v>2026</v>
      </c>
      <c r="Z266" s="60">
        <f t="shared" si="13"/>
        <v>5</v>
      </c>
      <c r="AA266" s="60">
        <f t="shared" si="14"/>
        <v>18</v>
      </c>
    </row>
    <row r="267" ht="13.85" hidden="1" spans="1:27">
      <c r="A267" s="29" t="s">
        <v>1040</v>
      </c>
      <c r="B267" s="27">
        <v>46148</v>
      </c>
      <c r="C267" s="27">
        <v>46160</v>
      </c>
      <c r="D267" s="29" t="s">
        <v>6</v>
      </c>
      <c r="E267" s="29" t="s">
        <v>1041</v>
      </c>
      <c r="F267" s="29" t="s">
        <v>1042</v>
      </c>
      <c r="G267" s="22"/>
      <c r="H267" s="29" t="s">
        <v>1043</v>
      </c>
      <c r="I267" s="26">
        <v>639</v>
      </c>
      <c r="J267" s="26">
        <v>21.3</v>
      </c>
      <c r="K267" s="29" t="s">
        <v>1044</v>
      </c>
      <c r="L267" s="26" t="s">
        <v>1040</v>
      </c>
      <c r="M267" s="29" t="s">
        <v>13</v>
      </c>
      <c r="N267" s="29" t="s">
        <v>81</v>
      </c>
      <c r="O267" s="29" t="s">
        <v>77</v>
      </c>
      <c r="P267" s="26"/>
      <c r="Q267" s="26"/>
      <c r="R267" s="26"/>
      <c r="S267" s="26"/>
      <c r="T267" s="26"/>
      <c r="U267" s="26"/>
      <c r="V267" s="26"/>
      <c r="W267" s="26"/>
      <c r="X267" s="26" t="s">
        <v>37</v>
      </c>
      <c r="Y267" s="60">
        <f t="shared" si="12"/>
        <v>2026</v>
      </c>
      <c r="Z267" s="60">
        <f t="shared" si="13"/>
        <v>5</v>
      </c>
      <c r="AA267" s="60">
        <f t="shared" si="14"/>
        <v>18</v>
      </c>
    </row>
    <row r="268" ht="13.85" hidden="1" spans="1:27">
      <c r="A268" s="29" t="s">
        <v>1045</v>
      </c>
      <c r="B268" s="27">
        <v>46140</v>
      </c>
      <c r="C268" s="27">
        <v>46160</v>
      </c>
      <c r="D268" s="29" t="s">
        <v>6</v>
      </c>
      <c r="E268" s="29" t="s">
        <v>1046</v>
      </c>
      <c r="F268" s="29" t="s">
        <v>1047</v>
      </c>
      <c r="G268" s="22"/>
      <c r="H268" s="29" t="s">
        <v>455</v>
      </c>
      <c r="I268" s="26">
        <v>19955.12</v>
      </c>
      <c r="J268" s="26">
        <v>997.756</v>
      </c>
      <c r="K268" s="29" t="s">
        <v>1048</v>
      </c>
      <c r="L268" s="29" t="s">
        <v>1049</v>
      </c>
      <c r="M268" s="29" t="s">
        <v>11</v>
      </c>
      <c r="N268" s="29" t="s">
        <v>81</v>
      </c>
      <c r="O268" s="29" t="s">
        <v>181</v>
      </c>
      <c r="P268" s="26"/>
      <c r="Q268" s="26"/>
      <c r="R268" s="26"/>
      <c r="S268" s="26"/>
      <c r="T268" s="26"/>
      <c r="U268" s="26"/>
      <c r="V268" s="26"/>
      <c r="W268" s="26"/>
      <c r="X268" s="26" t="s">
        <v>34</v>
      </c>
      <c r="Y268" s="60">
        <f t="shared" si="12"/>
        <v>2026</v>
      </c>
      <c r="Z268" s="60">
        <f t="shared" si="13"/>
        <v>5</v>
      </c>
      <c r="AA268" s="60">
        <f t="shared" si="14"/>
        <v>18</v>
      </c>
    </row>
    <row r="269" ht="14.25" hidden="1" spans="1:27">
      <c r="A269" s="29" t="s">
        <v>1050</v>
      </c>
      <c r="B269" s="27">
        <v>46162</v>
      </c>
      <c r="C269" s="27">
        <v>46162</v>
      </c>
      <c r="D269" s="29" t="s">
        <v>6</v>
      </c>
      <c r="E269" s="29" t="s">
        <v>1051</v>
      </c>
      <c r="F269" s="29" t="s">
        <v>1052</v>
      </c>
      <c r="G269" s="22"/>
      <c r="H269" s="29" t="s">
        <v>633</v>
      </c>
      <c r="I269" s="26">
        <v>7453.95</v>
      </c>
      <c r="J269" s="57">
        <v>993.86</v>
      </c>
      <c r="K269" s="57" t="s">
        <v>1053</v>
      </c>
      <c r="L269" s="52" t="s">
        <v>1050</v>
      </c>
      <c r="M269" s="29" t="s">
        <v>12</v>
      </c>
      <c r="N269" s="29" t="s">
        <v>81</v>
      </c>
      <c r="O269" s="29" t="s">
        <v>157</v>
      </c>
      <c r="P269" s="26"/>
      <c r="Q269" s="26"/>
      <c r="R269" s="26"/>
      <c r="S269" s="26"/>
      <c r="T269" s="26"/>
      <c r="U269" s="26"/>
      <c r="V269" s="26"/>
      <c r="W269" s="26"/>
      <c r="X269" s="26" t="s">
        <v>35</v>
      </c>
      <c r="Y269" s="60">
        <f t="shared" si="12"/>
        <v>2026</v>
      </c>
      <c r="Z269" s="60">
        <f t="shared" si="13"/>
        <v>5</v>
      </c>
      <c r="AA269" s="60">
        <f t="shared" si="14"/>
        <v>20</v>
      </c>
    </row>
    <row r="270" ht="13.85" hidden="1" spans="1:27">
      <c r="A270" s="29" t="s">
        <v>1054</v>
      </c>
      <c r="B270" s="27">
        <v>46136</v>
      </c>
      <c r="C270" s="27">
        <v>46163</v>
      </c>
      <c r="D270" s="29" t="s">
        <v>6</v>
      </c>
      <c r="E270" s="29" t="s">
        <v>1055</v>
      </c>
      <c r="F270" s="29" t="s">
        <v>1056</v>
      </c>
      <c r="G270" s="22"/>
      <c r="H270" s="29" t="s">
        <v>455</v>
      </c>
      <c r="I270" s="26">
        <v>133.6</v>
      </c>
      <c r="J270" s="26">
        <v>26.72</v>
      </c>
      <c r="K270" s="29" t="s">
        <v>1057</v>
      </c>
      <c r="L270" s="29" t="s">
        <v>1054</v>
      </c>
      <c r="M270" s="29" t="s">
        <v>11</v>
      </c>
      <c r="N270" s="29" t="s">
        <v>81</v>
      </c>
      <c r="O270" s="29" t="s">
        <v>132</v>
      </c>
      <c r="P270" s="26"/>
      <c r="Q270" s="26"/>
      <c r="R270" s="26"/>
      <c r="S270" s="26"/>
      <c r="T270" s="26"/>
      <c r="U270" s="26"/>
      <c r="V270" s="26"/>
      <c r="W270" s="26"/>
      <c r="X270" s="26" t="s">
        <v>34</v>
      </c>
      <c r="Y270" s="60">
        <f t="shared" si="12"/>
        <v>2026</v>
      </c>
      <c r="Z270" s="60">
        <f t="shared" si="13"/>
        <v>5</v>
      </c>
      <c r="AA270" s="60">
        <f t="shared" si="14"/>
        <v>21</v>
      </c>
    </row>
    <row r="271" ht="13.85" hidden="1" spans="1:27">
      <c r="A271" s="29" t="s">
        <v>1058</v>
      </c>
      <c r="B271" s="27">
        <v>46117</v>
      </c>
      <c r="C271" s="27">
        <v>46163</v>
      </c>
      <c r="D271" s="29" t="s">
        <v>6</v>
      </c>
      <c r="E271" s="29" t="s">
        <v>812</v>
      </c>
      <c r="F271" s="29" t="s">
        <v>1059</v>
      </c>
      <c r="G271" s="22"/>
      <c r="H271" s="29" t="s">
        <v>569</v>
      </c>
      <c r="I271" s="26">
        <v>8416.76</v>
      </c>
      <c r="J271" s="26">
        <v>290.85</v>
      </c>
      <c r="K271" s="29" t="s">
        <v>687</v>
      </c>
      <c r="L271" s="29" t="s">
        <v>1058</v>
      </c>
      <c r="M271" s="29" t="s">
        <v>14</v>
      </c>
      <c r="N271" s="29" t="s">
        <v>81</v>
      </c>
      <c r="O271" s="29" t="s">
        <v>810</v>
      </c>
      <c r="P271" s="26"/>
      <c r="Q271" s="26"/>
      <c r="R271" s="26"/>
      <c r="S271" s="26"/>
      <c r="T271" s="26"/>
      <c r="U271" s="26"/>
      <c r="V271" s="26"/>
      <c r="W271" s="26"/>
      <c r="X271" s="26" t="s">
        <v>34</v>
      </c>
      <c r="Y271" s="60">
        <f t="shared" si="12"/>
        <v>2026</v>
      </c>
      <c r="Z271" s="60">
        <f t="shared" si="13"/>
        <v>5</v>
      </c>
      <c r="AA271" s="60">
        <f t="shared" si="14"/>
        <v>21</v>
      </c>
    </row>
    <row r="272" ht="13.85" hidden="1" spans="1:27">
      <c r="A272" s="29" t="s">
        <v>1060</v>
      </c>
      <c r="B272" s="27">
        <v>46136</v>
      </c>
      <c r="C272" s="27">
        <v>46164</v>
      </c>
      <c r="D272" s="29" t="s">
        <v>6</v>
      </c>
      <c r="E272" s="29" t="s">
        <v>1061</v>
      </c>
      <c r="F272" s="29" t="s">
        <v>1062</v>
      </c>
      <c r="G272" s="22"/>
      <c r="H272" s="29" t="s">
        <v>1063</v>
      </c>
      <c r="I272" s="26">
        <v>18982.7</v>
      </c>
      <c r="J272" s="26">
        <v>210</v>
      </c>
      <c r="K272" s="29" t="s">
        <v>1064</v>
      </c>
      <c r="L272" s="29" t="s">
        <v>1060</v>
      </c>
      <c r="M272" s="29" t="s">
        <v>11</v>
      </c>
      <c r="N272" s="29" t="s">
        <v>81</v>
      </c>
      <c r="O272" s="29" t="s">
        <v>132</v>
      </c>
      <c r="P272" s="26"/>
      <c r="Q272" s="26"/>
      <c r="R272" s="26"/>
      <c r="S272" s="26"/>
      <c r="T272" s="26"/>
      <c r="U272" s="26"/>
      <c r="V272" s="26"/>
      <c r="W272" s="26"/>
      <c r="X272" s="59" t="s">
        <v>37</v>
      </c>
      <c r="Y272" s="60">
        <f t="shared" si="12"/>
        <v>2026</v>
      </c>
      <c r="Z272" s="60">
        <f t="shared" si="13"/>
        <v>5</v>
      </c>
      <c r="AA272" s="60">
        <f t="shared" si="14"/>
        <v>22</v>
      </c>
    </row>
    <row r="273" ht="13.85" hidden="1" spans="1:27">
      <c r="A273" s="29" t="s">
        <v>1065</v>
      </c>
      <c r="B273" s="27">
        <v>46135</v>
      </c>
      <c r="C273" s="27">
        <v>46164</v>
      </c>
      <c r="D273" s="29" t="s">
        <v>6</v>
      </c>
      <c r="E273" s="29" t="s">
        <v>1061</v>
      </c>
      <c r="F273" s="29" t="s">
        <v>1066</v>
      </c>
      <c r="G273" s="22"/>
      <c r="H273" s="29" t="s">
        <v>1063</v>
      </c>
      <c r="I273" s="26">
        <v>22825.7</v>
      </c>
      <c r="J273" s="26">
        <v>275.07</v>
      </c>
      <c r="K273" s="29" t="s">
        <v>1067</v>
      </c>
      <c r="L273" s="29" t="s">
        <v>1065</v>
      </c>
      <c r="M273" s="29" t="s">
        <v>11</v>
      </c>
      <c r="N273" s="29" t="s">
        <v>81</v>
      </c>
      <c r="O273" s="29" t="s">
        <v>132</v>
      </c>
      <c r="P273" s="26"/>
      <c r="Q273" s="26"/>
      <c r="R273" s="26"/>
      <c r="S273" s="26"/>
      <c r="T273" s="26"/>
      <c r="U273" s="26"/>
      <c r="V273" s="26"/>
      <c r="W273" s="26"/>
      <c r="X273" s="59" t="s">
        <v>37</v>
      </c>
      <c r="Y273" s="60">
        <f t="shared" si="12"/>
        <v>2026</v>
      </c>
      <c r="Z273" s="60">
        <f t="shared" si="13"/>
        <v>5</v>
      </c>
      <c r="AA273" s="60">
        <f t="shared" si="14"/>
        <v>22</v>
      </c>
    </row>
    <row r="274" ht="13.85" hidden="1" spans="1:27">
      <c r="A274" s="29" t="s">
        <v>1068</v>
      </c>
      <c r="B274" s="27">
        <v>46113</v>
      </c>
      <c r="C274" s="27">
        <v>46164</v>
      </c>
      <c r="D274" s="29" t="s">
        <v>6</v>
      </c>
      <c r="E274" s="29" t="s">
        <v>1061</v>
      </c>
      <c r="F274" s="29" t="s">
        <v>1069</v>
      </c>
      <c r="G274" s="22"/>
      <c r="H274" s="29" t="s">
        <v>1063</v>
      </c>
      <c r="I274" s="26">
        <v>3891.9</v>
      </c>
      <c r="J274" s="26"/>
      <c r="K274" s="29" t="s">
        <v>1070</v>
      </c>
      <c r="L274" s="29" t="s">
        <v>1068</v>
      </c>
      <c r="M274" s="29" t="s">
        <v>11</v>
      </c>
      <c r="N274" s="29" t="s">
        <v>81</v>
      </c>
      <c r="O274" s="29" t="s">
        <v>132</v>
      </c>
      <c r="P274" s="26"/>
      <c r="Q274" s="26"/>
      <c r="R274" s="26"/>
      <c r="S274" s="26"/>
      <c r="T274" s="26"/>
      <c r="U274" s="26"/>
      <c r="V274" s="26"/>
      <c r="W274" s="26"/>
      <c r="X274" s="59" t="s">
        <v>42</v>
      </c>
      <c r="Y274" s="60">
        <f t="shared" si="12"/>
        <v>2026</v>
      </c>
      <c r="Z274" s="60">
        <f t="shared" si="13"/>
        <v>5</v>
      </c>
      <c r="AA274" s="60">
        <f t="shared" si="14"/>
        <v>22</v>
      </c>
    </row>
    <row r="275" ht="13.85" hidden="1" spans="1:27">
      <c r="A275" s="29" t="s">
        <v>1071</v>
      </c>
      <c r="B275" s="27">
        <v>46151</v>
      </c>
      <c r="C275" s="27">
        <v>46164</v>
      </c>
      <c r="D275" s="29" t="s">
        <v>6</v>
      </c>
      <c r="E275" s="29" t="s">
        <v>1061</v>
      </c>
      <c r="F275" s="29" t="s">
        <v>1072</v>
      </c>
      <c r="G275" s="22"/>
      <c r="H275" s="29" t="s">
        <v>1063</v>
      </c>
      <c r="I275" s="26">
        <v>29975.2</v>
      </c>
      <c r="J275" s="26"/>
      <c r="K275" s="29" t="s">
        <v>1073</v>
      </c>
      <c r="L275" s="29" t="s">
        <v>1071</v>
      </c>
      <c r="M275" s="29" t="s">
        <v>11</v>
      </c>
      <c r="N275" s="29" t="s">
        <v>495</v>
      </c>
      <c r="O275" s="29" t="s">
        <v>132</v>
      </c>
      <c r="P275" s="26"/>
      <c r="Q275" s="26"/>
      <c r="R275" s="26"/>
      <c r="S275" s="26"/>
      <c r="T275" s="26"/>
      <c r="U275" s="26"/>
      <c r="V275" s="26"/>
      <c r="W275" s="26"/>
      <c r="X275" s="59" t="s">
        <v>37</v>
      </c>
      <c r="Y275" s="60">
        <f t="shared" si="12"/>
        <v>2026</v>
      </c>
      <c r="Z275" s="60">
        <f t="shared" si="13"/>
        <v>5</v>
      </c>
      <c r="AA275" s="60">
        <f t="shared" si="14"/>
        <v>22</v>
      </c>
    </row>
    <row r="276" ht="13.85" hidden="1" spans="1:27">
      <c r="A276" s="29" t="s">
        <v>1074</v>
      </c>
      <c r="B276" s="27">
        <v>46120</v>
      </c>
      <c r="C276" s="27">
        <v>46167</v>
      </c>
      <c r="D276" s="29" t="s">
        <v>6</v>
      </c>
      <c r="E276" s="29" t="s">
        <v>1075</v>
      </c>
      <c r="F276" s="29" t="s">
        <v>1076</v>
      </c>
      <c r="G276" s="22"/>
      <c r="H276" s="29" t="s">
        <v>1063</v>
      </c>
      <c r="I276" s="26">
        <v>884.8</v>
      </c>
      <c r="J276" s="26">
        <v>0.35</v>
      </c>
      <c r="K276" s="26"/>
      <c r="L276" s="29" t="s">
        <v>1074</v>
      </c>
      <c r="M276" s="29" t="s">
        <v>13</v>
      </c>
      <c r="N276" s="29" t="s">
        <v>81</v>
      </c>
      <c r="O276" s="29" t="s">
        <v>186</v>
      </c>
      <c r="P276" s="26"/>
      <c r="Q276" s="26"/>
      <c r="R276" s="26"/>
      <c r="S276" s="26"/>
      <c r="T276" s="26"/>
      <c r="U276" s="26"/>
      <c r="V276" s="26"/>
      <c r="W276" s="26"/>
      <c r="X276" s="59" t="s">
        <v>37</v>
      </c>
      <c r="Y276" s="60">
        <f t="shared" si="12"/>
        <v>2026</v>
      </c>
      <c r="Z276" s="25">
        <f t="shared" si="13"/>
        <v>5</v>
      </c>
      <c r="AA276" s="60">
        <f t="shared" si="14"/>
        <v>25</v>
      </c>
    </row>
    <row r="277" ht="20.25" hidden="1" spans="1:27">
      <c r="A277" s="102" t="s">
        <v>1077</v>
      </c>
      <c r="B277" s="27">
        <v>46160</v>
      </c>
      <c r="C277" s="27">
        <v>46167</v>
      </c>
      <c r="D277" s="29" t="s">
        <v>6</v>
      </c>
      <c r="E277" s="103" t="s">
        <v>1078</v>
      </c>
      <c r="F277" s="45" t="s">
        <v>1079</v>
      </c>
      <c r="G277" s="22"/>
      <c r="H277" s="29" t="s">
        <v>1063</v>
      </c>
      <c r="I277" s="26">
        <v>5535.4</v>
      </c>
      <c r="J277" s="26">
        <v>138.385</v>
      </c>
      <c r="K277" s="26" t="s">
        <v>1080</v>
      </c>
      <c r="L277" s="26" t="s">
        <v>1077</v>
      </c>
      <c r="M277" s="29" t="s">
        <v>13</v>
      </c>
      <c r="N277" s="29" t="s">
        <v>81</v>
      </c>
      <c r="O277" s="29" t="s">
        <v>397</v>
      </c>
      <c r="P277" s="26"/>
      <c r="Q277" s="26"/>
      <c r="R277" s="26"/>
      <c r="S277" s="26"/>
      <c r="T277" s="26"/>
      <c r="U277" s="26"/>
      <c r="V277" s="26"/>
      <c r="W277" s="26"/>
      <c r="X277" s="59" t="s">
        <v>34</v>
      </c>
      <c r="Y277" s="60">
        <f t="shared" si="12"/>
        <v>2026</v>
      </c>
      <c r="Z277" s="25">
        <f t="shared" si="13"/>
        <v>5</v>
      </c>
      <c r="AA277" s="60">
        <f t="shared" si="14"/>
        <v>25</v>
      </c>
    </row>
    <row r="278" ht="14.25" hidden="1" spans="1:27">
      <c r="A278" s="29" t="s">
        <v>1081</v>
      </c>
      <c r="B278" s="27">
        <v>46167</v>
      </c>
      <c r="C278" s="27">
        <v>46167</v>
      </c>
      <c r="D278" s="29" t="s">
        <v>6</v>
      </c>
      <c r="E278" s="29" t="s">
        <v>1082</v>
      </c>
      <c r="F278" s="29" t="s">
        <v>1083</v>
      </c>
      <c r="G278" s="22"/>
      <c r="H278" s="29" t="s">
        <v>633</v>
      </c>
      <c r="I278" s="26">
        <v>2932.5</v>
      </c>
      <c r="J278" s="57">
        <v>391</v>
      </c>
      <c r="K278" s="57" t="s">
        <v>1053</v>
      </c>
      <c r="L278" s="52" t="s">
        <v>1081</v>
      </c>
      <c r="M278" s="29" t="s">
        <v>12</v>
      </c>
      <c r="N278" s="29" t="s">
        <v>81</v>
      </c>
      <c r="O278" s="29" t="s">
        <v>157</v>
      </c>
      <c r="P278" s="26"/>
      <c r="Q278" s="26"/>
      <c r="R278" s="26"/>
      <c r="S278" s="26"/>
      <c r="T278" s="26"/>
      <c r="U278" s="26"/>
      <c r="V278" s="26"/>
      <c r="W278" s="26"/>
      <c r="X278" s="26" t="s">
        <v>35</v>
      </c>
      <c r="Y278" s="60">
        <f t="shared" si="12"/>
        <v>2026</v>
      </c>
      <c r="Z278" s="25">
        <f t="shared" si="13"/>
        <v>5</v>
      </c>
      <c r="AA278" s="60">
        <f t="shared" si="14"/>
        <v>25</v>
      </c>
    </row>
    <row r="279" ht="13.85" hidden="1" spans="1:27">
      <c r="A279" s="26" t="s">
        <v>1084</v>
      </c>
      <c r="B279" s="27">
        <v>46065</v>
      </c>
      <c r="C279" s="27">
        <v>46168</v>
      </c>
      <c r="D279" s="29" t="s">
        <v>6</v>
      </c>
      <c r="E279" s="29" t="s">
        <v>1085</v>
      </c>
      <c r="F279" s="29" t="s">
        <v>1086</v>
      </c>
      <c r="G279" s="22"/>
      <c r="H279" s="29" t="s">
        <v>474</v>
      </c>
      <c r="I279" s="26">
        <v>628.6</v>
      </c>
      <c r="J279" s="26">
        <v>62.86</v>
      </c>
      <c r="K279" s="26" t="s">
        <v>937</v>
      </c>
      <c r="L279" s="26" t="s">
        <v>1084</v>
      </c>
      <c r="M279" s="29" t="s">
        <v>11</v>
      </c>
      <c r="N279" s="29" t="s">
        <v>81</v>
      </c>
      <c r="O279" s="29" t="s">
        <v>181</v>
      </c>
      <c r="P279" s="26"/>
      <c r="Q279" s="26"/>
      <c r="R279" s="26"/>
      <c r="S279" s="26"/>
      <c r="T279" s="26"/>
      <c r="U279" s="26"/>
      <c r="V279" s="26"/>
      <c r="W279" s="26"/>
      <c r="X279" s="70" t="s">
        <v>38</v>
      </c>
      <c r="Y279" s="60">
        <f t="shared" si="12"/>
        <v>2026</v>
      </c>
      <c r="Z279" s="25">
        <f t="shared" si="13"/>
        <v>5</v>
      </c>
      <c r="AA279" s="60">
        <f t="shared" si="14"/>
        <v>26</v>
      </c>
    </row>
    <row r="280" ht="13.85" hidden="1" spans="1:27">
      <c r="A280" s="26" t="s">
        <v>1087</v>
      </c>
      <c r="B280" s="27">
        <v>46162</v>
      </c>
      <c r="C280" s="27">
        <v>46168</v>
      </c>
      <c r="D280" s="29" t="s">
        <v>6</v>
      </c>
      <c r="E280" s="29" t="s">
        <v>234</v>
      </c>
      <c r="F280" s="29" t="s">
        <v>1088</v>
      </c>
      <c r="G280" s="22"/>
      <c r="H280" s="29" t="s">
        <v>1089</v>
      </c>
      <c r="I280" s="104">
        <v>32730.12</v>
      </c>
      <c r="J280" s="26">
        <v>16.4</v>
      </c>
      <c r="K280" s="38" t="s">
        <v>1008</v>
      </c>
      <c r="L280" s="26" t="s">
        <v>1087</v>
      </c>
      <c r="M280" s="29" t="s">
        <v>14</v>
      </c>
      <c r="N280" s="29" t="s">
        <v>81</v>
      </c>
      <c r="O280" s="29" t="s">
        <v>212</v>
      </c>
      <c r="P280" s="26"/>
      <c r="Q280" s="26"/>
      <c r="R280" s="26"/>
      <c r="S280" s="26"/>
      <c r="T280" s="26"/>
      <c r="U280" s="26"/>
      <c r="V280" s="26"/>
      <c r="W280" s="26"/>
      <c r="X280" s="26" t="s">
        <v>34</v>
      </c>
      <c r="Y280" s="60">
        <f t="shared" si="12"/>
        <v>2026</v>
      </c>
      <c r="Z280" s="25">
        <f t="shared" si="13"/>
        <v>5</v>
      </c>
      <c r="AA280" s="60">
        <f t="shared" si="14"/>
        <v>26</v>
      </c>
    </row>
    <row r="281" ht="13.85" hidden="1" spans="1:27">
      <c r="A281" s="26" t="s">
        <v>1090</v>
      </c>
      <c r="B281" s="27">
        <v>46162</v>
      </c>
      <c r="C281" s="27">
        <v>46168</v>
      </c>
      <c r="D281" s="29" t="s">
        <v>6</v>
      </c>
      <c r="E281" s="29" t="s">
        <v>1091</v>
      </c>
      <c r="F281" s="29" t="s">
        <v>1092</v>
      </c>
      <c r="G281" s="22"/>
      <c r="H281" s="29" t="s">
        <v>1093</v>
      </c>
      <c r="I281" s="26">
        <v>492.23</v>
      </c>
      <c r="J281" s="26">
        <v>0.16</v>
      </c>
      <c r="K281" s="29" t="s">
        <v>211</v>
      </c>
      <c r="L281" s="26" t="s">
        <v>1090</v>
      </c>
      <c r="M281" s="29" t="s">
        <v>14</v>
      </c>
      <c r="N281" s="29" t="s">
        <v>81</v>
      </c>
      <c r="O281" s="29" t="s">
        <v>212</v>
      </c>
      <c r="P281" s="26"/>
      <c r="Q281" s="26"/>
      <c r="R281" s="26"/>
      <c r="S281" s="26"/>
      <c r="T281" s="26"/>
      <c r="U281" s="26"/>
      <c r="V281" s="26"/>
      <c r="W281" s="26"/>
      <c r="X281" s="59" t="s">
        <v>35</v>
      </c>
      <c r="Y281" s="60">
        <f t="shared" si="12"/>
        <v>2026</v>
      </c>
      <c r="Z281" s="25">
        <f t="shared" si="13"/>
        <v>5</v>
      </c>
      <c r="AA281" s="60">
        <f t="shared" si="14"/>
        <v>26</v>
      </c>
    </row>
    <row r="282" ht="13.85" hidden="1" spans="1:27">
      <c r="A282" s="29" t="s">
        <v>1094</v>
      </c>
      <c r="B282" s="27">
        <v>46167</v>
      </c>
      <c r="C282" s="27">
        <v>46168</v>
      </c>
      <c r="D282" s="29" t="s">
        <v>6</v>
      </c>
      <c r="E282" s="29" t="s">
        <v>1095</v>
      </c>
      <c r="F282" s="29" t="s">
        <v>1096</v>
      </c>
      <c r="G282" s="22"/>
      <c r="H282" s="29" t="s">
        <v>474</v>
      </c>
      <c r="I282" s="26">
        <v>339</v>
      </c>
      <c r="J282" s="26">
        <v>11.3</v>
      </c>
      <c r="K282" s="29" t="s">
        <v>211</v>
      </c>
      <c r="L282" s="29" t="s">
        <v>1094</v>
      </c>
      <c r="M282" s="29" t="s">
        <v>15</v>
      </c>
      <c r="N282" s="29" t="s">
        <v>81</v>
      </c>
      <c r="O282" s="29" t="s">
        <v>228</v>
      </c>
      <c r="P282" s="26"/>
      <c r="Q282" s="26"/>
      <c r="R282" s="26"/>
      <c r="S282" s="26"/>
      <c r="T282" s="26"/>
      <c r="U282" s="26"/>
      <c r="V282" s="26"/>
      <c r="W282" s="26"/>
      <c r="X282" s="70" t="s">
        <v>38</v>
      </c>
      <c r="Y282" s="60">
        <f t="shared" si="12"/>
        <v>2026</v>
      </c>
      <c r="Z282" s="25">
        <f t="shared" si="13"/>
        <v>5</v>
      </c>
      <c r="AA282" s="60">
        <f t="shared" si="14"/>
        <v>26</v>
      </c>
    </row>
    <row r="283" ht="13.85" hidden="1" spans="1:27">
      <c r="A283" s="55" t="s">
        <v>1097</v>
      </c>
      <c r="B283" s="27">
        <v>46149</v>
      </c>
      <c r="C283" s="27">
        <v>46153</v>
      </c>
      <c r="D283" s="29" t="s">
        <v>6</v>
      </c>
      <c r="E283" s="105" t="s">
        <v>234</v>
      </c>
      <c r="F283" s="29" t="s">
        <v>1098</v>
      </c>
      <c r="G283" s="22"/>
      <c r="H283" s="29" t="s">
        <v>1099</v>
      </c>
      <c r="I283" s="26">
        <v>3311.79</v>
      </c>
      <c r="J283" s="26">
        <v>87.74</v>
      </c>
      <c r="K283" s="29" t="s">
        <v>1100</v>
      </c>
      <c r="L283" s="55" t="s">
        <v>1097</v>
      </c>
      <c r="M283" s="29" t="s">
        <v>14</v>
      </c>
      <c r="N283" s="29" t="s">
        <v>81</v>
      </c>
      <c r="O283" s="29" t="s">
        <v>238</v>
      </c>
      <c r="P283" s="26"/>
      <c r="Q283" s="26"/>
      <c r="R283" s="26"/>
      <c r="S283" s="26"/>
      <c r="T283" s="26"/>
      <c r="U283" s="26"/>
      <c r="V283" s="26"/>
      <c r="W283" s="26"/>
      <c r="X283" s="26" t="s">
        <v>34</v>
      </c>
      <c r="Y283" s="60">
        <f t="shared" si="12"/>
        <v>2026</v>
      </c>
      <c r="Z283" s="25">
        <f t="shared" si="13"/>
        <v>5</v>
      </c>
      <c r="AA283" s="60">
        <f t="shared" si="14"/>
        <v>11</v>
      </c>
    </row>
    <row r="284" ht="15.75" hidden="1" spans="1:27">
      <c r="A284" s="55" t="s">
        <v>1101</v>
      </c>
      <c r="B284" s="27">
        <v>46103</v>
      </c>
      <c r="C284" s="27">
        <v>46154</v>
      </c>
      <c r="D284" s="29" t="s">
        <v>6</v>
      </c>
      <c r="E284" s="29" t="s">
        <v>509</v>
      </c>
      <c r="F284" s="29" t="s">
        <v>1102</v>
      </c>
      <c r="G284" s="22"/>
      <c r="H284" s="29" t="s">
        <v>1099</v>
      </c>
      <c r="I284" s="26">
        <v>16021.32</v>
      </c>
      <c r="J284" s="26">
        <v>1459</v>
      </c>
      <c r="K284" s="48" t="s">
        <v>1103</v>
      </c>
      <c r="L284" s="55" t="s">
        <v>1101</v>
      </c>
      <c r="M284" s="29" t="s">
        <v>14</v>
      </c>
      <c r="N284" s="29" t="s">
        <v>81</v>
      </c>
      <c r="O284" s="29" t="s">
        <v>238</v>
      </c>
      <c r="P284" s="26"/>
      <c r="Q284" s="26"/>
      <c r="R284" s="26"/>
      <c r="S284" s="26"/>
      <c r="T284" s="26"/>
      <c r="U284" s="26"/>
      <c r="V284" s="26"/>
      <c r="W284" s="26"/>
      <c r="X284" s="26" t="s">
        <v>34</v>
      </c>
      <c r="Y284" s="60">
        <f t="shared" si="12"/>
        <v>2026</v>
      </c>
      <c r="Z284" s="25">
        <f t="shared" si="13"/>
        <v>5</v>
      </c>
      <c r="AA284" s="60">
        <f t="shared" si="14"/>
        <v>12</v>
      </c>
    </row>
    <row r="285" ht="13.85" hidden="1" spans="1:27">
      <c r="A285" s="55" t="s">
        <v>1104</v>
      </c>
      <c r="B285" s="31" t="s">
        <v>1105</v>
      </c>
      <c r="C285" s="27">
        <v>46167</v>
      </c>
      <c r="D285" s="29" t="s">
        <v>6</v>
      </c>
      <c r="E285" s="29" t="s">
        <v>1106</v>
      </c>
      <c r="F285" s="29" t="s">
        <v>1107</v>
      </c>
      <c r="G285" s="22"/>
      <c r="H285" s="29" t="s">
        <v>569</v>
      </c>
      <c r="I285" s="26">
        <v>24893.4</v>
      </c>
      <c r="J285" s="26">
        <v>9002.52</v>
      </c>
      <c r="K285" s="29" t="s">
        <v>1012</v>
      </c>
      <c r="L285" s="29" t="s">
        <v>1104</v>
      </c>
      <c r="M285" s="29" t="s">
        <v>14</v>
      </c>
      <c r="N285" s="29" t="s">
        <v>81</v>
      </c>
      <c r="O285" s="29" t="s">
        <v>217</v>
      </c>
      <c r="P285" s="26"/>
      <c r="Q285" s="26"/>
      <c r="R285" s="26"/>
      <c r="S285" s="26"/>
      <c r="T285" s="26"/>
      <c r="U285" s="26"/>
      <c r="V285" s="26"/>
      <c r="W285" s="26"/>
      <c r="X285" s="26" t="s">
        <v>34</v>
      </c>
      <c r="Y285" s="60">
        <f t="shared" si="12"/>
        <v>2026</v>
      </c>
      <c r="Z285" s="25">
        <f t="shared" si="13"/>
        <v>5</v>
      </c>
      <c r="AA285" s="60">
        <f t="shared" si="14"/>
        <v>25</v>
      </c>
    </row>
    <row r="286" ht="13.85" hidden="1" spans="1:27">
      <c r="A286" s="29" t="s">
        <v>1108</v>
      </c>
      <c r="B286" s="27">
        <v>46102</v>
      </c>
      <c r="C286" s="27">
        <v>46168</v>
      </c>
      <c r="D286" s="29" t="s">
        <v>6</v>
      </c>
      <c r="E286" s="29" t="s">
        <v>509</v>
      </c>
      <c r="F286" s="29" t="s">
        <v>1109</v>
      </c>
      <c r="G286" s="22"/>
      <c r="H286" s="29" t="s">
        <v>1099</v>
      </c>
      <c r="I286" s="26">
        <v>13350.91</v>
      </c>
      <c r="J286" s="26">
        <v>394.88</v>
      </c>
      <c r="K286" s="29" t="s">
        <v>1110</v>
      </c>
      <c r="L286" s="29" t="s">
        <v>1108</v>
      </c>
      <c r="M286" s="29" t="s">
        <v>14</v>
      </c>
      <c r="N286" s="29" t="s">
        <v>81</v>
      </c>
      <c r="O286" s="29" t="s">
        <v>238</v>
      </c>
      <c r="P286" s="26"/>
      <c r="Q286" s="26"/>
      <c r="R286" s="26"/>
      <c r="S286" s="26"/>
      <c r="T286" s="26"/>
      <c r="U286" s="26"/>
      <c r="V286" s="26"/>
      <c r="W286" s="26"/>
      <c r="X286" s="26" t="s">
        <v>34</v>
      </c>
      <c r="Y286" s="60">
        <f t="shared" si="12"/>
        <v>2026</v>
      </c>
      <c r="Z286" s="25">
        <f t="shared" si="13"/>
        <v>5</v>
      </c>
      <c r="AA286" s="60">
        <f t="shared" si="14"/>
        <v>26</v>
      </c>
    </row>
    <row r="287" ht="13.85" hidden="1" spans="1:27">
      <c r="A287" s="29" t="s">
        <v>1111</v>
      </c>
      <c r="B287" s="27">
        <v>46142</v>
      </c>
      <c r="C287" s="27">
        <v>46168</v>
      </c>
      <c r="D287" s="29" t="s">
        <v>6</v>
      </c>
      <c r="E287" s="29" t="s">
        <v>807</v>
      </c>
      <c r="F287" s="29" t="s">
        <v>1112</v>
      </c>
      <c r="G287" s="22"/>
      <c r="H287" s="29" t="s">
        <v>547</v>
      </c>
      <c r="I287" s="26">
        <v>6851.1</v>
      </c>
      <c r="J287" s="26">
        <v>685.11</v>
      </c>
      <c r="K287" s="29" t="s">
        <v>1030</v>
      </c>
      <c r="L287" s="29" t="s">
        <v>1111</v>
      </c>
      <c r="M287" s="29" t="s">
        <v>14</v>
      </c>
      <c r="N287" s="29" t="s">
        <v>81</v>
      </c>
      <c r="O287" s="29" t="s">
        <v>810</v>
      </c>
      <c r="P287" s="26"/>
      <c r="Q287" s="26"/>
      <c r="R287" s="26"/>
      <c r="S287" s="26"/>
      <c r="T287" s="26"/>
      <c r="U287" s="26"/>
      <c r="V287" s="26"/>
      <c r="W287" s="26"/>
      <c r="X287" s="26" t="s">
        <v>35</v>
      </c>
      <c r="Y287" s="60">
        <f t="shared" si="12"/>
        <v>2026</v>
      </c>
      <c r="Z287" s="25">
        <f t="shared" si="13"/>
        <v>5</v>
      </c>
      <c r="AA287" s="60">
        <f t="shared" si="14"/>
        <v>26</v>
      </c>
    </row>
    <row r="288" ht="13.85" hidden="1" spans="1:27">
      <c r="A288" s="29" t="s">
        <v>1113</v>
      </c>
      <c r="B288" s="27">
        <v>46136</v>
      </c>
      <c r="C288" s="27">
        <v>46168</v>
      </c>
      <c r="D288" s="29" t="s">
        <v>6</v>
      </c>
      <c r="E288" s="29" t="s">
        <v>1114</v>
      </c>
      <c r="F288" s="29" t="s">
        <v>1115</v>
      </c>
      <c r="G288" s="22"/>
      <c r="H288" s="29" t="s">
        <v>547</v>
      </c>
      <c r="I288" s="26">
        <v>1634.8</v>
      </c>
      <c r="J288" s="26">
        <v>163.48</v>
      </c>
      <c r="K288" s="29" t="s">
        <v>1030</v>
      </c>
      <c r="L288" s="29" t="s">
        <v>1113</v>
      </c>
      <c r="M288" s="29" t="s">
        <v>14</v>
      </c>
      <c r="N288" s="29" t="s">
        <v>81</v>
      </c>
      <c r="O288" s="29" t="s">
        <v>810</v>
      </c>
      <c r="P288" s="26"/>
      <c r="Q288" s="26"/>
      <c r="R288" s="26"/>
      <c r="S288" s="26"/>
      <c r="T288" s="26"/>
      <c r="U288" s="26"/>
      <c r="V288" s="26"/>
      <c r="W288" s="26"/>
      <c r="X288" s="26" t="s">
        <v>35</v>
      </c>
      <c r="Y288" s="60">
        <f t="shared" si="12"/>
        <v>2026</v>
      </c>
      <c r="Z288" s="25">
        <f t="shared" si="13"/>
        <v>5</v>
      </c>
      <c r="AA288" s="60">
        <f t="shared" si="14"/>
        <v>26</v>
      </c>
    </row>
    <row r="289" ht="13.85" hidden="1" spans="1:27">
      <c r="A289" s="29" t="s">
        <v>1116</v>
      </c>
      <c r="B289" s="27">
        <v>46101</v>
      </c>
      <c r="C289" s="27">
        <v>46168</v>
      </c>
      <c r="D289" s="29" t="s">
        <v>6</v>
      </c>
      <c r="E289" s="29" t="s">
        <v>1117</v>
      </c>
      <c r="F289" s="29" t="s">
        <v>1118</v>
      </c>
      <c r="G289" s="55" t="s">
        <v>883</v>
      </c>
      <c r="H289" s="29" t="s">
        <v>547</v>
      </c>
      <c r="I289" s="26">
        <v>29336.4</v>
      </c>
      <c r="J289" s="26">
        <v>977.88</v>
      </c>
      <c r="K289" s="29" t="s">
        <v>805</v>
      </c>
      <c r="L289" s="29" t="s">
        <v>1116</v>
      </c>
      <c r="M289" s="29" t="s">
        <v>14</v>
      </c>
      <c r="N289" s="29" t="s">
        <v>81</v>
      </c>
      <c r="O289" s="29" t="s">
        <v>810</v>
      </c>
      <c r="P289" s="26"/>
      <c r="Q289" s="26"/>
      <c r="R289" s="26"/>
      <c r="S289" s="26"/>
      <c r="T289" s="26"/>
      <c r="U289" s="26"/>
      <c r="V289" s="26"/>
      <c r="W289" s="26"/>
      <c r="X289" s="26" t="s">
        <v>35</v>
      </c>
      <c r="Y289" s="60">
        <f t="shared" si="12"/>
        <v>2026</v>
      </c>
      <c r="Z289" s="25">
        <f t="shared" si="13"/>
        <v>5</v>
      </c>
      <c r="AA289" s="60">
        <f t="shared" si="14"/>
        <v>26</v>
      </c>
    </row>
    <row r="290" ht="13.85" hidden="1" spans="1:27">
      <c r="A290" s="29" t="s">
        <v>1119</v>
      </c>
      <c r="B290" s="27">
        <v>46162</v>
      </c>
      <c r="C290" s="27">
        <v>46168</v>
      </c>
      <c r="D290" s="29" t="s">
        <v>6</v>
      </c>
      <c r="E290" s="29" t="s">
        <v>1120</v>
      </c>
      <c r="F290" s="29" t="s">
        <v>1121</v>
      </c>
      <c r="G290" s="55" t="s">
        <v>883</v>
      </c>
      <c r="H290" s="29" t="s">
        <v>507</v>
      </c>
      <c r="I290" s="26">
        <v>26582.54</v>
      </c>
      <c r="J290" s="26">
        <v>1946.04</v>
      </c>
      <c r="K290" s="29" t="s">
        <v>1030</v>
      </c>
      <c r="L290" s="29" t="s">
        <v>1119</v>
      </c>
      <c r="M290" s="29" t="s">
        <v>14</v>
      </c>
      <c r="N290" s="29" t="s">
        <v>81</v>
      </c>
      <c r="O290" s="29" t="s">
        <v>308</v>
      </c>
      <c r="P290" s="26"/>
      <c r="Q290" s="26"/>
      <c r="R290" s="26"/>
      <c r="S290" s="26"/>
      <c r="T290" s="26"/>
      <c r="U290" s="26"/>
      <c r="V290" s="26"/>
      <c r="W290" s="26"/>
      <c r="X290" s="26" t="s">
        <v>34</v>
      </c>
      <c r="Y290" s="60">
        <f t="shared" si="12"/>
        <v>2026</v>
      </c>
      <c r="Z290" s="25">
        <f t="shared" si="13"/>
        <v>5</v>
      </c>
      <c r="AA290" s="60">
        <f t="shared" si="14"/>
        <v>26</v>
      </c>
    </row>
    <row r="291" ht="13.85" hidden="1" spans="1:27">
      <c r="A291" s="29" t="s">
        <v>1122</v>
      </c>
      <c r="B291" s="27">
        <v>46162</v>
      </c>
      <c r="C291" s="27">
        <v>46168</v>
      </c>
      <c r="D291" s="29" t="s">
        <v>6</v>
      </c>
      <c r="E291" s="29" t="s">
        <v>1123</v>
      </c>
      <c r="F291" s="29" t="s">
        <v>1124</v>
      </c>
      <c r="G291" s="55" t="s">
        <v>883</v>
      </c>
      <c r="H291" s="29" t="s">
        <v>507</v>
      </c>
      <c r="I291" s="26">
        <v>13301.64</v>
      </c>
      <c r="J291" s="26">
        <v>978.85</v>
      </c>
      <c r="K291" s="29" t="s">
        <v>211</v>
      </c>
      <c r="L291" s="29" t="s">
        <v>1122</v>
      </c>
      <c r="M291" s="29" t="s">
        <v>14</v>
      </c>
      <c r="N291" s="29" t="s">
        <v>81</v>
      </c>
      <c r="O291" s="29" t="s">
        <v>308</v>
      </c>
      <c r="P291" s="26"/>
      <c r="Q291" s="26"/>
      <c r="R291" s="26"/>
      <c r="S291" s="26"/>
      <c r="T291" s="26"/>
      <c r="U291" s="26"/>
      <c r="V291" s="26"/>
      <c r="W291" s="26"/>
      <c r="X291" s="26" t="s">
        <v>34</v>
      </c>
      <c r="Y291" s="60">
        <f t="shared" si="12"/>
        <v>2026</v>
      </c>
      <c r="Z291" s="25">
        <f t="shared" si="13"/>
        <v>5</v>
      </c>
      <c r="AA291" s="60">
        <f t="shared" si="14"/>
        <v>26</v>
      </c>
    </row>
    <row r="292" ht="13.85" hidden="1" spans="1:27">
      <c r="A292" s="29" t="s">
        <v>1125</v>
      </c>
      <c r="B292" s="27">
        <v>46163</v>
      </c>
      <c r="C292" s="27">
        <v>46168</v>
      </c>
      <c r="D292" s="29" t="s">
        <v>6</v>
      </c>
      <c r="E292" s="29" t="s">
        <v>1126</v>
      </c>
      <c r="F292" s="29" t="s">
        <v>1127</v>
      </c>
      <c r="G292" s="55"/>
      <c r="H292" s="29" t="s">
        <v>547</v>
      </c>
      <c r="I292" s="26">
        <v>2078.6</v>
      </c>
      <c r="J292" s="26">
        <v>207.86</v>
      </c>
      <c r="K292" s="29" t="s">
        <v>1030</v>
      </c>
      <c r="L292" s="29" t="s">
        <v>1125</v>
      </c>
      <c r="M292" s="29" t="s">
        <v>14</v>
      </c>
      <c r="N292" s="29" t="s">
        <v>81</v>
      </c>
      <c r="O292" s="29" t="s">
        <v>810</v>
      </c>
      <c r="P292" s="26"/>
      <c r="Q292" s="26"/>
      <c r="R292" s="26"/>
      <c r="S292" s="26"/>
      <c r="T292" s="26"/>
      <c r="U292" s="26"/>
      <c r="V292" s="26"/>
      <c r="W292" s="26"/>
      <c r="X292" s="26" t="s">
        <v>35</v>
      </c>
      <c r="Y292" s="60">
        <f t="shared" si="12"/>
        <v>2026</v>
      </c>
      <c r="Z292" s="25">
        <f t="shared" si="13"/>
        <v>5</v>
      </c>
      <c r="AA292" s="60">
        <f t="shared" si="14"/>
        <v>26</v>
      </c>
    </row>
    <row r="293" ht="13.85" hidden="1" spans="1:27">
      <c r="A293" s="29" t="s">
        <v>1128</v>
      </c>
      <c r="B293" s="27">
        <v>46166</v>
      </c>
      <c r="C293" s="27">
        <v>46168</v>
      </c>
      <c r="D293" s="29" t="s">
        <v>6</v>
      </c>
      <c r="E293" s="29" t="s">
        <v>1129</v>
      </c>
      <c r="F293" s="29" t="s">
        <v>1130</v>
      </c>
      <c r="G293" s="22"/>
      <c r="H293" s="29" t="s">
        <v>967</v>
      </c>
      <c r="I293" s="26">
        <v>626.1</v>
      </c>
      <c r="J293" s="26">
        <v>62.61</v>
      </c>
      <c r="K293" s="26"/>
      <c r="L293" s="29" t="s">
        <v>1128</v>
      </c>
      <c r="M293" s="29" t="s">
        <v>11</v>
      </c>
      <c r="N293" s="29" t="s">
        <v>81</v>
      </c>
      <c r="O293" s="29" t="s">
        <v>132</v>
      </c>
      <c r="P293" s="26"/>
      <c r="Q293" s="26"/>
      <c r="R293" s="26"/>
      <c r="S293" s="26"/>
      <c r="T293" s="26"/>
      <c r="U293" s="26"/>
      <c r="V293" s="26"/>
      <c r="W293" s="26"/>
      <c r="X293" s="70" t="s">
        <v>38</v>
      </c>
      <c r="Y293" s="60">
        <f t="shared" si="12"/>
        <v>2026</v>
      </c>
      <c r="Z293" s="25">
        <f t="shared" si="13"/>
        <v>5</v>
      </c>
      <c r="AA293" s="60">
        <f t="shared" si="14"/>
        <v>26</v>
      </c>
    </row>
    <row r="294" ht="13.85" hidden="1" spans="1:27">
      <c r="A294" s="26"/>
      <c r="B294" s="27"/>
      <c r="C294" s="27">
        <v>46169</v>
      </c>
      <c r="D294" s="29" t="s">
        <v>6</v>
      </c>
      <c r="E294" s="29" t="s">
        <v>1131</v>
      </c>
      <c r="F294" s="29" t="s">
        <v>1132</v>
      </c>
      <c r="G294" s="22"/>
      <c r="H294" s="29" t="s">
        <v>507</v>
      </c>
      <c r="I294" s="26">
        <v>3996.81</v>
      </c>
      <c r="J294" s="26">
        <v>799.362</v>
      </c>
      <c r="K294" s="29" t="s">
        <v>1133</v>
      </c>
      <c r="L294" s="29" t="s">
        <v>1134</v>
      </c>
      <c r="M294" s="29" t="s">
        <v>13</v>
      </c>
      <c r="N294" s="29" t="s">
        <v>81</v>
      </c>
      <c r="O294" s="29" t="s">
        <v>186</v>
      </c>
      <c r="P294" s="26"/>
      <c r="Q294" s="26"/>
      <c r="R294" s="26"/>
      <c r="S294" s="26"/>
      <c r="T294" s="26"/>
      <c r="U294" s="26"/>
      <c r="V294" s="26"/>
      <c r="W294" s="26"/>
      <c r="X294" s="26" t="s">
        <v>34</v>
      </c>
      <c r="Y294" s="60">
        <f t="shared" si="12"/>
        <v>2026</v>
      </c>
      <c r="Z294" s="25">
        <f t="shared" si="13"/>
        <v>5</v>
      </c>
      <c r="AA294" s="60">
        <f t="shared" si="14"/>
        <v>27</v>
      </c>
    </row>
    <row r="295" ht="13.85" hidden="1" spans="1:27">
      <c r="A295" s="29" t="s">
        <v>1135</v>
      </c>
      <c r="B295" s="27">
        <v>46162</v>
      </c>
      <c r="C295" s="27">
        <v>46169</v>
      </c>
      <c r="D295" s="29" t="s">
        <v>6</v>
      </c>
      <c r="E295" s="29" t="s">
        <v>701</v>
      </c>
      <c r="F295" s="29" t="s">
        <v>1136</v>
      </c>
      <c r="G295" s="55" t="s">
        <v>883</v>
      </c>
      <c r="H295" s="29" t="s">
        <v>507</v>
      </c>
      <c r="I295" s="26">
        <v>26026.8</v>
      </c>
      <c r="J295" s="26">
        <v>1968.65</v>
      </c>
      <c r="K295" s="29" t="s">
        <v>1030</v>
      </c>
      <c r="L295" s="29" t="s">
        <v>1135</v>
      </c>
      <c r="M295" s="29" t="s">
        <v>14</v>
      </c>
      <c r="N295" s="29" t="s">
        <v>81</v>
      </c>
      <c r="O295" s="29" t="s">
        <v>308</v>
      </c>
      <c r="P295" s="26"/>
      <c r="Q295" s="26"/>
      <c r="R295" s="26"/>
      <c r="S295" s="26"/>
      <c r="T295" s="26"/>
      <c r="U295" s="26"/>
      <c r="V295" s="26"/>
      <c r="W295" s="26"/>
      <c r="X295" s="26" t="s">
        <v>34</v>
      </c>
      <c r="Y295" s="60">
        <f t="shared" si="12"/>
        <v>2026</v>
      </c>
      <c r="Z295" s="25">
        <f t="shared" si="13"/>
        <v>5</v>
      </c>
      <c r="AA295" s="60">
        <f t="shared" si="14"/>
        <v>27</v>
      </c>
    </row>
    <row r="296" ht="13.85" hidden="1" spans="1:27">
      <c r="A296" s="26" t="s">
        <v>1137</v>
      </c>
      <c r="B296" s="27">
        <v>46102</v>
      </c>
      <c r="C296" s="27">
        <v>46170</v>
      </c>
      <c r="D296" s="29" t="s">
        <v>6</v>
      </c>
      <c r="E296" s="29" t="s">
        <v>1138</v>
      </c>
      <c r="F296" s="29" t="s">
        <v>1139</v>
      </c>
      <c r="G296" s="22"/>
      <c r="H296" s="29" t="s">
        <v>945</v>
      </c>
      <c r="I296" s="26">
        <v>2574.2</v>
      </c>
      <c r="J296" s="26">
        <v>514.84</v>
      </c>
      <c r="K296" s="26" t="s">
        <v>1140</v>
      </c>
      <c r="L296" s="26" t="s">
        <v>1137</v>
      </c>
      <c r="M296" s="29" t="s">
        <v>11</v>
      </c>
      <c r="N296" s="29" t="s">
        <v>81</v>
      </c>
      <c r="O296" s="29" t="s">
        <v>115</v>
      </c>
      <c r="P296" s="26"/>
      <c r="Q296" s="26"/>
      <c r="R296" s="26"/>
      <c r="S296" s="26"/>
      <c r="T296" s="26"/>
      <c r="U296" s="26"/>
      <c r="V296" s="26"/>
      <c r="W296" s="26"/>
      <c r="X296" s="26" t="s">
        <v>35</v>
      </c>
      <c r="Y296" s="60">
        <f t="shared" si="12"/>
        <v>2026</v>
      </c>
      <c r="Z296" s="25">
        <f t="shared" si="13"/>
        <v>5</v>
      </c>
      <c r="AA296" s="60">
        <f t="shared" si="14"/>
        <v>28</v>
      </c>
    </row>
    <row r="297" ht="13.85" hidden="1" spans="1:27">
      <c r="A297" s="29" t="s">
        <v>1094</v>
      </c>
      <c r="B297" s="31" t="s">
        <v>1141</v>
      </c>
      <c r="C297" s="27">
        <v>46170</v>
      </c>
      <c r="D297" s="29" t="s">
        <v>6</v>
      </c>
      <c r="E297" s="29" t="s">
        <v>1095</v>
      </c>
      <c r="F297" s="29" t="s">
        <v>1142</v>
      </c>
      <c r="G297" s="55" t="s">
        <v>883</v>
      </c>
      <c r="H297" s="29" t="s">
        <v>967</v>
      </c>
      <c r="I297" s="26">
        <v>711.6</v>
      </c>
      <c r="J297" s="26">
        <v>23.72</v>
      </c>
      <c r="K297" s="26"/>
      <c r="L297" s="29" t="s">
        <v>1094</v>
      </c>
      <c r="M297" s="29" t="s">
        <v>15</v>
      </c>
      <c r="N297" s="29" t="s">
        <v>81</v>
      </c>
      <c r="O297" s="29" t="s">
        <v>228</v>
      </c>
      <c r="P297" s="26"/>
      <c r="Q297" s="26"/>
      <c r="R297" s="26"/>
      <c r="S297" s="26"/>
      <c r="T297" s="26"/>
      <c r="U297" s="26"/>
      <c r="V297" s="26"/>
      <c r="W297" s="26"/>
      <c r="X297" s="70" t="s">
        <v>38</v>
      </c>
      <c r="Y297" s="60">
        <f t="shared" si="12"/>
        <v>2026</v>
      </c>
      <c r="Z297" s="25">
        <f t="shared" si="13"/>
        <v>5</v>
      </c>
      <c r="AA297" s="60">
        <f t="shared" si="14"/>
        <v>28</v>
      </c>
    </row>
    <row r="298" ht="15.75" hidden="1" spans="1:27">
      <c r="A298" s="106" t="s">
        <v>1143</v>
      </c>
      <c r="B298" s="27">
        <v>46160</v>
      </c>
      <c r="C298" s="27">
        <v>46175</v>
      </c>
      <c r="D298" s="29" t="s">
        <v>6</v>
      </c>
      <c r="E298" s="107" t="s">
        <v>1144</v>
      </c>
      <c r="F298" s="108" t="s">
        <v>1145</v>
      </c>
      <c r="G298" s="55" t="s">
        <v>883</v>
      </c>
      <c r="H298" s="29" t="s">
        <v>967</v>
      </c>
      <c r="I298" s="26">
        <v>1364.4</v>
      </c>
      <c r="J298" s="26">
        <v>68.22</v>
      </c>
      <c r="K298" s="26" t="s">
        <v>1146</v>
      </c>
      <c r="L298" s="106" t="s">
        <v>1143</v>
      </c>
      <c r="M298" s="29" t="s">
        <v>13</v>
      </c>
      <c r="N298" s="29" t="s">
        <v>81</v>
      </c>
      <c r="O298" s="29" t="s">
        <v>397</v>
      </c>
      <c r="P298" s="26"/>
      <c r="Q298" s="26"/>
      <c r="R298" s="26"/>
      <c r="S298" s="26"/>
      <c r="T298" s="26"/>
      <c r="U298" s="26"/>
      <c r="V298" s="26"/>
      <c r="W298" s="26"/>
      <c r="X298" s="70" t="s">
        <v>38</v>
      </c>
      <c r="Y298" s="60">
        <f t="shared" si="12"/>
        <v>2026</v>
      </c>
      <c r="Z298" s="25">
        <f t="shared" si="13"/>
        <v>6</v>
      </c>
      <c r="AA298" s="60">
        <f t="shared" si="14"/>
        <v>2</v>
      </c>
    </row>
    <row r="299" ht="13.85" hidden="1" spans="1:27">
      <c r="A299" s="29" t="s">
        <v>1147</v>
      </c>
      <c r="B299" s="27">
        <v>46165</v>
      </c>
      <c r="C299" s="27">
        <v>46176</v>
      </c>
      <c r="D299" s="29" t="s">
        <v>6</v>
      </c>
      <c r="E299" s="29" t="s">
        <v>1148</v>
      </c>
      <c r="F299" s="29" t="s">
        <v>1149</v>
      </c>
      <c r="G299" s="22"/>
      <c r="H299" s="29" t="s">
        <v>1150</v>
      </c>
      <c r="I299" s="26">
        <v>19414.4</v>
      </c>
      <c r="J299" s="26">
        <v>970.72</v>
      </c>
      <c r="K299" s="29" t="s">
        <v>1151</v>
      </c>
      <c r="L299" s="29" t="s">
        <v>1152</v>
      </c>
      <c r="M299" s="29" t="s">
        <v>12</v>
      </c>
      <c r="N299" s="29" t="s">
        <v>81</v>
      </c>
      <c r="O299" s="29" t="s">
        <v>1005</v>
      </c>
      <c r="P299" s="26"/>
      <c r="Q299" s="26"/>
      <c r="R299" s="26"/>
      <c r="S299" s="26"/>
      <c r="T299" s="26"/>
      <c r="U299" s="26"/>
      <c r="V299" s="26"/>
      <c r="W299" s="26"/>
      <c r="X299" s="59" t="s">
        <v>37</v>
      </c>
      <c r="Y299" s="60">
        <f t="shared" si="12"/>
        <v>2026</v>
      </c>
      <c r="Z299" s="25">
        <f t="shared" si="13"/>
        <v>6</v>
      </c>
      <c r="AA299" s="60">
        <f t="shared" si="14"/>
        <v>3</v>
      </c>
    </row>
    <row r="300" ht="13.85" hidden="1" spans="1:27">
      <c r="A300" s="26" t="s">
        <v>1153</v>
      </c>
      <c r="B300" s="27">
        <v>46138</v>
      </c>
      <c r="C300" s="27">
        <v>46178</v>
      </c>
      <c r="D300" s="29" t="s">
        <v>6</v>
      </c>
      <c r="E300" s="29" t="s">
        <v>1154</v>
      </c>
      <c r="F300" s="29" t="s">
        <v>1155</v>
      </c>
      <c r="G300" s="22"/>
      <c r="H300" s="29" t="s">
        <v>1063</v>
      </c>
      <c r="I300" s="26">
        <v>1901.2</v>
      </c>
      <c r="J300" s="26">
        <v>95.22</v>
      </c>
      <c r="K300" s="26" t="s">
        <v>654</v>
      </c>
      <c r="L300" s="26" t="s">
        <v>1153</v>
      </c>
      <c r="M300" s="29" t="s">
        <v>11</v>
      </c>
      <c r="N300" s="29" t="s">
        <v>81</v>
      </c>
      <c r="O300" s="29" t="s">
        <v>181</v>
      </c>
      <c r="P300" s="26"/>
      <c r="Q300" s="26"/>
      <c r="R300" s="26"/>
      <c r="S300" s="26"/>
      <c r="T300" s="26"/>
      <c r="U300" s="26"/>
      <c r="V300" s="26"/>
      <c r="W300" s="26"/>
      <c r="X300" s="59" t="s">
        <v>38</v>
      </c>
      <c r="Y300" s="60">
        <f t="shared" si="12"/>
        <v>2026</v>
      </c>
      <c r="Z300" s="25">
        <f t="shared" si="13"/>
        <v>6</v>
      </c>
      <c r="AA300" s="60">
        <f t="shared" si="14"/>
        <v>5</v>
      </c>
    </row>
    <row r="301" ht="13.85" hidden="1" spans="1:27">
      <c r="A301" s="29" t="s">
        <v>1156</v>
      </c>
      <c r="B301" s="27">
        <v>46169</v>
      </c>
      <c r="C301" s="27">
        <v>46181</v>
      </c>
      <c r="D301" s="29" t="s">
        <v>6</v>
      </c>
      <c r="E301" s="29" t="s">
        <v>1157</v>
      </c>
      <c r="F301" s="29" t="s">
        <v>1158</v>
      </c>
      <c r="G301" s="22"/>
      <c r="H301" s="29" t="s">
        <v>1063</v>
      </c>
      <c r="I301" s="26">
        <v>16879.2</v>
      </c>
      <c r="J301" s="26">
        <v>130</v>
      </c>
      <c r="K301" s="26"/>
      <c r="L301" s="26" t="s">
        <v>1156</v>
      </c>
      <c r="M301" s="29" t="s">
        <v>11</v>
      </c>
      <c r="N301" s="29" t="s">
        <v>81</v>
      </c>
      <c r="O301" s="29" t="s">
        <v>181</v>
      </c>
      <c r="P301" s="26"/>
      <c r="Q301" s="26"/>
      <c r="R301" s="26"/>
      <c r="S301" s="26"/>
      <c r="T301" s="26"/>
      <c r="U301" s="26"/>
      <c r="V301" s="26"/>
      <c r="W301" s="26"/>
      <c r="X301" s="59" t="s">
        <v>37</v>
      </c>
      <c r="Y301" s="60">
        <f t="shared" si="12"/>
        <v>2026</v>
      </c>
      <c r="Z301" s="25">
        <f t="shared" si="13"/>
        <v>6</v>
      </c>
      <c r="AA301" s="60">
        <f t="shared" si="14"/>
        <v>8</v>
      </c>
    </row>
    <row r="302" ht="13.85" hidden="1" spans="1:27">
      <c r="A302" s="29" t="s">
        <v>1159</v>
      </c>
      <c r="B302" s="27">
        <v>46168</v>
      </c>
      <c r="C302" s="27">
        <v>46183</v>
      </c>
      <c r="D302" s="29" t="s">
        <v>6</v>
      </c>
      <c r="E302" s="29" t="s">
        <v>1160</v>
      </c>
      <c r="F302" s="29" t="s">
        <v>1161</v>
      </c>
      <c r="G302" s="22"/>
      <c r="H302" s="29" t="s">
        <v>1063</v>
      </c>
      <c r="I302" s="26">
        <v>12026.8</v>
      </c>
      <c r="J302" s="26">
        <v>1971.74</v>
      </c>
      <c r="K302" s="29" t="s">
        <v>1008</v>
      </c>
      <c r="L302" s="29" t="s">
        <v>1159</v>
      </c>
      <c r="M302" s="29" t="s">
        <v>14</v>
      </c>
      <c r="N302" s="29" t="s">
        <v>81</v>
      </c>
      <c r="O302" s="29" t="s">
        <v>82</v>
      </c>
      <c r="P302" s="26"/>
      <c r="Q302" s="26"/>
      <c r="R302" s="26"/>
      <c r="S302" s="26"/>
      <c r="T302" s="26"/>
      <c r="U302" s="26"/>
      <c r="V302" s="26"/>
      <c r="W302" s="26"/>
      <c r="X302" s="59" t="s">
        <v>38</v>
      </c>
      <c r="Y302" s="60">
        <f t="shared" si="12"/>
        <v>2026</v>
      </c>
      <c r="Z302" s="25">
        <f t="shared" si="13"/>
        <v>6</v>
      </c>
      <c r="AA302" s="60">
        <f t="shared" si="14"/>
        <v>10</v>
      </c>
    </row>
    <row r="303" ht="13.85" hidden="1" spans="1:27">
      <c r="A303" s="29" t="s">
        <v>1162</v>
      </c>
      <c r="B303" s="27">
        <v>46170</v>
      </c>
      <c r="C303" s="27">
        <v>46183</v>
      </c>
      <c r="D303" s="29" t="s">
        <v>6</v>
      </c>
      <c r="E303" s="29" t="s">
        <v>1163</v>
      </c>
      <c r="F303" s="29" t="s">
        <v>1164</v>
      </c>
      <c r="G303" s="22"/>
      <c r="H303" s="29" t="s">
        <v>1063</v>
      </c>
      <c r="I303" s="26">
        <v>7372.2</v>
      </c>
      <c r="J303" s="26">
        <v>977.42</v>
      </c>
      <c r="K303" s="29" t="s">
        <v>1008</v>
      </c>
      <c r="L303" s="29" t="s">
        <v>1162</v>
      </c>
      <c r="M303" s="29" t="s">
        <v>14</v>
      </c>
      <c r="N303" s="29" t="s">
        <v>81</v>
      </c>
      <c r="O303" s="29" t="s">
        <v>82</v>
      </c>
      <c r="P303" s="26"/>
      <c r="Q303" s="26"/>
      <c r="R303" s="26"/>
      <c r="S303" s="26"/>
      <c r="T303" s="26"/>
      <c r="U303" s="26"/>
      <c r="V303" s="26"/>
      <c r="W303" s="26"/>
      <c r="X303" s="59" t="s">
        <v>38</v>
      </c>
      <c r="Y303" s="60">
        <f t="shared" si="12"/>
        <v>2026</v>
      </c>
      <c r="Z303" s="25">
        <f t="shared" si="13"/>
        <v>6</v>
      </c>
      <c r="AA303" s="60">
        <f t="shared" si="14"/>
        <v>10</v>
      </c>
    </row>
    <row r="304" ht="13.85" hidden="1" spans="1:27">
      <c r="A304" s="29" t="s">
        <v>1165</v>
      </c>
      <c r="B304" s="27">
        <v>46170</v>
      </c>
      <c r="C304" s="27">
        <v>46183</v>
      </c>
      <c r="D304" s="29" t="s">
        <v>6</v>
      </c>
      <c r="E304" s="29" t="s">
        <v>1166</v>
      </c>
      <c r="F304" s="29" t="s">
        <v>1167</v>
      </c>
      <c r="G304" s="22"/>
      <c r="H304" s="29" t="s">
        <v>1063</v>
      </c>
      <c r="I304" s="26">
        <v>15485.4</v>
      </c>
      <c r="J304" s="26">
        <v>1866.26</v>
      </c>
      <c r="K304" s="29" t="s">
        <v>1008</v>
      </c>
      <c r="L304" s="29" t="s">
        <v>1165</v>
      </c>
      <c r="M304" s="29" t="s">
        <v>14</v>
      </c>
      <c r="N304" s="29" t="s">
        <v>81</v>
      </c>
      <c r="O304" s="29" t="s">
        <v>82</v>
      </c>
      <c r="P304" s="26"/>
      <c r="Q304" s="26"/>
      <c r="R304" s="26"/>
      <c r="S304" s="26"/>
      <c r="T304" s="26"/>
      <c r="U304" s="26"/>
      <c r="V304" s="26"/>
      <c r="W304" s="26"/>
      <c r="X304" s="59" t="s">
        <v>34</v>
      </c>
      <c r="Y304" s="60">
        <f t="shared" si="12"/>
        <v>2026</v>
      </c>
      <c r="Z304" s="25">
        <f t="shared" si="13"/>
        <v>6</v>
      </c>
      <c r="AA304" s="60">
        <f t="shared" si="14"/>
        <v>10</v>
      </c>
    </row>
    <row r="305" ht="13.85" hidden="1" spans="1:27">
      <c r="A305" s="26" t="s">
        <v>1168</v>
      </c>
      <c r="B305" s="27">
        <v>46175</v>
      </c>
      <c r="C305" s="27">
        <v>46185</v>
      </c>
      <c r="D305" s="29" t="s">
        <v>6</v>
      </c>
      <c r="E305" s="29" t="s">
        <v>1169</v>
      </c>
      <c r="F305" s="29" t="s">
        <v>1170</v>
      </c>
      <c r="G305" s="22"/>
      <c r="H305" s="29" t="s">
        <v>455</v>
      </c>
      <c r="I305" s="26">
        <v>8418.8</v>
      </c>
      <c r="J305" s="26">
        <v>420.94</v>
      </c>
      <c r="K305" s="26" t="s">
        <v>1171</v>
      </c>
      <c r="L305" s="26" t="s">
        <v>1168</v>
      </c>
      <c r="M305" s="29" t="s">
        <v>11</v>
      </c>
      <c r="N305" s="29" t="s">
        <v>81</v>
      </c>
      <c r="O305" s="29" t="s">
        <v>181</v>
      </c>
      <c r="P305" s="26"/>
      <c r="Q305" s="26"/>
      <c r="R305" s="26"/>
      <c r="S305" s="26"/>
      <c r="T305" s="26"/>
      <c r="U305" s="26"/>
      <c r="V305" s="26"/>
      <c r="W305" s="26"/>
      <c r="X305" s="26" t="s">
        <v>34</v>
      </c>
      <c r="Y305" s="60">
        <f t="shared" si="12"/>
        <v>2026</v>
      </c>
      <c r="Z305" s="25">
        <f t="shared" si="13"/>
        <v>6</v>
      </c>
      <c r="AA305" s="60">
        <f t="shared" si="14"/>
        <v>12</v>
      </c>
    </row>
    <row r="306" ht="16.1" hidden="1" spans="1:27">
      <c r="A306" s="109" t="s">
        <v>1172</v>
      </c>
      <c r="B306" s="27">
        <v>46170</v>
      </c>
      <c r="C306" s="27">
        <v>46170</v>
      </c>
      <c r="D306" s="29" t="s">
        <v>6</v>
      </c>
      <c r="E306" s="109" t="s">
        <v>1173</v>
      </c>
      <c r="F306" s="29" t="s">
        <v>1174</v>
      </c>
      <c r="G306" s="22"/>
      <c r="H306" s="29" t="s">
        <v>569</v>
      </c>
      <c r="I306" s="26">
        <v>1298</v>
      </c>
      <c r="J306" s="26"/>
      <c r="K306" s="29" t="s">
        <v>1175</v>
      </c>
      <c r="L306" s="29" t="s">
        <v>1172</v>
      </c>
      <c r="M306" s="29" t="s">
        <v>12</v>
      </c>
      <c r="N306" s="29" t="s">
        <v>81</v>
      </c>
      <c r="O306" s="29" t="s">
        <v>148</v>
      </c>
      <c r="P306" s="26"/>
      <c r="Q306" s="26"/>
      <c r="R306" s="26"/>
      <c r="S306" s="26"/>
      <c r="T306" s="26"/>
      <c r="U306" s="26"/>
      <c r="V306" s="26"/>
      <c r="W306" s="26"/>
      <c r="X306" s="26" t="s">
        <v>34</v>
      </c>
      <c r="Y306" s="60">
        <f t="shared" si="12"/>
        <v>2026</v>
      </c>
      <c r="Z306" s="25">
        <f t="shared" si="13"/>
        <v>5</v>
      </c>
      <c r="AA306" s="60">
        <f t="shared" si="14"/>
        <v>28</v>
      </c>
    </row>
    <row r="307" ht="13.85" hidden="1" spans="1:27">
      <c r="A307" s="26" t="s">
        <v>1176</v>
      </c>
      <c r="B307" s="31" t="s">
        <v>1177</v>
      </c>
      <c r="C307" s="27">
        <v>46185</v>
      </c>
      <c r="D307" s="29" t="s">
        <v>6</v>
      </c>
      <c r="E307" s="29" t="s">
        <v>1178</v>
      </c>
      <c r="F307" s="29" t="s">
        <v>1179</v>
      </c>
      <c r="G307" s="22"/>
      <c r="H307" s="29" t="s">
        <v>1180</v>
      </c>
      <c r="I307" s="26">
        <v>59853.84</v>
      </c>
      <c r="J307" s="26"/>
      <c r="K307" s="29" t="s">
        <v>1181</v>
      </c>
      <c r="L307" s="110" t="s">
        <v>1176</v>
      </c>
      <c r="M307" s="29" t="s">
        <v>12</v>
      </c>
      <c r="N307" s="29" t="s">
        <v>81</v>
      </c>
      <c r="O307" s="29" t="s">
        <v>1182</v>
      </c>
      <c r="P307" s="26"/>
      <c r="Q307" s="26"/>
      <c r="R307" s="26"/>
      <c r="S307" s="26"/>
      <c r="T307" s="26"/>
      <c r="U307" s="26"/>
      <c r="V307" s="26"/>
      <c r="W307" s="26"/>
      <c r="X307" s="59" t="s">
        <v>34</v>
      </c>
      <c r="Y307" s="60">
        <f t="shared" si="12"/>
        <v>2026</v>
      </c>
      <c r="Z307" s="25">
        <f t="shared" si="13"/>
        <v>6</v>
      </c>
      <c r="AA307" s="60">
        <f t="shared" si="14"/>
        <v>12</v>
      </c>
    </row>
  </sheetData>
  <sheetProtection formatCells="0" formatColumns="0" formatRows="0" insertRows="0" insertColumns="0" insertHyperlinks="0" deleteColumns="0" deleteRows="0" sort="0" autoFilter="0" pivotTables="0"/>
  <dataValidations count="1">
    <dataValidation type="list" allowBlank="1" showErrorMessage="1" errorTitle="错误提示" error="请输入下拉列表中的值" sqref="D243 D2:D143 D146:D240 D257:D307" errorStyle="information">
      <formula1>"商务扣款,退货,堆存费,滞期费"</formula1>
    </dataValidation>
  </dataValidations>
  <pageMargins left="0.7" right="0.7" top="0.75" bottom="0.75" header="0.3" footer="0.3"/>
  <pageSetup paperSize="9" orientation="portrait"/>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zoomScale="81" zoomScaleNormal="81" workbookViewId="0">
      <selection activeCell="E7" sqref="E7:F7"/>
    </sheetView>
  </sheetViews>
  <sheetFormatPr defaultColWidth="9" defaultRowHeight="13.5" outlineLevelRow="6" outlineLevelCol="5"/>
  <cols>
    <col min="1" max="6" width="14.6106194690265" customWidth="1"/>
  </cols>
  <sheetData>
    <row r="1" ht="21" customHeight="1" spans="1:6">
      <c r="A1" t="s">
        <v>1183</v>
      </c>
      <c r="B1" s="2" t="s">
        <v>438</v>
      </c>
    </row>
    <row r="2" ht="33" customHeight="1" spans="1:6">
      <c r="A2" s="3" t="s">
        <v>1184</v>
      </c>
      <c r="B2" s="3"/>
      <c r="C2" s="3"/>
      <c r="D2" s="3"/>
      <c r="E2" s="3"/>
      <c r="F2" s="3"/>
    </row>
    <row r="3" ht="42" customHeight="1" spans="1:6">
      <c r="A3" s="4" t="s">
        <v>7</v>
      </c>
      <c r="B3" s="5" t="str">
        <f>VLOOKUP(B1,流程!A:O,12,FALSE)</f>
        <v>JZXYMZSJJM26001</v>
      </c>
      <c r="C3" s="5"/>
      <c r="D3" s="6" t="s">
        <v>54</v>
      </c>
      <c r="E3" s="7" t="str">
        <f>VLOOKUP(B1,流程!A:P,13,FALSE)</f>
        <v>珠三角经营部</v>
      </c>
      <c r="F3" s="7"/>
    </row>
    <row r="4" ht="32.25" customHeight="1" spans="1:6">
      <c r="A4" s="8" t="s">
        <v>46</v>
      </c>
      <c r="B4" s="9" t="str">
        <f>VLOOKUP(B1,流程!A:G,5,FALSE)</f>
        <v>关于开平市绿皇JZXYMZSJJM26001合同商务扣款</v>
      </c>
      <c r="C4" s="9"/>
      <c r="D4" s="9"/>
      <c r="E4" s="9"/>
      <c r="F4" s="9"/>
    </row>
    <row r="5" ht="283" customHeight="1" spans="1:6">
      <c r="A5" s="10" t="str">
        <f>VLOOKUP(B1,流程!A:H,6,FALSE)</f>
        <v>YHSZ-25-121919、开平市绿皇农牧发展有限公司，2026年1月6日签订的《粮食销售合同》（合同编号：JZXYMZSJJM26001）合同数量1030吨，合同单价2450元/吨，结算数量1018.14，其中3柜，总共76.53吨，因工厂仓库收货开柜后发现玉米有霉味的现象，经过协商沟通，进行扣款处理。（1）车号:湘U6955,柜号:XYLU1191171，来货实收重量:21.55吨。（2）车号:湘MJ9132,柜号:XYLU1178631，来货实收重量:27.98吨。（3）车号:湘LD6811,柜号:XYLU1313449，来货实收重量:27吨。合计:76.53*20=1530.6元</v>
      </c>
      <c r="B5" s="11"/>
      <c r="C5" s="11"/>
      <c r="D5" s="11"/>
      <c r="E5" s="11"/>
      <c r="F5" s="12"/>
    </row>
    <row r="6" ht="19.1" customHeight="1" spans="1:6">
      <c r="A6" s="13" t="s">
        <v>55</v>
      </c>
      <c r="B6" s="14"/>
      <c r="C6" s="15" t="str">
        <f>VLOOKUP(B1,流程!A:R,15,FALSE)</f>
        <v>汤妮</v>
      </c>
      <c r="D6" s="16"/>
      <c r="E6" s="15" t="str">
        <f>VLOOKUP(B1,流程!A:S,16,FALSE)</f>
        <v>珠三角经营部</v>
      </c>
      <c r="F6" s="16"/>
    </row>
    <row r="7" ht="65" customHeight="1" spans="1:6">
      <c r="A7" s="17"/>
      <c r="B7" s="18"/>
      <c r="C7" s="19"/>
      <c r="D7" s="20"/>
      <c r="E7" s="19"/>
      <c r="F7" s="20"/>
    </row>
  </sheetData>
  <sheetProtection formatCells="0" formatColumns="0" formatRows="0" insertRows="0" insertColumns="0" insertHyperlinks="0" deleteColumns="0" deleteRows="0" sort="0" autoFilter="0" pivotTables="0"/>
  <mergeCells count="11">
    <mergeCell ref="A2:F2"/>
    <mergeCell ref="B3:C3"/>
    <mergeCell ref="E3:F3"/>
    <mergeCell ref="B4:F4"/>
    <mergeCell ref="A5:F5"/>
    <mergeCell ref="A6:B6"/>
    <mergeCell ref="C6:D6"/>
    <mergeCell ref="E6:F6"/>
    <mergeCell ref="A7:B7"/>
    <mergeCell ref="C7:D7"/>
    <mergeCell ref="E7:F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11"/>
  <sheetViews>
    <sheetView topLeftCell="A2" workbookViewId="0">
      <selection activeCell="C16" sqref="C16"/>
    </sheetView>
  </sheetViews>
  <sheetFormatPr defaultColWidth="9.02654867256637" defaultRowHeight="13.5"/>
  <sheetData>
    <row r="2" s="1" customFormat="1" spans="1:1">
      <c r="A2" s="1" t="s">
        <v>49</v>
      </c>
    </row>
    <row r="3" spans="1:1">
      <c r="A3" t="s">
        <v>67</v>
      </c>
    </row>
    <row r="4" spans="1:1">
      <c r="A4" t="s">
        <v>1185</v>
      </c>
    </row>
    <row r="5" spans="1:1">
      <c r="A5" t="s">
        <v>1186</v>
      </c>
    </row>
    <row r="6" spans="1:1">
      <c r="A6" t="s">
        <v>1187</v>
      </c>
    </row>
    <row r="7" spans="1:1">
      <c r="A7" t="s">
        <v>1188</v>
      </c>
    </row>
    <row r="8" spans="1:1">
      <c r="A8" t="s">
        <v>1189</v>
      </c>
    </row>
    <row r="9" spans="1:1">
      <c r="A9" t="s">
        <v>122</v>
      </c>
    </row>
    <row r="10" spans="1:1">
      <c r="A10" t="s">
        <v>75</v>
      </c>
    </row>
    <row r="11" spans="1:1">
      <c r="A11" t="s">
        <v>236</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���S�SR�:S�W+9�(u{|�W+�eg��Y5g29�e�v�y�^FU�Rcb>k�	�
</file>

<file path=customXml/item2.xml>��h�sQ�NTT�Scb>k�v��:ysQ�NTT�Scb>k�v��:ysQ�NTT�Scb>k�v��:ysQ�NTT�Scb>k�v��:ysQ�NTT�Scb>k�v��:ysQ�NTT�Scb>k�v��:ysQ�NTT�Scb>k�v��:ysQ�NTT�~�{�fsQ�N�|�TTT�ss|Bg(���hcb>ksQ�N�|�TTT�ss|Bg(���hcb>k�s	N҉�~%��h��O�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4</vt:i4>
      </vt:variant>
    </vt:vector>
  </HeadingPairs>
  <TitlesOfParts>
    <vt:vector size="4" baseType="lpstr">
      <vt:lpstr>Sheet1</vt:lpstr>
      <vt:lpstr>流程</vt:lpstr>
      <vt:lpstr>联系单模版</vt:lpstr>
      <vt:lpstr>字段列表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蔡梅梅</dc:creator>
  <cp:lastModifiedBy>蔡土梅_caitumei</cp:lastModifiedBy>
  <dcterms:created xsi:type="dcterms:W3CDTF">2023-07-13T19:15:00Z</dcterms:created>
  <dcterms:modified xsi:type="dcterms:W3CDTF">2026-06-18T06:51:16Z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BCC4039DDBE44B45AFEC1EC0F4A5236D_12</vt:lpwstr>
  </property>
  <property fmtid="{D5CDD505-2E9C-101B-9397-08002B2CF9AE}" pid="4" name="CalculationRule">
    <vt:i4>0</vt:i4>
  </property>
</Properties>
</file>