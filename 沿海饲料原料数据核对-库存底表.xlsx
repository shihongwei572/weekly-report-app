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资料\运营\运营周报\底表\"/>
    </mc:Choice>
  </mc:AlternateContent>
  <xr:revisionPtr revIDLastSave="0" documentId="13_ncr:1_{107DC866-DF33-423C-8943-07ADA293A0FC}" xr6:coauthVersionLast="47" xr6:coauthVersionMax="47" xr10:uidLastSave="{00000000-0000-0000-0000-000000000000}"/>
  <bookViews>
    <workbookView xWindow="-98" yWindow="-98" windowWidth="21795" windowHeight="13875" firstSheet="1" activeTab="3" xr2:uid="{00000000-000D-0000-FFFF-FFFF00000000}"/>
  </bookViews>
  <sheets>
    <sheet name="我司港存-旧" sheetId="3" state="hidden" r:id="rId1"/>
    <sheet name="透视" sheetId="8" r:id="rId2"/>
    <sheet name="分析" sheetId="9" r:id="rId3"/>
    <sheet name="周报数据" sheetId="7" r:id="rId4"/>
    <sheet name="海南社会量调整" sheetId="5" state="hidden" r:id="rId5"/>
  </sheets>
  <calcPr calcId="191029" calcMode="manual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7" l="1"/>
  <c r="C11" i="7"/>
  <c r="G11" i="7"/>
  <c r="F33" i="9"/>
  <c r="W153" i="8"/>
  <c r="X153" i="8" s="1"/>
  <c r="D32" i="9"/>
  <c r="E32" i="9"/>
  <c r="F32" i="9"/>
  <c r="G32" i="9"/>
  <c r="W152" i="8"/>
  <c r="X152" i="8" s="1"/>
  <c r="W151" i="8"/>
  <c r="X151" i="8" s="1"/>
  <c r="F31" i="9"/>
  <c r="W150" i="8"/>
  <c r="X150" i="8" s="1"/>
  <c r="Q27" i="9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I58" i="5"/>
  <c r="H58" i="5"/>
  <c r="E58" i="5"/>
  <c r="D58" i="5"/>
  <c r="C58" i="5"/>
  <c r="I57" i="5"/>
  <c r="E57" i="5"/>
  <c r="D57" i="5"/>
  <c r="C57" i="5"/>
  <c r="I56" i="5"/>
  <c r="E56" i="5"/>
  <c r="D56" i="5"/>
  <c r="C56" i="5"/>
  <c r="I55" i="5"/>
  <c r="E55" i="5"/>
  <c r="D55" i="5"/>
  <c r="C55" i="5"/>
  <c r="I54" i="5"/>
  <c r="E54" i="5"/>
  <c r="D54" i="5"/>
  <c r="C54" i="5"/>
  <c r="I53" i="5"/>
  <c r="E53" i="5"/>
  <c r="D53" i="5"/>
  <c r="C53" i="5"/>
  <c r="I52" i="5"/>
  <c r="E52" i="5"/>
  <c r="D52" i="5"/>
  <c r="C52" i="5"/>
  <c r="I51" i="5"/>
  <c r="E51" i="5"/>
  <c r="D51" i="5"/>
  <c r="C51" i="5"/>
  <c r="I50" i="5"/>
  <c r="E50" i="5"/>
  <c r="D50" i="5"/>
  <c r="C50" i="5"/>
  <c r="I49" i="5"/>
  <c r="E49" i="5"/>
  <c r="D49" i="5"/>
  <c r="C49" i="5"/>
  <c r="E48" i="5"/>
  <c r="D48" i="5"/>
  <c r="C48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G17" i="7"/>
  <c r="E17" i="7"/>
  <c r="G16" i="7"/>
  <c r="E16" i="7"/>
  <c r="C16" i="7"/>
  <c r="G15" i="7"/>
  <c r="E15" i="7"/>
  <c r="C15" i="7"/>
  <c r="G14" i="7"/>
  <c r="E14" i="7"/>
  <c r="C14" i="7"/>
  <c r="G13" i="7"/>
  <c r="E13" i="7"/>
  <c r="C13" i="7"/>
  <c r="G12" i="7"/>
  <c r="E12" i="7"/>
  <c r="C12" i="7"/>
  <c r="E11" i="7"/>
  <c r="C55" i="9"/>
  <c r="B55" i="9"/>
  <c r="H54" i="9"/>
  <c r="F54" i="9"/>
  <c r="H53" i="9"/>
  <c r="H52" i="9"/>
  <c r="H51" i="9"/>
  <c r="D51" i="9"/>
  <c r="E50" i="9"/>
  <c r="E49" i="9"/>
  <c r="E48" i="9"/>
  <c r="E47" i="9"/>
  <c r="E46" i="9"/>
  <c r="E45" i="9"/>
  <c r="E44" i="9"/>
  <c r="E43" i="9"/>
  <c r="E42" i="9"/>
  <c r="E38" i="9"/>
  <c r="D38" i="9" s="1"/>
  <c r="E37" i="9"/>
  <c r="D37" i="9" s="1"/>
  <c r="E36" i="9"/>
  <c r="D36" i="9" s="1"/>
  <c r="E35" i="9"/>
  <c r="D35" i="9"/>
  <c r="G34" i="9"/>
  <c r="F34" i="9"/>
  <c r="E34" i="9"/>
  <c r="D34" i="9" s="1"/>
  <c r="G33" i="9"/>
  <c r="E33" i="9"/>
  <c r="D33" i="9" s="1"/>
  <c r="G31" i="9"/>
  <c r="R27" i="9"/>
  <c r="V171" i="8"/>
  <c r="U171" i="8"/>
  <c r="T171" i="8"/>
  <c r="V170" i="8"/>
  <c r="U170" i="8"/>
  <c r="T170" i="8"/>
  <c r="AK169" i="8"/>
  <c r="AJ169" i="8"/>
  <c r="AI169" i="8"/>
  <c r="V169" i="8"/>
  <c r="U169" i="8"/>
  <c r="T169" i="8"/>
  <c r="AK168" i="8"/>
  <c r="AJ168" i="8"/>
  <c r="AI168" i="8"/>
  <c r="V168" i="8"/>
  <c r="U168" i="8"/>
  <c r="T168" i="8"/>
  <c r="AK167" i="8"/>
  <c r="AJ167" i="8"/>
  <c r="AI167" i="8"/>
  <c r="V167" i="8"/>
  <c r="U167" i="8"/>
  <c r="T167" i="8"/>
  <c r="AK166" i="8"/>
  <c r="AJ166" i="8"/>
  <c r="AI166" i="8"/>
  <c r="V166" i="8"/>
  <c r="U166" i="8"/>
  <c r="T166" i="8"/>
  <c r="AK165" i="8"/>
  <c r="AJ165" i="8"/>
  <c r="AI165" i="8"/>
  <c r="V165" i="8"/>
  <c r="U165" i="8"/>
  <c r="T165" i="8"/>
  <c r="AK164" i="8"/>
  <c r="AJ164" i="8"/>
  <c r="AI164" i="8"/>
  <c r="V164" i="8"/>
  <c r="U164" i="8"/>
  <c r="T164" i="8"/>
  <c r="AK163" i="8"/>
  <c r="AJ163" i="8"/>
  <c r="AI163" i="8"/>
  <c r="V163" i="8"/>
  <c r="U163" i="8"/>
  <c r="T163" i="8"/>
  <c r="AK162" i="8"/>
  <c r="AJ162" i="8"/>
  <c r="AI162" i="8"/>
  <c r="V162" i="8"/>
  <c r="U162" i="8"/>
  <c r="T162" i="8"/>
  <c r="AK161" i="8"/>
  <c r="AJ161" i="8"/>
  <c r="AI161" i="8"/>
  <c r="V161" i="8"/>
  <c r="U161" i="8"/>
  <c r="T161" i="8"/>
  <c r="AK160" i="8"/>
  <c r="AJ160" i="8"/>
  <c r="AI160" i="8"/>
  <c r="V160" i="8"/>
  <c r="U160" i="8"/>
  <c r="T160" i="8"/>
  <c r="AK159" i="8"/>
  <c r="AJ159" i="8"/>
  <c r="AI159" i="8"/>
  <c r="V159" i="8"/>
  <c r="U159" i="8"/>
  <c r="T159" i="8"/>
  <c r="AK158" i="8"/>
  <c r="AJ158" i="8"/>
  <c r="AI158" i="8"/>
  <c r="V158" i="8"/>
  <c r="U158" i="8"/>
  <c r="T158" i="8"/>
  <c r="AK157" i="8"/>
  <c r="AJ157" i="8"/>
  <c r="AI157" i="8"/>
  <c r="V157" i="8"/>
  <c r="U157" i="8"/>
  <c r="T157" i="8"/>
  <c r="AK156" i="8"/>
  <c r="AJ156" i="8"/>
  <c r="AI156" i="8"/>
  <c r="V156" i="8"/>
  <c r="U156" i="8"/>
  <c r="T156" i="8"/>
  <c r="AK155" i="8"/>
  <c r="AJ155" i="8"/>
  <c r="AI155" i="8"/>
  <c r="V155" i="8"/>
  <c r="U155" i="8"/>
  <c r="T155" i="8"/>
  <c r="AK154" i="8"/>
  <c r="AJ154" i="8"/>
  <c r="AI154" i="8"/>
  <c r="V154" i="8"/>
  <c r="U154" i="8"/>
  <c r="T154" i="8"/>
  <c r="AK153" i="8"/>
  <c r="AJ153" i="8"/>
  <c r="AI153" i="8"/>
  <c r="V153" i="8"/>
  <c r="U153" i="8"/>
  <c r="T153" i="8"/>
  <c r="AK152" i="8"/>
  <c r="AJ152" i="8"/>
  <c r="AI152" i="8"/>
  <c r="V152" i="8"/>
  <c r="U152" i="8"/>
  <c r="T152" i="8"/>
  <c r="AK151" i="8"/>
  <c r="AJ151" i="8"/>
  <c r="AI151" i="8"/>
  <c r="V151" i="8"/>
  <c r="U151" i="8"/>
  <c r="T151" i="8"/>
  <c r="AK150" i="8"/>
  <c r="AJ150" i="8"/>
  <c r="AI150" i="8"/>
  <c r="V150" i="8"/>
  <c r="U150" i="8"/>
  <c r="T150" i="8"/>
  <c r="AK149" i="8"/>
  <c r="AJ149" i="8"/>
  <c r="AI149" i="8"/>
  <c r="X149" i="8"/>
  <c r="W149" i="8"/>
  <c r="V149" i="8"/>
  <c r="U149" i="8"/>
  <c r="T149" i="8"/>
  <c r="AK148" i="8"/>
  <c r="AJ148" i="8"/>
  <c r="AI148" i="8"/>
  <c r="X148" i="8"/>
  <c r="W148" i="8"/>
  <c r="V148" i="8"/>
  <c r="U148" i="8"/>
  <c r="T148" i="8"/>
  <c r="AK147" i="8"/>
  <c r="AJ147" i="8"/>
  <c r="AI147" i="8"/>
  <c r="X147" i="8"/>
  <c r="W147" i="8"/>
  <c r="V147" i="8"/>
  <c r="U147" i="8"/>
  <c r="T147" i="8"/>
  <c r="AK146" i="8"/>
  <c r="AJ146" i="8"/>
  <c r="AI146" i="8"/>
  <c r="X146" i="8"/>
  <c r="W146" i="8"/>
  <c r="V146" i="8"/>
  <c r="U146" i="8"/>
  <c r="T146" i="8"/>
  <c r="AK145" i="8"/>
  <c r="AJ145" i="8"/>
  <c r="AI145" i="8"/>
  <c r="X145" i="8"/>
  <c r="W145" i="8"/>
  <c r="V145" i="8"/>
  <c r="U145" i="8"/>
  <c r="T145" i="8"/>
  <c r="AK144" i="8"/>
  <c r="AJ144" i="8"/>
  <c r="AI144" i="8"/>
  <c r="X144" i="8"/>
  <c r="W144" i="8"/>
  <c r="V144" i="8"/>
  <c r="U144" i="8"/>
  <c r="T144" i="8"/>
  <c r="AK143" i="8"/>
  <c r="AJ143" i="8"/>
  <c r="AI143" i="8"/>
  <c r="X143" i="8"/>
  <c r="W143" i="8"/>
  <c r="V143" i="8"/>
  <c r="U143" i="8"/>
  <c r="T143" i="8"/>
  <c r="AK142" i="8"/>
  <c r="AJ142" i="8"/>
  <c r="AI142" i="8"/>
  <c r="X142" i="8"/>
  <c r="W142" i="8"/>
  <c r="V142" i="8"/>
  <c r="U142" i="8"/>
  <c r="T142" i="8"/>
  <c r="AK141" i="8"/>
  <c r="AJ141" i="8"/>
  <c r="AI141" i="8"/>
  <c r="X141" i="8"/>
  <c r="W141" i="8"/>
  <c r="V141" i="8"/>
  <c r="U141" i="8"/>
  <c r="T141" i="8"/>
  <c r="AK140" i="8"/>
  <c r="AJ140" i="8"/>
  <c r="AI140" i="8"/>
  <c r="X140" i="8"/>
  <c r="W140" i="8"/>
  <c r="V140" i="8"/>
  <c r="U140" i="8"/>
  <c r="T140" i="8"/>
  <c r="AK139" i="8"/>
  <c r="AJ139" i="8"/>
  <c r="AI139" i="8"/>
  <c r="X139" i="8"/>
  <c r="W139" i="8"/>
  <c r="V139" i="8"/>
  <c r="U139" i="8"/>
  <c r="T139" i="8"/>
  <c r="AK138" i="8"/>
  <c r="AJ138" i="8"/>
  <c r="AI138" i="8"/>
  <c r="X138" i="8"/>
  <c r="W138" i="8"/>
  <c r="V138" i="8"/>
  <c r="U138" i="8"/>
  <c r="T138" i="8"/>
  <c r="AK137" i="8"/>
  <c r="AJ137" i="8"/>
  <c r="AI137" i="8"/>
  <c r="X137" i="8"/>
  <c r="W137" i="8"/>
  <c r="V137" i="8"/>
  <c r="U137" i="8"/>
  <c r="T137" i="8"/>
  <c r="AK136" i="8"/>
  <c r="AJ136" i="8"/>
  <c r="AI136" i="8"/>
  <c r="X136" i="8"/>
  <c r="W136" i="8"/>
  <c r="V136" i="8"/>
  <c r="U136" i="8"/>
  <c r="T136" i="8"/>
  <c r="AK135" i="8"/>
  <c r="AJ135" i="8"/>
  <c r="AI135" i="8"/>
  <c r="X135" i="8"/>
  <c r="W135" i="8"/>
  <c r="V135" i="8"/>
  <c r="U135" i="8"/>
  <c r="T135" i="8"/>
  <c r="AK134" i="8"/>
  <c r="AJ134" i="8"/>
  <c r="AI134" i="8"/>
  <c r="X134" i="8"/>
  <c r="W134" i="8"/>
  <c r="V134" i="8"/>
  <c r="U134" i="8"/>
  <c r="T134" i="8"/>
  <c r="AK133" i="8"/>
  <c r="AJ133" i="8"/>
  <c r="AI133" i="8"/>
  <c r="X133" i="8"/>
  <c r="W133" i="8"/>
  <c r="V133" i="8"/>
  <c r="U133" i="8"/>
  <c r="T133" i="8"/>
  <c r="AL132" i="8"/>
  <c r="AK132" i="8"/>
  <c r="AJ132" i="8"/>
  <c r="AI132" i="8"/>
  <c r="X132" i="8"/>
  <c r="W132" i="8"/>
  <c r="V132" i="8"/>
  <c r="U132" i="8"/>
  <c r="T132" i="8"/>
  <c r="AL131" i="8"/>
  <c r="AK131" i="8"/>
  <c r="AJ131" i="8"/>
  <c r="AI131" i="8"/>
  <c r="X131" i="8"/>
  <c r="W131" i="8"/>
  <c r="V131" i="8"/>
  <c r="U131" i="8"/>
  <c r="T131" i="8"/>
  <c r="AL130" i="8"/>
  <c r="AK130" i="8"/>
  <c r="AJ130" i="8"/>
  <c r="AI130" i="8"/>
  <c r="X130" i="8"/>
  <c r="W130" i="8"/>
  <c r="V130" i="8"/>
  <c r="U130" i="8"/>
  <c r="T130" i="8"/>
  <c r="AL129" i="8"/>
  <c r="AK129" i="8"/>
  <c r="AJ129" i="8"/>
  <c r="AI129" i="8"/>
  <c r="X129" i="8"/>
  <c r="W129" i="8"/>
  <c r="V129" i="8"/>
  <c r="U129" i="8"/>
  <c r="T129" i="8"/>
  <c r="AL128" i="8"/>
  <c r="AK128" i="8"/>
  <c r="AJ128" i="8"/>
  <c r="AI128" i="8"/>
  <c r="X128" i="8"/>
  <c r="W128" i="8"/>
  <c r="V128" i="8"/>
  <c r="U128" i="8"/>
  <c r="T128" i="8"/>
  <c r="AL127" i="8"/>
  <c r="AK127" i="8"/>
  <c r="AJ127" i="8"/>
  <c r="AI127" i="8"/>
  <c r="X127" i="8"/>
  <c r="W127" i="8"/>
  <c r="V127" i="8"/>
  <c r="U127" i="8"/>
  <c r="T127" i="8"/>
  <c r="AL126" i="8"/>
  <c r="AK126" i="8"/>
  <c r="AJ126" i="8"/>
  <c r="AI126" i="8"/>
  <c r="X126" i="8"/>
  <c r="W126" i="8"/>
  <c r="V126" i="8"/>
  <c r="U126" i="8"/>
  <c r="T126" i="8"/>
  <c r="AL125" i="8"/>
  <c r="AK125" i="8"/>
  <c r="AJ125" i="8"/>
  <c r="AI125" i="8"/>
  <c r="X125" i="8"/>
  <c r="W125" i="8"/>
  <c r="V125" i="8"/>
  <c r="U125" i="8"/>
  <c r="T125" i="8"/>
  <c r="AL124" i="8"/>
  <c r="AK124" i="8"/>
  <c r="AJ124" i="8"/>
  <c r="AI124" i="8"/>
  <c r="X124" i="8"/>
  <c r="W124" i="8"/>
  <c r="V124" i="8"/>
  <c r="U124" i="8"/>
  <c r="T124" i="8"/>
  <c r="AL123" i="8"/>
  <c r="AK123" i="8"/>
  <c r="AJ123" i="8"/>
  <c r="AI123" i="8"/>
  <c r="X123" i="8"/>
  <c r="W123" i="8"/>
  <c r="V123" i="8"/>
  <c r="U123" i="8"/>
  <c r="T123" i="8"/>
  <c r="AL122" i="8"/>
  <c r="AK122" i="8"/>
  <c r="AJ122" i="8"/>
  <c r="AI122" i="8"/>
  <c r="X122" i="8"/>
  <c r="W122" i="8"/>
  <c r="V122" i="8"/>
  <c r="U122" i="8"/>
  <c r="T122" i="8"/>
  <c r="AL121" i="8"/>
  <c r="AK121" i="8"/>
  <c r="AJ121" i="8"/>
  <c r="AI121" i="8"/>
  <c r="X121" i="8"/>
  <c r="W121" i="8"/>
  <c r="V121" i="8"/>
  <c r="U121" i="8"/>
  <c r="T121" i="8"/>
  <c r="AL120" i="8"/>
  <c r="AK120" i="8"/>
  <c r="AJ120" i="8"/>
  <c r="AI120" i="8"/>
  <c r="X120" i="8"/>
  <c r="W120" i="8"/>
  <c r="V120" i="8"/>
  <c r="U120" i="8"/>
  <c r="T120" i="8"/>
  <c r="AL119" i="8"/>
  <c r="AK119" i="8"/>
  <c r="AJ119" i="8"/>
  <c r="AI119" i="8"/>
  <c r="X119" i="8"/>
  <c r="W119" i="8"/>
  <c r="V119" i="8"/>
  <c r="U119" i="8"/>
  <c r="T119" i="8"/>
  <c r="C22" i="8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E51" i="9" l="1"/>
  <c r="D52" i="9"/>
  <c r="E52" i="9" l="1"/>
  <c r="D53" i="9"/>
  <c r="E53" i="9" l="1"/>
  <c r="D54" i="9"/>
  <c r="D55" i="9" l="1"/>
  <c r="E55" i="9" s="1"/>
  <c r="E54" i="9"/>
</calcChain>
</file>

<file path=xl/sharedStrings.xml><?xml version="1.0" encoding="utf-8"?>
<sst xmlns="http://schemas.openxmlformats.org/spreadsheetml/2006/main" count="247" uniqueCount="130">
  <si>
    <t>日期</t>
  </si>
  <si>
    <t>海南内贸玉米</t>
  </si>
  <si>
    <t>周</t>
  </si>
  <si>
    <t>22-23产季</t>
  </si>
  <si>
    <t>23-24产季</t>
  </si>
  <si>
    <t>24-25产季</t>
  </si>
  <si>
    <t>沿海国产玉米</t>
  </si>
  <si>
    <t>沿海进口玉米</t>
  </si>
  <si>
    <t>沿海进口大麦</t>
  </si>
  <si>
    <t>沿海进口高粱</t>
  </si>
  <si>
    <t>沿海糙米</t>
  </si>
  <si>
    <t>沿海我司合计</t>
  </si>
  <si>
    <t>与社会港存对应日期</t>
  </si>
  <si>
    <t>22/23产季</t>
  </si>
  <si>
    <t>23/24产季</t>
  </si>
  <si>
    <t>24/25产季</t>
  </si>
  <si>
    <t>季度(与社会港存对应日期)</t>
  </si>
  <si>
    <t>(全部)</t>
  </si>
  <si>
    <t>求和项:我司合计内贸玉米</t>
  </si>
  <si>
    <t>列标签</t>
  </si>
  <si>
    <t>行标签</t>
  </si>
  <si>
    <t>2024年</t>
  </si>
  <si>
    <t>2025年</t>
  </si>
  <si>
    <t>总计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</si>
  <si>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</si>
  <si>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</si>
  <si>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</si>
  <si>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</si>
  <si>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</si>
  <si>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</si>
  <si>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</si>
  <si>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</si>
  <si>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</si>
  <si>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</si>
  <si>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</si>
  <si>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</si>
  <si>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年(与社会港存对应日期)</t>
  </si>
  <si>
    <t>(多项)</t>
  </si>
  <si>
    <t>求和项:珠三角内贸玉米</t>
  </si>
  <si>
    <t>求和项:粤西内贸玉米</t>
  </si>
  <si>
    <t>求和项:钦州内贸玉米</t>
  </si>
  <si>
    <t>求和项:福建内贸玉米</t>
  </si>
  <si>
    <t>求和项:海南内贸玉米</t>
  </si>
  <si>
    <t>社会走货</t>
  </si>
  <si>
    <t>求和项:社会合计内贸玉米</t>
  </si>
  <si>
    <t>(空白)</t>
  </si>
  <si>
    <t>社会库存</t>
  </si>
  <si>
    <t>年(日期)</t>
  </si>
  <si>
    <t>季度(日期)</t>
  </si>
  <si>
    <t>月(日期)</t>
  </si>
  <si>
    <t>库存</t>
  </si>
  <si>
    <t>走货</t>
  </si>
  <si>
    <t>天数</t>
  </si>
  <si>
    <t>沿海社会数据</t>
  </si>
  <si>
    <t>沿海我司数据</t>
  </si>
  <si>
    <t>沿海能量港存</t>
  </si>
  <si>
    <t>沿海内贸玉米港存</t>
  </si>
  <si>
    <t>沿海能量走货</t>
  </si>
  <si>
    <t>沿海内贸玉米走货</t>
  </si>
  <si>
    <t>沿海能量到货</t>
  </si>
  <si>
    <t>沿海内贸玉米到货</t>
  </si>
  <si>
    <t>环比</t>
  </si>
  <si>
    <t>同比</t>
  </si>
  <si>
    <t>港口</t>
  </si>
  <si>
    <t>近一周走货</t>
  </si>
  <si>
    <t>预计当前库存可用天数</t>
  </si>
  <si>
    <t>珠三角</t>
  </si>
  <si>
    <t>粤西</t>
  </si>
  <si>
    <t>钦州</t>
  </si>
  <si>
    <t>防城港</t>
  </si>
  <si>
    <t>福建</t>
  </si>
  <si>
    <t>海南</t>
  </si>
  <si>
    <t>合计</t>
  </si>
  <si>
    <t>内贸玉米提货</t>
  </si>
  <si>
    <t>内贸玉米港存预计水平</t>
  </si>
  <si>
    <t>内贸玉米到货</t>
  </si>
  <si>
    <t>内贸玉米港存</t>
  </si>
  <si>
    <t>内贸玉米提货库存比（天）</t>
  </si>
  <si>
    <t>社会能量可用天数</t>
  </si>
  <si>
    <t>我司能量可用天数</t>
  </si>
  <si>
    <t>社会内贸玉米可用天数</t>
  </si>
  <si>
    <t>我司内贸玉米可用天数</t>
  </si>
  <si>
    <t>均值</t>
  </si>
  <si>
    <t>注：调整海南社会走货量，社会港存不进行调整。</t>
  </si>
  <si>
    <t>港存</t>
  </si>
  <si>
    <t>散粮比例</t>
  </si>
  <si>
    <t>散粮</t>
  </si>
  <si>
    <t>峰值</t>
  </si>
  <si>
    <t>2-2.5</t>
  </si>
  <si>
    <t>散粮比例=1-本周散粮走货量/本周内贸玉米走货量</t>
  </si>
  <si>
    <t>走货量</t>
  </si>
  <si>
    <t>周度比例</t>
  </si>
  <si>
    <t>集装箱</t>
  </si>
  <si>
    <t>海南集装箱</t>
  </si>
  <si>
    <t>海南总量</t>
  </si>
  <si>
    <t>周度比例=本周走货量/本月走货量</t>
  </si>
  <si>
    <t>25/26产季</t>
  </si>
  <si>
    <t>25/26产季</t>
    <phoneticPr fontId="11" type="noConversion"/>
  </si>
  <si>
    <t>内贸玉米</t>
    <phoneticPr fontId="11" type="noConversion"/>
  </si>
  <si>
    <t>饲料原料</t>
    <phoneticPr fontId="11" type="noConversion"/>
  </si>
  <si>
    <t>2025年</t>
    <phoneticPr fontId="11" type="noConversion"/>
  </si>
  <si>
    <t>社会散粮港存</t>
    <phoneticPr fontId="11" type="noConversion"/>
  </si>
  <si>
    <t>我司散粮港存</t>
    <phoneticPr fontId="11" type="noConversion"/>
  </si>
  <si>
    <t>社会散粮走货</t>
    <phoneticPr fontId="11" type="noConversion"/>
  </si>
  <si>
    <t>我司散粮走货</t>
    <phoneticPr fontId="11" type="noConversion"/>
  </si>
  <si>
    <t>社会散粮到货</t>
    <phoneticPr fontId="11" type="noConversion"/>
  </si>
  <si>
    <t>我司散粮到货</t>
    <phoneticPr fontId="11" type="noConversion"/>
  </si>
  <si>
    <t>合计</t>
    <phoneticPr fontId="11" type="noConversion"/>
  </si>
  <si>
    <t>珠三角</t>
    <phoneticPr fontId="11" type="noConversion"/>
  </si>
  <si>
    <t>粤西</t>
    <phoneticPr fontId="11" type="noConversion"/>
  </si>
  <si>
    <t>钦州</t>
    <phoneticPr fontId="11" type="noConversion"/>
  </si>
  <si>
    <t>防城港</t>
    <phoneticPr fontId="11" type="noConversion"/>
  </si>
  <si>
    <t>福建</t>
    <phoneticPr fontId="11" type="noConversion"/>
  </si>
  <si>
    <t>海南</t>
    <phoneticPr fontId="11" type="noConversion"/>
  </si>
  <si>
    <t>大区合计</t>
    <phoneticPr fontId="11" type="noConversion"/>
  </si>
  <si>
    <t>整体散粮</t>
    <phoneticPr fontId="11" type="noConversion"/>
  </si>
  <si>
    <t>港存</t>
    <phoneticPr fontId="11" type="noConversion"/>
  </si>
  <si>
    <t>港口</t>
    <phoneticPr fontId="11" type="noConversion"/>
  </si>
  <si>
    <t>预计可用天数</t>
    <phoneticPr fontId="11" type="noConversion"/>
  </si>
  <si>
    <t>近一周走货</t>
    <phoneticPr fontId="11" type="noConversion"/>
  </si>
  <si>
    <t>（注：条形图主要展示我司港存、走货、到货在社会中的占比情况。）</t>
  </si>
  <si>
    <t>大区合计</t>
  </si>
  <si>
    <t>区域</t>
    <phoneticPr fontId="11" type="noConversion"/>
  </si>
  <si>
    <t>2026/6/19-预计</t>
    <phoneticPr fontId="11" type="noConversion"/>
  </si>
  <si>
    <t>2026/6/26-预计</t>
    <phoneticPr fontId="11" type="noConversion"/>
  </si>
  <si>
    <t>2026/7/3-预计</t>
    <phoneticPr fontId="11" type="noConversion"/>
  </si>
  <si>
    <t>2026/7/10-预计</t>
    <phoneticPr fontId="11" type="noConversion"/>
  </si>
  <si>
    <t>我司库存占比</t>
    <phoneticPr fontId="11" type="noConversion"/>
  </si>
  <si>
    <t>我司走货占比</t>
    <phoneticPr fontId="11" type="noConversion"/>
  </si>
  <si>
    <t>我司到货占比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</si>
</sst>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yyyy/m/d;@"/>
    <numFmt numFmtId="178" formatCode="0.00_);[Red]\(0.00\)"/>
    <numFmt numFmtId="179" formatCode="0_);[Red]\(0\)"/>
    <numFmt numFmtId="180" formatCode="0.00_ ;[Red]\-0.00\ "/>
  </numFmts>
  <fonts count="16" x14ac:knownFonts="1">
    <font>
      <sz val="11"/>
      <color theme="1"/>
      <name val="等线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7030A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57884456923126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medium">
        <color auto="1"/>
      </left>
      <right/>
      <top style="thin">
        <color theme="4" tint="0.39997558519241921"/>
      </top>
      <bottom style="medium">
        <color auto="1"/>
      </bottom>
      <diagonal/>
    </border>
    <border>
      <left/>
      <right/>
      <top style="thin">
        <color theme="4" tint="0.39997558519241921"/>
      </top>
      <bottom style="medium">
        <color auto="1"/>
      </bottom>
      <diagonal/>
    </border>
    <border>
      <left/>
      <right style="medium">
        <color auto="1"/>
      </right>
      <top style="thin">
        <color theme="4" tint="0.3999755851924192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>
      <alignment vertical="center"/>
    </xf>
  </cellStyleXfs>
  <cellXfs count="90">
    <xf numFmtId="0" fontId="0" fillId="0" borderId="0" xfId="0"/>
    <xf numFmtId="176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1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14" fontId="5" fillId="4" borderId="10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178" fontId="0" fillId="0" borderId="0" xfId="0" applyNumberFormat="1"/>
    <xf numFmtId="3" fontId="7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right" vertical="center"/>
    </xf>
    <xf numFmtId="178" fontId="6" fillId="6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14" fontId="5" fillId="6" borderId="1" xfId="0" applyNumberFormat="1" applyFont="1" applyFill="1" applyBorder="1" applyAlignment="1">
      <alignment horizontal="right"/>
    </xf>
    <xf numFmtId="178" fontId="5" fillId="6" borderId="1" xfId="0" applyNumberFormat="1" applyFont="1" applyFill="1" applyBorder="1"/>
    <xf numFmtId="14" fontId="8" fillId="7" borderId="10" xfId="0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178" fontId="9" fillId="0" borderId="0" xfId="0" applyNumberFormat="1" applyFont="1"/>
    <xf numFmtId="0" fontId="9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14" fontId="0" fillId="0" borderId="0" xfId="0" applyNumberFormat="1" applyAlignment="1">
      <alignment horizontal="center"/>
    </xf>
    <xf numFmtId="14" fontId="2" fillId="0" borderId="10" xfId="0" applyNumberFormat="1" applyFont="1" applyBorder="1" applyAlignment="1">
      <alignment vertical="center"/>
    </xf>
    <xf numFmtId="3" fontId="10" fillId="8" borderId="10" xfId="0" applyNumberFormat="1" applyFont="1" applyFill="1" applyBorder="1"/>
    <xf numFmtId="14" fontId="0" fillId="0" borderId="1" xfId="0" applyNumberFormat="1" applyBorder="1" applyAlignment="1">
      <alignment horizontal="center"/>
    </xf>
    <xf numFmtId="3" fontId="0" fillId="9" borderId="1" xfId="0" applyNumberFormat="1" applyFill="1" applyBorder="1"/>
    <xf numFmtId="3" fontId="0" fillId="9" borderId="12" xfId="0" applyNumberFormat="1" applyFill="1" applyBorder="1"/>
    <xf numFmtId="14" fontId="4" fillId="0" borderId="1" xfId="0" applyNumberFormat="1" applyFont="1" applyBorder="1" applyAlignment="1">
      <alignment horizontal="center"/>
    </xf>
    <xf numFmtId="3" fontId="4" fillId="9" borderId="1" xfId="0" applyNumberFormat="1" applyFont="1" applyFill="1" applyBorder="1"/>
    <xf numFmtId="3" fontId="4" fillId="9" borderId="12" xfId="0" applyNumberFormat="1" applyFont="1" applyFill="1" applyBorder="1"/>
    <xf numFmtId="3" fontId="3" fillId="9" borderId="1" xfId="0" applyNumberFormat="1" applyFont="1" applyFill="1" applyBorder="1"/>
    <xf numFmtId="14" fontId="3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right" vertical="center"/>
    </xf>
    <xf numFmtId="180" fontId="6" fillId="6" borderId="1" xfId="0" applyNumberFormat="1" applyFont="1" applyFill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5" fillId="6" borderId="1" xfId="0" applyNumberFormat="1" applyFont="1" applyFill="1" applyBorder="1"/>
    <xf numFmtId="0" fontId="12" fillId="0" borderId="0" xfId="0" applyFont="1"/>
    <xf numFmtId="178" fontId="12" fillId="0" borderId="0" xfId="0" applyNumberFormat="1" applyFont="1"/>
    <xf numFmtId="14" fontId="8" fillId="4" borderId="13" xfId="0" applyNumberFormat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14" fontId="6" fillId="10" borderId="14" xfId="0" applyNumberFormat="1" applyFont="1" applyFill="1" applyBorder="1" applyAlignment="1">
      <alignment horizontal="center" vertical="center"/>
    </xf>
    <xf numFmtId="178" fontId="6" fillId="10" borderId="15" xfId="0" applyNumberFormat="1" applyFont="1" applyFill="1" applyBorder="1" applyAlignment="1">
      <alignment horizontal="center" vertical="center"/>
    </xf>
    <xf numFmtId="178" fontId="6" fillId="10" borderId="16" xfId="0" applyNumberFormat="1" applyFont="1" applyFill="1" applyBorder="1" applyAlignment="1">
      <alignment horizontal="center" vertical="center"/>
    </xf>
    <xf numFmtId="14" fontId="5" fillId="10" borderId="14" xfId="0" applyNumberFormat="1" applyFont="1" applyFill="1" applyBorder="1" applyAlignment="1">
      <alignment horizontal="center" vertical="center"/>
    </xf>
    <xf numFmtId="178" fontId="5" fillId="10" borderId="15" xfId="0" applyNumberFormat="1" applyFont="1" applyFill="1" applyBorder="1" applyAlignment="1">
      <alignment horizontal="center" vertical="center"/>
    </xf>
    <xf numFmtId="178" fontId="5" fillId="10" borderId="16" xfId="0" applyNumberFormat="1" applyFont="1" applyFill="1" applyBorder="1" applyAlignment="1">
      <alignment horizontal="center" vertical="center"/>
    </xf>
    <xf numFmtId="178" fontId="15" fillId="11" borderId="1" xfId="0" applyNumberFormat="1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 vertical="center"/>
    </xf>
    <xf numFmtId="178" fontId="6" fillId="1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14" fontId="8" fillId="4" borderId="12" xfId="0" applyNumberFormat="1" applyFont="1" applyFill="1" applyBorder="1" applyAlignment="1">
      <alignment horizontal="center" vertical="center"/>
    </xf>
    <xf numFmtId="14" fontId="8" fillId="4" borderId="10" xfId="0" applyNumberFormat="1" applyFont="1" applyFill="1" applyBorder="1" applyAlignment="1">
      <alignment horizontal="center" vertical="center"/>
    </xf>
    <xf numFmtId="14" fontId="8" fillId="4" borderId="11" xfId="0" applyNumberFormat="1" applyFont="1" applyFill="1" applyBorder="1" applyAlignment="1">
      <alignment horizontal="center" vertical="center"/>
    </xf>
    <xf numFmtId="14" fontId="8" fillId="4" borderId="17" xfId="0" applyNumberFormat="1" applyFont="1" applyFill="1" applyBorder="1" applyAlignment="1">
      <alignment horizontal="center" vertical="center"/>
    </xf>
    <xf numFmtId="14" fontId="8" fillId="4" borderId="18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9" fontId="0" fillId="0" borderId="1" xfId="1" applyFont="1" applyBorder="1" applyAlignment="1"/>
  </cellXfs>
  <cellStyles count="2">
    <cellStyle name="百分比" xfId="1" builtinId="5"/>
    <cellStyle name="常规" xfId="0" builtinId="0"/>
  </cellStyles>
  <dxfs count="14"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  <border>
        <left/>
        <right style="medium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9" formatCode="yyyy/m/d"/>
      <alignment horizontal="center" vertical="center"/>
      <border>
        <left style="medium">
          <color auto="1"/>
        </left>
        <right/>
        <top/>
        <bottom/>
      </border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  <border>
        <left/>
        <right style="medium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78" formatCode="0.00_);[Red]\(0.00\)"/>
      <alignment horizontal="center" vertical="center"/>
    </dxf>
    <dxf>
      <font>
        <b val="0"/>
        <i val="0"/>
        <strike val="0"/>
        <u val="none"/>
        <sz val="11"/>
        <color theme="1"/>
        <name val="微软雅黑"/>
        <family val="2"/>
        <charset val="134"/>
        <scheme val="none"/>
      </font>
      <numFmt numFmtId="19" formatCode="yyyy/m/d"/>
      <alignment horizontal="center" vertical="center"/>
      <border>
        <left style="medium">
          <color auto="1"/>
        </left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沿海大区内贸玉米港存可用天数（天）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4120852721852E-2"/>
          <c:y val="0.17566648444100499"/>
          <c:w val="0.86840415581604402"/>
          <c:h val="0.62684396986886803"/>
        </c:manualLayout>
      </c:layout>
      <c:lineChart>
        <c:grouping val="standard"/>
        <c:varyColors val="0"/>
        <c:ser>
          <c:idx val="9"/>
          <c:order val="9"/>
          <c:tx>
            <c:strRef>
              <c:f>透视!$T$118</c:f>
              <c:strCache>
                <c:ptCount val="1"/>
                <c:pt idx="0">
                  <c:v>22/23产季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透视!$T$119:$T$171</c:f>
              <c:numCache>
                <c:formatCode>0.00_);[Red]\(0.00\)</c:formatCode>
                <c:ptCount val="53"/>
                <c:pt idx="0">
                  <c:v>19.25873808443032</c:v>
                </c:pt>
                <c:pt idx="1">
                  <c:v>19.25873808443032</c:v>
                </c:pt>
                <c:pt idx="2">
                  <c:v>21.520540821632864</c:v>
                </c:pt>
                <c:pt idx="3">
                  <c:v>20.651789865178987</c:v>
                </c:pt>
                <c:pt idx="4">
                  <c:v>24.196428571428569</c:v>
                </c:pt>
                <c:pt idx="5">
                  <c:v>22.41386735572782</c:v>
                </c:pt>
                <c:pt idx="6">
                  <c:v>12.67332175925926</c:v>
                </c:pt>
                <c:pt idx="7">
                  <c:v>13.309984152139462</c:v>
                </c:pt>
                <c:pt idx="8">
                  <c:v>8.5063957863054931</c:v>
                </c:pt>
                <c:pt idx="9">
                  <c:v>14.516479400749063</c:v>
                </c:pt>
                <c:pt idx="10">
                  <c:v>16.091044332044035</c:v>
                </c:pt>
                <c:pt idx="11">
                  <c:v>17.292570106967332</c:v>
                </c:pt>
                <c:pt idx="12">
                  <c:v>14.316803081367357</c:v>
                </c:pt>
                <c:pt idx="13">
                  <c:v>12.794664510913501</c:v>
                </c:pt>
                <c:pt idx="14">
                  <c:v>8.1241587375261073</c:v>
                </c:pt>
                <c:pt idx="15">
                  <c:v>40.543999999999997</c:v>
                </c:pt>
                <c:pt idx="16">
                  <c:v>7.3716363636363633</c:v>
                </c:pt>
                <c:pt idx="17">
                  <c:v>14.605187319884724</c:v>
                </c:pt>
                <c:pt idx="18">
                  <c:v>12.129150066401062</c:v>
                </c:pt>
                <c:pt idx="19">
                  <c:v>16.34269048487058</c:v>
                </c:pt>
                <c:pt idx="20">
                  <c:v>15.080185317177479</c:v>
                </c:pt>
                <c:pt idx="21">
                  <c:v>21.427176566314078</c:v>
                </c:pt>
                <c:pt idx="22">
                  <c:v>62.85125</c:v>
                </c:pt>
                <c:pt idx="23">
                  <c:v>25.73087686567164</c:v>
                </c:pt>
                <c:pt idx="24">
                  <c:v>23.685199999999998</c:v>
                </c:pt>
                <c:pt idx="25">
                  <c:v>34.552150537634404</c:v>
                </c:pt>
                <c:pt idx="26">
                  <c:v>27.936394069823052</c:v>
                </c:pt>
                <c:pt idx="27">
                  <c:v>38</c:v>
                </c:pt>
                <c:pt idx="28">
                  <c:v>25.063659359190559</c:v>
                </c:pt>
                <c:pt idx="29">
                  <c:v>56.458500000000001</c:v>
                </c:pt>
                <c:pt idx="30">
                  <c:v>19.301805054151625</c:v>
                </c:pt>
                <c:pt idx="31">
                  <c:v>18.137432795698924</c:v>
                </c:pt>
                <c:pt idx="32">
                  <c:v>11.795392543194907</c:v>
                </c:pt>
                <c:pt idx="33">
                  <c:v>11.027367096571249</c:v>
                </c:pt>
                <c:pt idx="34">
                  <c:v>8.9326792041428185</c:v>
                </c:pt>
                <c:pt idx="35">
                  <c:v>11.196382428940568</c:v>
                </c:pt>
                <c:pt idx="36">
                  <c:v>11.903686982693756</c:v>
                </c:pt>
                <c:pt idx="37">
                  <c:v>13.552083333333334</c:v>
                </c:pt>
                <c:pt idx="38">
                  <c:v>11.318026045236463</c:v>
                </c:pt>
                <c:pt idx="39">
                  <c:v>12.058645478622777</c:v>
                </c:pt>
                <c:pt idx="40">
                  <c:v>11.441529568697199</c:v>
                </c:pt>
                <c:pt idx="41">
                  <c:v>23.885844748858446</c:v>
                </c:pt>
                <c:pt idx="42">
                  <c:v>18.588055130168456</c:v>
                </c:pt>
                <c:pt idx="43">
                  <c:v>23.718153846153847</c:v>
                </c:pt>
                <c:pt idx="44">
                  <c:v>17.396004098360656</c:v>
                </c:pt>
                <c:pt idx="45">
                  <c:v>12.217182730047973</c:v>
                </c:pt>
                <c:pt idx="46">
                  <c:v>12.484035168903285</c:v>
                </c:pt>
                <c:pt idx="47">
                  <c:v>11.913830954994513</c:v>
                </c:pt>
                <c:pt idx="48">
                  <c:v>14.361990950226243</c:v>
                </c:pt>
                <c:pt idx="49">
                  <c:v>10.652845169827966</c:v>
                </c:pt>
                <c:pt idx="50">
                  <c:v>7.1901094446696385</c:v>
                </c:pt>
                <c:pt idx="51">
                  <c:v>11.959870287798946</c:v>
                </c:pt>
                <c:pt idx="52">
                  <c:v>10.39107289107289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008-447B-8DAE-42F58E9BBFA7}"/>
            </c:ext>
          </c:extLst>
        </c:ser>
        <c:ser>
          <c:idx val="10"/>
          <c:order val="10"/>
          <c:tx>
            <c:strRef>
              <c:f>透视!$U$118</c:f>
              <c:strCache>
                <c:ptCount val="1"/>
                <c:pt idx="0">
                  <c:v>23/24产季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透视!$U$119:$U$171</c:f>
              <c:numCache>
                <c:formatCode>0.00_);[Red]\(0.00\)</c:formatCode>
                <c:ptCount val="53"/>
                <c:pt idx="0">
                  <c:v>8.7414355628058722</c:v>
                </c:pt>
                <c:pt idx="1">
                  <c:v>10.39107289107289</c:v>
                </c:pt>
                <c:pt idx="2">
                  <c:v>11.164937388193202</c:v>
                </c:pt>
                <c:pt idx="3">
                  <c:v>10.563909774436091</c:v>
                </c:pt>
                <c:pt idx="4">
                  <c:v>11.589713388299961</c:v>
                </c:pt>
                <c:pt idx="5">
                  <c:v>14.234059097978227</c:v>
                </c:pt>
                <c:pt idx="6">
                  <c:v>8.1508120649651978</c:v>
                </c:pt>
                <c:pt idx="7">
                  <c:v>10.484539585457016</c:v>
                </c:pt>
                <c:pt idx="8">
                  <c:v>11.736880733944954</c:v>
                </c:pt>
                <c:pt idx="9">
                  <c:v>15.349570200573066</c:v>
                </c:pt>
                <c:pt idx="10">
                  <c:v>14.538882375928095</c:v>
                </c:pt>
                <c:pt idx="11">
                  <c:v>11.150467669784467</c:v>
                </c:pt>
                <c:pt idx="12">
                  <c:v>10.724233750019041</c:v>
                </c:pt>
                <c:pt idx="13">
                  <c:v>7.9069461150783429</c:v>
                </c:pt>
                <c:pt idx="14">
                  <c:v>6.0964323318498295</c:v>
                </c:pt>
                <c:pt idx="15">
                  <c:v>4.9937378551787335</c:v>
                </c:pt>
                <c:pt idx="16">
                  <c:v>8.4496805239089223</c:v>
                </c:pt>
                <c:pt idx="17">
                  <c:v>9.0517967151377796</c:v>
                </c:pt>
                <c:pt idx="18">
                  <c:v>10.809406156123455</c:v>
                </c:pt>
                <c:pt idx="19">
                  <c:v>11.682580701677544</c:v>
                </c:pt>
                <c:pt idx="20">
                  <c:v>14.208006657614645</c:v>
                </c:pt>
                <c:pt idx="21">
                  <c:v>12.439945042272337</c:v>
                </c:pt>
                <c:pt idx="22">
                  <c:v>12.739013332509616</c:v>
                </c:pt>
                <c:pt idx="23">
                  <c:v>11.572643938216801</c:v>
                </c:pt>
                <c:pt idx="24">
                  <c:v>18.072191450454511</c:v>
                </c:pt>
                <c:pt idx="25">
                  <c:v>24.895151096861685</c:v>
                </c:pt>
                <c:pt idx="26">
                  <c:v>23.605031360035237</c:v>
                </c:pt>
                <c:pt idx="27">
                  <c:v>26.377293359089965</c:v>
                </c:pt>
                <c:pt idx="28">
                  <c:v>27.20334720716798</c:v>
                </c:pt>
                <c:pt idx="29">
                  <c:v>36.866082603254</c:v>
                </c:pt>
                <c:pt idx="30">
                  <c:v>36.584998112998818</c:v>
                </c:pt>
                <c:pt idx="31">
                  <c:v>29.944812240985332</c:v>
                </c:pt>
                <c:pt idx="32">
                  <c:v>26.577029531438608</c:v>
                </c:pt>
                <c:pt idx="33">
                  <c:v>34.950047592834764</c:v>
                </c:pt>
                <c:pt idx="34">
                  <c:v>23.776845681797965</c:v>
                </c:pt>
                <c:pt idx="35">
                  <c:v>28.695970396046089</c:v>
                </c:pt>
                <c:pt idx="36">
                  <c:v>31.274872468073866</c:v>
                </c:pt>
                <c:pt idx="37">
                  <c:v>30.720668451942149</c:v>
                </c:pt>
                <c:pt idx="38">
                  <c:v>27.087879053640368</c:v>
                </c:pt>
                <c:pt idx="39">
                  <c:v>30.210793831194458</c:v>
                </c:pt>
                <c:pt idx="40">
                  <c:v>23.437609441151707</c:v>
                </c:pt>
                <c:pt idx="41">
                  <c:v>34.120628763022857</c:v>
                </c:pt>
                <c:pt idx="42">
                  <c:v>38.540265060677669</c:v>
                </c:pt>
                <c:pt idx="43">
                  <c:v>30.824890138492847</c:v>
                </c:pt>
                <c:pt idx="44">
                  <c:v>22.848904951482776</c:v>
                </c:pt>
                <c:pt idx="45">
                  <c:v>19.835904181933699</c:v>
                </c:pt>
                <c:pt idx="46">
                  <c:v>15.589594057075194</c:v>
                </c:pt>
                <c:pt idx="47">
                  <c:v>10.147375211676481</c:v>
                </c:pt>
                <c:pt idx="48">
                  <c:v>13.604970479198107</c:v>
                </c:pt>
                <c:pt idx="49">
                  <c:v>11.336070531112902</c:v>
                </c:pt>
                <c:pt idx="50">
                  <c:v>11.262040745255089</c:v>
                </c:pt>
                <c:pt idx="51">
                  <c:v>8.5252217829019461</c:v>
                </c:pt>
                <c:pt idx="52">
                  <c:v>5.2885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9-4BD0-B2ED-9C3810783A4F}"/>
            </c:ext>
          </c:extLst>
        </c:ser>
        <c:ser>
          <c:idx val="11"/>
          <c:order val="11"/>
          <c:tx>
            <c:strRef>
              <c:f>透视!$V$118</c:f>
              <c:strCache>
                <c:ptCount val="1"/>
                <c:pt idx="0">
                  <c:v>24/25产季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透视!$V$119:$V$171</c:f>
              <c:numCache>
                <c:formatCode>0.00_);[Red]\(0.00\)</c:formatCode>
                <c:ptCount val="53"/>
                <c:pt idx="0">
                  <c:v>7.7415667688876511</c:v>
                </c:pt>
                <c:pt idx="1">
                  <c:v>5.2885</c:v>
                </c:pt>
                <c:pt idx="2">
                  <c:v>5.9369369369369371</c:v>
                </c:pt>
                <c:pt idx="3">
                  <c:v>5.9232000000000005</c:v>
                </c:pt>
                <c:pt idx="4">
                  <c:v>9.4509649468294601</c:v>
                </c:pt>
                <c:pt idx="5">
                  <c:v>11.635325721961047</c:v>
                </c:pt>
                <c:pt idx="6">
                  <c:v>15.161702127659575</c:v>
                </c:pt>
                <c:pt idx="7">
                  <c:v>14.593055555555555</c:v>
                </c:pt>
                <c:pt idx="8">
                  <c:v>17.450313634862994</c:v>
                </c:pt>
                <c:pt idx="9">
                  <c:v>24.648462354188759</c:v>
                </c:pt>
                <c:pt idx="10">
                  <c:v>23.288481141692152</c:v>
                </c:pt>
                <c:pt idx="11">
                  <c:v>26.79284513071396</c:v>
                </c:pt>
                <c:pt idx="12">
                  <c:v>28.992578556766148</c:v>
                </c:pt>
                <c:pt idx="13">
                  <c:v>28.476732161323682</c:v>
                </c:pt>
                <c:pt idx="14">
                  <c:v>24.76330454165506</c:v>
                </c:pt>
                <c:pt idx="15">
                  <c:v>20.027450472614269</c:v>
                </c:pt>
                <c:pt idx="16">
                  <c:v>45.344662921348316</c:v>
                </c:pt>
                <c:pt idx="17">
                  <c:v>37.305215042592977</c:v>
                </c:pt>
                <c:pt idx="18">
                  <c:v>27.748945147679329</c:v>
                </c:pt>
                <c:pt idx="19">
                  <c:v>24.087742899850522</c:v>
                </c:pt>
                <c:pt idx="20">
                  <c:v>27.414439430753212</c:v>
                </c:pt>
                <c:pt idx="21">
                  <c:v>31.150355570606163</c:v>
                </c:pt>
                <c:pt idx="22">
                  <c:v>26.785228817399187</c:v>
                </c:pt>
                <c:pt idx="23">
                  <c:v>27.379827351203996</c:v>
                </c:pt>
                <c:pt idx="24">
                  <c:v>28.775431540137419</c:v>
                </c:pt>
                <c:pt idx="25">
                  <c:v>31.479825327510916</c:v>
                </c:pt>
                <c:pt idx="26">
                  <c:v>36.524937894133387</c:v>
                </c:pt>
                <c:pt idx="27">
                  <c:v>33.232857879360715</c:v>
                </c:pt>
                <c:pt idx="28">
                  <c:v>31.313933287004865</c:v>
                </c:pt>
                <c:pt idx="29">
                  <c:v>23.248409528036689</c:v>
                </c:pt>
                <c:pt idx="30">
                  <c:v>31.229518581081081</c:v>
                </c:pt>
                <c:pt idx="31">
                  <c:v>34.841323606044817</c:v>
                </c:pt>
                <c:pt idx="32">
                  <c:v>30.584876543209873</c:v>
                </c:pt>
                <c:pt idx="33">
                  <c:v>26.288275862068964</c:v>
                </c:pt>
                <c:pt idx="34">
                  <c:v>21.25965661540581</c:v>
                </c:pt>
                <c:pt idx="35">
                  <c:v>25.301659184071834</c:v>
                </c:pt>
                <c:pt idx="36">
                  <c:v>28.456525212865525</c:v>
                </c:pt>
                <c:pt idx="37">
                  <c:v>22.194179300018714</c:v>
                </c:pt>
                <c:pt idx="38">
                  <c:v>20.781012533307017</c:v>
                </c:pt>
                <c:pt idx="39">
                  <c:v>22.767837870248233</c:v>
                </c:pt>
                <c:pt idx="40">
                  <c:v>24.278946555111595</c:v>
                </c:pt>
                <c:pt idx="41">
                  <c:v>26.537683358624179</c:v>
                </c:pt>
                <c:pt idx="42">
                  <c:v>20.181798457563268</c:v>
                </c:pt>
                <c:pt idx="43">
                  <c:v>24.42426658601633</c:v>
                </c:pt>
                <c:pt idx="44">
                  <c:v>14.520990780675028</c:v>
                </c:pt>
                <c:pt idx="45">
                  <c:v>16.479295154185021</c:v>
                </c:pt>
                <c:pt idx="46">
                  <c:v>13.289434705165462</c:v>
                </c:pt>
                <c:pt idx="47">
                  <c:v>14.485009495764249</c:v>
                </c:pt>
                <c:pt idx="48">
                  <c:v>11.701079186007796</c:v>
                </c:pt>
                <c:pt idx="49">
                  <c:v>8.4451558853449811</c:v>
                </c:pt>
                <c:pt idx="50">
                  <c:v>11.7906362545018</c:v>
                </c:pt>
                <c:pt idx="51">
                  <c:v>5.8907015311041695</c:v>
                </c:pt>
                <c:pt idx="52">
                  <c:v>6.2272197261882436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9-4BD0-B2ED-9C3810783A4F}"/>
            </c:ext>
          </c:extLst>
        </c:ser>
        <c:ser>
          <c:idx val="12"/>
          <c:order val="12"/>
          <c:tx>
            <c:strRef>
              <c:f>透视!$W$118</c:f>
              <c:strCache>
                <c:ptCount val="1"/>
                <c:pt idx="0">
                  <c:v>25/26产季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FA39-4BD0-B2ED-9C3810783A4F}"/>
              </c:ext>
            </c:extLst>
          </c:dPt>
          <c:val>
            <c:numRef>
              <c:f>透视!$W$119:$W$171</c:f>
              <c:numCache>
                <c:formatCode>0.00_);[Red]\(0.00\)</c:formatCode>
                <c:ptCount val="53"/>
                <c:pt idx="0">
                  <c:v>5.8907015311041695</c:v>
                </c:pt>
                <c:pt idx="1">
                  <c:v>6.2272197261882436</c:v>
                </c:pt>
                <c:pt idx="2">
                  <c:v>6.067250547388177</c:v>
                </c:pt>
                <c:pt idx="3">
                  <c:v>11.736688014638609</c:v>
                </c:pt>
                <c:pt idx="4">
                  <c:v>13.788198141960123</c:v>
                </c:pt>
                <c:pt idx="5">
                  <c:v>11.642065626681012</c:v>
                </c:pt>
                <c:pt idx="6">
                  <c:v>7.7531928480204328</c:v>
                </c:pt>
                <c:pt idx="7">
                  <c:v>6.5534640522875822</c:v>
                </c:pt>
                <c:pt idx="8">
                  <c:v>4.1538646906440153</c:v>
                </c:pt>
                <c:pt idx="9">
                  <c:v>5.8556829639250134</c:v>
                </c:pt>
                <c:pt idx="10">
                  <c:v>6.6036349037229201</c:v>
                </c:pt>
                <c:pt idx="11">
                  <c:v>10.804964286983406</c:v>
                </c:pt>
                <c:pt idx="12">
                  <c:v>7.8329872826369069</c:v>
                </c:pt>
                <c:pt idx="13">
                  <c:v>10.274658833259657</c:v>
                </c:pt>
                <c:pt idx="14">
                  <c:v>12.808891159938682</c:v>
                </c:pt>
                <c:pt idx="15">
                  <c:v>9.6243707550938868</c:v>
                </c:pt>
                <c:pt idx="16">
                  <c:v>11.538657286131276</c:v>
                </c:pt>
                <c:pt idx="17">
                  <c:v>9.9806652616145879</c:v>
                </c:pt>
                <c:pt idx="18">
                  <c:v>10.049819328054124</c:v>
                </c:pt>
                <c:pt idx="19">
                  <c:v>54.447039000197833</c:v>
                </c:pt>
                <c:pt idx="20">
                  <c:v>28.736262611792156</c:v>
                </c:pt>
                <c:pt idx="21">
                  <c:v>11.40623075975865</c:v>
                </c:pt>
                <c:pt idx="22">
                  <c:v>8.8233309659090899</c:v>
                </c:pt>
                <c:pt idx="23">
                  <c:v>11.55844155844156</c:v>
                </c:pt>
                <c:pt idx="24">
                  <c:v>12.017489240912004</c:v>
                </c:pt>
                <c:pt idx="25">
                  <c:v>14.977571377996211</c:v>
                </c:pt>
                <c:pt idx="26">
                  <c:v>20.593796230016704</c:v>
                </c:pt>
                <c:pt idx="27">
                  <c:v>18.741873278236916</c:v>
                </c:pt>
                <c:pt idx="28">
                  <c:v>28.259383418138281</c:v>
                </c:pt>
                <c:pt idx="29">
                  <c:v>24.312494236975567</c:v>
                </c:pt>
                <c:pt idx="30">
                  <c:v>25.03097659021045</c:v>
                </c:pt>
                <c:pt idx="31">
                  <c:v>18.157163523214233</c:v>
                </c:pt>
                <c:pt idx="32">
                  <c:v>16.456021226213231</c:v>
                </c:pt>
                <c:pt idx="33">
                  <c:v>12.706799116399463</c:v>
                </c:pt>
                <c:pt idx="34">
                  <c:v>18.289175459163737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9-4BD0-B2ED-9C3810783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976463"/>
        <c:axId val="1205973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透视!$K$118</c15:sqref>
                        </c15:formulaRef>
                      </c:ext>
                    </c:extLst>
                    <c:strCache>
                      <c:ptCount val="1"/>
                      <c:pt idx="0">
                        <c:v>周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透视!$K$119:$K$171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B-8008-447B-8DAE-42F58E9BBF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透视!$L$118</c15:sqref>
                        </c15:formulaRef>
                      </c:ext>
                    </c:extLst>
                    <c:strCache>
                      <c:ptCount val="1"/>
                      <c:pt idx="0">
                        <c:v>22-23产季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透视!$L$119:$L$171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60.61</c:v>
                      </c:pt>
                      <c:pt idx="1">
                        <c:v>60.61</c:v>
                      </c:pt>
                      <c:pt idx="2">
                        <c:v>59.12</c:v>
                      </c:pt>
                      <c:pt idx="3">
                        <c:v>63.46</c:v>
                      </c:pt>
                      <c:pt idx="4">
                        <c:v>67.75</c:v>
                      </c:pt>
                      <c:pt idx="5">
                        <c:v>74.349999999999994</c:v>
                      </c:pt>
                      <c:pt idx="6">
                        <c:v>62.57</c:v>
                      </c:pt>
                      <c:pt idx="7">
                        <c:v>59.99</c:v>
                      </c:pt>
                      <c:pt idx="8">
                        <c:v>48.45</c:v>
                      </c:pt>
                      <c:pt idx="9">
                        <c:v>55.37</c:v>
                      </c:pt>
                      <c:pt idx="10">
                        <c:v>77.260000000000005</c:v>
                      </c:pt>
                      <c:pt idx="11">
                        <c:v>85.45</c:v>
                      </c:pt>
                      <c:pt idx="12">
                        <c:v>84.96</c:v>
                      </c:pt>
                      <c:pt idx="13">
                        <c:v>67.83</c:v>
                      </c:pt>
                      <c:pt idx="14">
                        <c:v>50.01</c:v>
                      </c:pt>
                      <c:pt idx="15">
                        <c:v>57.92</c:v>
                      </c:pt>
                      <c:pt idx="16">
                        <c:v>57.92</c:v>
                      </c:pt>
                      <c:pt idx="17">
                        <c:v>65.16</c:v>
                      </c:pt>
                      <c:pt idx="18">
                        <c:v>52.19</c:v>
                      </c:pt>
                      <c:pt idx="19">
                        <c:v>64.040000000000006</c:v>
                      </c:pt>
                      <c:pt idx="20">
                        <c:v>60.45</c:v>
                      </c:pt>
                      <c:pt idx="21">
                        <c:v>75.239999999999995</c:v>
                      </c:pt>
                      <c:pt idx="22">
                        <c:v>71.83</c:v>
                      </c:pt>
                      <c:pt idx="23">
                        <c:v>78.81</c:v>
                      </c:pt>
                      <c:pt idx="24">
                        <c:v>84.59</c:v>
                      </c:pt>
                      <c:pt idx="25">
                        <c:v>91.81</c:v>
                      </c:pt>
                      <c:pt idx="26">
                        <c:v>83.45</c:v>
                      </c:pt>
                      <c:pt idx="27">
                        <c:v>76</c:v>
                      </c:pt>
                      <c:pt idx="28">
                        <c:v>84.93</c:v>
                      </c:pt>
                      <c:pt idx="29">
                        <c:v>80.655000000000001</c:v>
                      </c:pt>
                      <c:pt idx="30">
                        <c:v>76.38</c:v>
                      </c:pt>
                      <c:pt idx="31">
                        <c:v>77.11</c:v>
                      </c:pt>
                      <c:pt idx="32">
                        <c:v>55.59</c:v>
                      </c:pt>
                      <c:pt idx="33">
                        <c:v>50.08</c:v>
                      </c:pt>
                      <c:pt idx="34">
                        <c:v>46.82</c:v>
                      </c:pt>
                      <c:pt idx="35">
                        <c:v>43.33</c:v>
                      </c:pt>
                      <c:pt idx="36">
                        <c:v>45.2</c:v>
                      </c:pt>
                      <c:pt idx="37">
                        <c:v>52.04</c:v>
                      </c:pt>
                      <c:pt idx="38">
                        <c:v>47.18</c:v>
                      </c:pt>
                      <c:pt idx="39">
                        <c:v>45.53</c:v>
                      </c:pt>
                      <c:pt idx="40">
                        <c:v>36.76</c:v>
                      </c:pt>
                      <c:pt idx="41">
                        <c:v>52.31</c:v>
                      </c:pt>
                      <c:pt idx="42">
                        <c:v>52.02</c:v>
                      </c:pt>
                      <c:pt idx="43">
                        <c:v>55.06</c:v>
                      </c:pt>
                      <c:pt idx="44">
                        <c:v>48.51</c:v>
                      </c:pt>
                      <c:pt idx="45">
                        <c:v>40.020000000000003</c:v>
                      </c:pt>
                      <c:pt idx="46">
                        <c:v>38.54</c:v>
                      </c:pt>
                      <c:pt idx="47">
                        <c:v>31.01</c:v>
                      </c:pt>
                      <c:pt idx="48">
                        <c:v>31.74</c:v>
                      </c:pt>
                      <c:pt idx="49">
                        <c:v>34.5</c:v>
                      </c:pt>
                      <c:pt idx="50">
                        <c:v>25.34</c:v>
                      </c:pt>
                      <c:pt idx="51">
                        <c:v>42.15</c:v>
                      </c:pt>
                      <c:pt idx="52">
                        <c:v>36.25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8008-447B-8DAE-42F58E9BBF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透视!$M$118</c15:sqref>
                        </c15:formulaRef>
                      </c:ext>
                    </c:extLst>
                    <c:strCache>
                      <c:ptCount val="1"/>
                      <c:pt idx="0">
                        <c:v>23-24产季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透视!$M$119:$M$171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30.62</c:v>
                      </c:pt>
                      <c:pt idx="1">
                        <c:v>36.25</c:v>
                      </c:pt>
                      <c:pt idx="2">
                        <c:v>44.58</c:v>
                      </c:pt>
                      <c:pt idx="3">
                        <c:v>42.15</c:v>
                      </c:pt>
                      <c:pt idx="4">
                        <c:v>42.17</c:v>
                      </c:pt>
                      <c:pt idx="5">
                        <c:v>52.3</c:v>
                      </c:pt>
                      <c:pt idx="6">
                        <c:v>35.130000000000003</c:v>
                      </c:pt>
                      <c:pt idx="7">
                        <c:v>44.08</c:v>
                      </c:pt>
                      <c:pt idx="8">
                        <c:v>45.69</c:v>
                      </c:pt>
                      <c:pt idx="9">
                        <c:v>53.57</c:v>
                      </c:pt>
                      <c:pt idx="10">
                        <c:v>53.15</c:v>
                      </c:pt>
                      <c:pt idx="11">
                        <c:v>39.17</c:v>
                      </c:pt>
                      <c:pt idx="12">
                        <c:v>47.43</c:v>
                      </c:pt>
                      <c:pt idx="13">
                        <c:v>34.97</c:v>
                      </c:pt>
                      <c:pt idx="14">
                        <c:v>28.24</c:v>
                      </c:pt>
                      <c:pt idx="15">
                        <c:v>22.93</c:v>
                      </c:pt>
                      <c:pt idx="16">
                        <c:v>35.71</c:v>
                      </c:pt>
                      <c:pt idx="17">
                        <c:v>41.87</c:v>
                      </c:pt>
                      <c:pt idx="18">
                        <c:v>50</c:v>
                      </c:pt>
                      <c:pt idx="19">
                        <c:v>47</c:v>
                      </c:pt>
                      <c:pt idx="20">
                        <c:v>57.16</c:v>
                      </c:pt>
                      <c:pt idx="21">
                        <c:v>44.73</c:v>
                      </c:pt>
                      <c:pt idx="22">
                        <c:v>57.37</c:v>
                      </c:pt>
                      <c:pt idx="23">
                        <c:v>49.28</c:v>
                      </c:pt>
                      <c:pt idx="24">
                        <c:v>76.62</c:v>
                      </c:pt>
                      <c:pt idx="25">
                        <c:v>88.52</c:v>
                      </c:pt>
                      <c:pt idx="26">
                        <c:v>93.22</c:v>
                      </c:pt>
                      <c:pt idx="27">
                        <c:v>105.84</c:v>
                      </c:pt>
                      <c:pt idx="28">
                        <c:v>106.47</c:v>
                      </c:pt>
                      <c:pt idx="29">
                        <c:v>114.08</c:v>
                      </c:pt>
                      <c:pt idx="30">
                        <c:v>113.2102</c:v>
                      </c:pt>
                      <c:pt idx="31">
                        <c:v>114.6002</c:v>
                      </c:pt>
                      <c:pt idx="32">
                        <c:v>106.93</c:v>
                      </c:pt>
                      <c:pt idx="33">
                        <c:v>102.54</c:v>
                      </c:pt>
                      <c:pt idx="34">
                        <c:v>94.45</c:v>
                      </c:pt>
                      <c:pt idx="35">
                        <c:v>99.58</c:v>
                      </c:pt>
                      <c:pt idx="36">
                        <c:v>107.18</c:v>
                      </c:pt>
                      <c:pt idx="37">
                        <c:v>95.281999999999996</c:v>
                      </c:pt>
                      <c:pt idx="38">
                        <c:v>91.01</c:v>
                      </c:pt>
                      <c:pt idx="39">
                        <c:v>94.28</c:v>
                      </c:pt>
                      <c:pt idx="40">
                        <c:v>89.29</c:v>
                      </c:pt>
                      <c:pt idx="41">
                        <c:v>95.96</c:v>
                      </c:pt>
                      <c:pt idx="42">
                        <c:v>93.71</c:v>
                      </c:pt>
                      <c:pt idx="43">
                        <c:v>85.24</c:v>
                      </c:pt>
                      <c:pt idx="44">
                        <c:v>70.959999999999994</c:v>
                      </c:pt>
                      <c:pt idx="45">
                        <c:v>56.47</c:v>
                      </c:pt>
                      <c:pt idx="46">
                        <c:v>46.94</c:v>
                      </c:pt>
                      <c:pt idx="47">
                        <c:v>39.08</c:v>
                      </c:pt>
                      <c:pt idx="48">
                        <c:v>44.7</c:v>
                      </c:pt>
                      <c:pt idx="49">
                        <c:v>50.03</c:v>
                      </c:pt>
                      <c:pt idx="50">
                        <c:v>48.63</c:v>
                      </c:pt>
                      <c:pt idx="51">
                        <c:v>48.23</c:v>
                      </c:pt>
                      <c:pt idx="52">
                        <c:v>30.22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8008-447B-8DAE-42F58E9BBF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透视!$N$118</c15:sqref>
                        </c15:formulaRef>
                      </c:ext>
                    </c:extLst>
                    <c:strCache>
                      <c:ptCount val="1"/>
                      <c:pt idx="0">
                        <c:v>24-25产季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透视!$N$119:$N$171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39.67</c:v>
                      </c:pt>
                      <c:pt idx="1">
                        <c:v>30.22</c:v>
                      </c:pt>
                      <c:pt idx="2">
                        <c:v>32.950000000000003</c:v>
                      </c:pt>
                      <c:pt idx="3">
                        <c:v>37.020000000000003</c:v>
                      </c:pt>
                      <c:pt idx="4">
                        <c:v>68.56</c:v>
                      </c:pt>
                      <c:pt idx="5">
                        <c:v>99</c:v>
                      </c:pt>
                      <c:pt idx="6">
                        <c:v>122.16</c:v>
                      </c:pt>
                      <c:pt idx="7">
                        <c:v>150.1</c:v>
                      </c:pt>
                      <c:pt idx="8">
                        <c:v>151.02000000000001</c:v>
                      </c:pt>
                      <c:pt idx="9">
                        <c:v>199.23</c:v>
                      </c:pt>
                      <c:pt idx="10">
                        <c:v>228.46</c:v>
                      </c:pt>
                      <c:pt idx="11">
                        <c:v>250.36</c:v>
                      </c:pt>
                      <c:pt idx="12">
                        <c:v>262.3</c:v>
                      </c:pt>
                      <c:pt idx="13">
                        <c:v>275.37</c:v>
                      </c:pt>
                      <c:pt idx="14">
                        <c:v>253.93</c:v>
                      </c:pt>
                      <c:pt idx="15">
                        <c:v>220.96</c:v>
                      </c:pt>
                      <c:pt idx="16">
                        <c:v>230.61</c:v>
                      </c:pt>
                      <c:pt idx="17">
                        <c:v>256.5</c:v>
                      </c:pt>
                      <c:pt idx="18">
                        <c:v>244.27</c:v>
                      </c:pt>
                      <c:pt idx="19">
                        <c:v>230.21</c:v>
                      </c:pt>
                      <c:pt idx="20">
                        <c:v>225.66</c:v>
                      </c:pt>
                      <c:pt idx="21">
                        <c:v>262.82</c:v>
                      </c:pt>
                      <c:pt idx="22">
                        <c:v>253.35</c:v>
                      </c:pt>
                      <c:pt idx="23">
                        <c:v>258.27</c:v>
                      </c:pt>
                      <c:pt idx="24">
                        <c:v>245.29</c:v>
                      </c:pt>
                      <c:pt idx="25">
                        <c:v>257.45999999999998</c:v>
                      </c:pt>
                      <c:pt idx="26">
                        <c:v>273.05</c:v>
                      </c:pt>
                      <c:pt idx="27">
                        <c:v>276.26</c:v>
                      </c:pt>
                      <c:pt idx="28">
                        <c:v>257.49</c:v>
                      </c:pt>
                      <c:pt idx="29">
                        <c:v>224.48</c:v>
                      </c:pt>
                      <c:pt idx="30">
                        <c:v>211.29</c:v>
                      </c:pt>
                      <c:pt idx="31">
                        <c:v>191.03</c:v>
                      </c:pt>
                      <c:pt idx="32">
                        <c:v>198.19</c:v>
                      </c:pt>
                      <c:pt idx="33">
                        <c:v>190.59</c:v>
                      </c:pt>
                      <c:pt idx="34">
                        <c:v>176.36099999999999</c:v>
                      </c:pt>
                      <c:pt idx="35">
                        <c:v>185.172</c:v>
                      </c:pt>
                      <c:pt idx="36">
                        <c:v>178.08500000000001</c:v>
                      </c:pt>
                      <c:pt idx="37">
                        <c:v>169.405</c:v>
                      </c:pt>
                      <c:pt idx="38">
                        <c:v>150.41</c:v>
                      </c:pt>
                      <c:pt idx="39">
                        <c:v>135.61500000000001</c:v>
                      </c:pt>
                      <c:pt idx="40">
                        <c:v>157.11600000000001</c:v>
                      </c:pt>
                      <c:pt idx="41">
                        <c:v>149.9</c:v>
                      </c:pt>
                      <c:pt idx="42">
                        <c:v>146.17099999999999</c:v>
                      </c:pt>
                      <c:pt idx="43">
                        <c:v>126.905</c:v>
                      </c:pt>
                      <c:pt idx="44">
                        <c:v>104.854</c:v>
                      </c:pt>
                      <c:pt idx="45">
                        <c:v>106.88</c:v>
                      </c:pt>
                      <c:pt idx="46">
                        <c:v>101.256</c:v>
                      </c:pt>
                      <c:pt idx="47">
                        <c:v>96.972999999999999</c:v>
                      </c:pt>
                      <c:pt idx="48">
                        <c:v>85.346000000000004</c:v>
                      </c:pt>
                      <c:pt idx="49">
                        <c:v>60.482999999999997</c:v>
                      </c:pt>
                      <c:pt idx="50">
                        <c:v>49.107999999999997</c:v>
                      </c:pt>
                      <c:pt idx="51">
                        <c:v>43.64</c:v>
                      </c:pt>
                      <c:pt idx="52">
                        <c:v>43.64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E-8008-447B-8DAE-42F58E9BBF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透视!$O$118</c15:sqref>
                        </c15:formulaRef>
                      </c:ext>
                    </c:extLst>
                    <c:strCache>
                      <c:ptCount val="1"/>
                      <c:pt idx="0">
                        <c:v>25/26产季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透视!$O$119:$O$171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43.64</c:v>
                      </c:pt>
                      <c:pt idx="1">
                        <c:v>43.64</c:v>
                      </c:pt>
                      <c:pt idx="2">
                        <c:v>55.42</c:v>
                      </c:pt>
                      <c:pt idx="3">
                        <c:v>91.63</c:v>
                      </c:pt>
                      <c:pt idx="4">
                        <c:v>107.28400000000001</c:v>
                      </c:pt>
                      <c:pt idx="5">
                        <c:v>92.754000000000005</c:v>
                      </c:pt>
                      <c:pt idx="6">
                        <c:v>69.38</c:v>
                      </c:pt>
                      <c:pt idx="7">
                        <c:v>53.715000000000003</c:v>
                      </c:pt>
                      <c:pt idx="8">
                        <c:v>29.55</c:v>
                      </c:pt>
                      <c:pt idx="9">
                        <c:v>48.951000000000001</c:v>
                      </c:pt>
                      <c:pt idx="10">
                        <c:v>61.094000000000001</c:v>
                      </c:pt>
                      <c:pt idx="11">
                        <c:v>86.875</c:v>
                      </c:pt>
                      <c:pt idx="12">
                        <c:v>86.23</c:v>
                      </c:pt>
                      <c:pt idx="13">
                        <c:v>102.93300000000001</c:v>
                      </c:pt>
                      <c:pt idx="14">
                        <c:v>107.43</c:v>
                      </c:pt>
                      <c:pt idx="15">
                        <c:v>86.034999999999997</c:v>
                      </c:pt>
                      <c:pt idx="16">
                        <c:v>110.12</c:v>
                      </c:pt>
                      <c:pt idx="17">
                        <c:v>108.919</c:v>
                      </c:pt>
                      <c:pt idx="18">
                        <c:v>102.70699999999999</c:v>
                      </c:pt>
                      <c:pt idx="19">
                        <c:v>114.01909999999999</c:v>
                      </c:pt>
                      <c:pt idx="20">
                        <c:v>140.41399999999999</c:v>
                      </c:pt>
                      <c:pt idx="21">
                        <c:v>92.63</c:v>
                      </c:pt>
                      <c:pt idx="22">
                        <c:v>70.989999999999995</c:v>
                      </c:pt>
                      <c:pt idx="23">
                        <c:v>75.650000000000006</c:v>
                      </c:pt>
                      <c:pt idx="24">
                        <c:v>93.745000000000005</c:v>
                      </c:pt>
                      <c:pt idx="25">
                        <c:v>102.744</c:v>
                      </c:pt>
                      <c:pt idx="26">
                        <c:v>123.298</c:v>
                      </c:pt>
                      <c:pt idx="27">
                        <c:v>116.628</c:v>
                      </c:pt>
                      <c:pt idx="28">
                        <c:v>134.87799999999999</c:v>
                      </c:pt>
                      <c:pt idx="29">
                        <c:v>113.001</c:v>
                      </c:pt>
                      <c:pt idx="30">
                        <c:v>105.85599999999999</c:v>
                      </c:pt>
                      <c:pt idx="31">
                        <c:v>95.031999999999996</c:v>
                      </c:pt>
                      <c:pt idx="32">
                        <c:v>82.4</c:v>
                      </c:pt>
                      <c:pt idx="33">
                        <c:v>66.972999999999999</c:v>
                      </c:pt>
                      <c:pt idx="34">
                        <c:v>66.86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F-8008-447B-8DAE-42F58E9BBF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透视!$P$118</c15:sqref>
                        </c15:formulaRef>
                      </c:ext>
                    </c:extLst>
                    <c:strCache>
                      <c:ptCount val="1"/>
                      <c:pt idx="0">
                        <c:v>22/23产季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透视!$P$119:$P$171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22.03</c:v>
                      </c:pt>
                      <c:pt idx="1">
                        <c:v>22.03</c:v>
                      </c:pt>
                      <c:pt idx="2">
                        <c:v>19.23</c:v>
                      </c:pt>
                      <c:pt idx="3">
                        <c:v>21.51</c:v>
                      </c:pt>
                      <c:pt idx="4">
                        <c:v>19.600000000000001</c:v>
                      </c:pt>
                      <c:pt idx="5">
                        <c:v>23.22</c:v>
                      </c:pt>
                      <c:pt idx="6">
                        <c:v>34.56</c:v>
                      </c:pt>
                      <c:pt idx="7">
                        <c:v>31.55</c:v>
                      </c:pt>
                      <c:pt idx="8">
                        <c:v>39.869999999999997</c:v>
                      </c:pt>
                      <c:pt idx="9">
                        <c:v>26.7</c:v>
                      </c:pt>
                      <c:pt idx="10">
                        <c:v>33.61</c:v>
                      </c:pt>
                      <c:pt idx="11">
                        <c:v>34.590000000000003</c:v>
                      </c:pt>
                      <c:pt idx="12">
                        <c:v>41.54</c:v>
                      </c:pt>
                      <c:pt idx="13">
                        <c:v>37.11</c:v>
                      </c:pt>
                      <c:pt idx="14">
                        <c:v>43.09</c:v>
                      </c:pt>
                      <c:pt idx="15">
                        <c:v>10</c:v>
                      </c:pt>
                      <c:pt idx="16">
                        <c:v>55</c:v>
                      </c:pt>
                      <c:pt idx="17">
                        <c:v>31.23</c:v>
                      </c:pt>
                      <c:pt idx="18">
                        <c:v>30.12</c:v>
                      </c:pt>
                      <c:pt idx="19">
                        <c:v>27.43</c:v>
                      </c:pt>
                      <c:pt idx="20">
                        <c:v>28.06</c:v>
                      </c:pt>
                      <c:pt idx="21">
                        <c:v>24.58</c:v>
                      </c:pt>
                      <c:pt idx="22">
                        <c:v>8</c:v>
                      </c:pt>
                      <c:pt idx="23">
                        <c:v>21.44</c:v>
                      </c:pt>
                      <c:pt idx="24">
                        <c:v>25</c:v>
                      </c:pt>
                      <c:pt idx="25">
                        <c:v>18.600000000000001</c:v>
                      </c:pt>
                      <c:pt idx="26">
                        <c:v>20.91</c:v>
                      </c:pt>
                      <c:pt idx="27">
                        <c:v>14</c:v>
                      </c:pt>
                      <c:pt idx="28">
                        <c:v>23.72</c:v>
                      </c:pt>
                      <c:pt idx="29">
                        <c:v>10</c:v>
                      </c:pt>
                      <c:pt idx="30">
                        <c:v>27.7</c:v>
                      </c:pt>
                      <c:pt idx="31">
                        <c:v>29.76</c:v>
                      </c:pt>
                      <c:pt idx="32">
                        <c:v>32.99</c:v>
                      </c:pt>
                      <c:pt idx="33">
                        <c:v>31.79</c:v>
                      </c:pt>
                      <c:pt idx="34">
                        <c:v>36.69</c:v>
                      </c:pt>
                      <c:pt idx="35">
                        <c:v>27.09</c:v>
                      </c:pt>
                      <c:pt idx="36">
                        <c:v>26.58</c:v>
                      </c:pt>
                      <c:pt idx="37">
                        <c:v>26.88</c:v>
                      </c:pt>
                      <c:pt idx="38">
                        <c:v>29.18</c:v>
                      </c:pt>
                      <c:pt idx="39">
                        <c:v>26.43</c:v>
                      </c:pt>
                      <c:pt idx="40">
                        <c:v>22.49</c:v>
                      </c:pt>
                      <c:pt idx="41">
                        <c:v>15.33</c:v>
                      </c:pt>
                      <c:pt idx="42">
                        <c:v>19.59</c:v>
                      </c:pt>
                      <c:pt idx="43">
                        <c:v>16.25</c:v>
                      </c:pt>
                      <c:pt idx="44">
                        <c:v>19.52</c:v>
                      </c:pt>
                      <c:pt idx="45">
                        <c:v>22.93</c:v>
                      </c:pt>
                      <c:pt idx="46">
                        <c:v>21.61</c:v>
                      </c:pt>
                      <c:pt idx="47">
                        <c:v>18.22</c:v>
                      </c:pt>
                      <c:pt idx="48">
                        <c:v>15.47</c:v>
                      </c:pt>
                      <c:pt idx="49">
                        <c:v>22.67</c:v>
                      </c:pt>
                      <c:pt idx="50">
                        <c:v>24.67</c:v>
                      </c:pt>
                      <c:pt idx="51">
                        <c:v>24.67</c:v>
                      </c:pt>
                      <c:pt idx="52">
                        <c:v>24.42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0-8008-447B-8DAE-42F58E9BBFA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透视!$Q$118</c15:sqref>
                        </c15:formulaRef>
                      </c:ext>
                    </c:extLst>
                    <c:strCache>
                      <c:ptCount val="1"/>
                      <c:pt idx="0">
                        <c:v>23/24产季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透视!$Q$119:$Q$171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24.52</c:v>
                      </c:pt>
                      <c:pt idx="1">
                        <c:v>24.42</c:v>
                      </c:pt>
                      <c:pt idx="2">
                        <c:v>27.95</c:v>
                      </c:pt>
                      <c:pt idx="3">
                        <c:v>27.93</c:v>
                      </c:pt>
                      <c:pt idx="4">
                        <c:v>25.47</c:v>
                      </c:pt>
                      <c:pt idx="5">
                        <c:v>25.72</c:v>
                      </c:pt>
                      <c:pt idx="6">
                        <c:v>30.17</c:v>
                      </c:pt>
                      <c:pt idx="7">
                        <c:v>29.43</c:v>
                      </c:pt>
                      <c:pt idx="8">
                        <c:v>27.25</c:v>
                      </c:pt>
                      <c:pt idx="9">
                        <c:v>24.43</c:v>
                      </c:pt>
                      <c:pt idx="10">
                        <c:v>25.59</c:v>
                      </c:pt>
                      <c:pt idx="11">
                        <c:v>24.59</c:v>
                      </c:pt>
                      <c:pt idx="12">
                        <c:v>30.958855218855199</c:v>
                      </c:pt>
                      <c:pt idx="13">
                        <c:v>30.958855218855199</c:v>
                      </c:pt>
                      <c:pt idx="14">
                        <c:v>32.425521885521903</c:v>
                      </c:pt>
                      <c:pt idx="15">
                        <c:v>32.142255892255903</c:v>
                      </c:pt>
                      <c:pt idx="16">
                        <c:v>29.583367003367002</c:v>
                      </c:pt>
                      <c:pt idx="17">
                        <c:v>32.379207048458198</c:v>
                      </c:pt>
                      <c:pt idx="18">
                        <c:v>32.379207048458198</c:v>
                      </c:pt>
                      <c:pt idx="19">
                        <c:v>28.161585903083701</c:v>
                      </c:pt>
                      <c:pt idx="20">
                        <c:v>28.161585903083701</c:v>
                      </c:pt>
                      <c:pt idx="21">
                        <c:v>25.169725343320799</c:v>
                      </c:pt>
                      <c:pt idx="22">
                        <c:v>31.524419475655399</c:v>
                      </c:pt>
                      <c:pt idx="23">
                        <c:v>29.808227215980001</c:v>
                      </c:pt>
                      <c:pt idx="24">
                        <c:v>29.677640449438201</c:v>
                      </c:pt>
                      <c:pt idx="25">
                        <c:v>24.889987515605501</c:v>
                      </c:pt>
                      <c:pt idx="26">
                        <c:v>27.644106463878298</c:v>
                      </c:pt>
                      <c:pt idx="27">
                        <c:v>28.087794676806102</c:v>
                      </c:pt>
                      <c:pt idx="28">
                        <c:v>27.3969961977186</c:v>
                      </c:pt>
                      <c:pt idx="29">
                        <c:v>21.661102661596999</c:v>
                      </c:pt>
                      <c:pt idx="30">
                        <c:v>21.661102661596999</c:v>
                      </c:pt>
                      <c:pt idx="31">
                        <c:v>26.7893280994439</c:v>
                      </c:pt>
                      <c:pt idx="32">
                        <c:v>28.163794569839698</c:v>
                      </c:pt>
                      <c:pt idx="33">
                        <c:v>20.537311089303198</c:v>
                      </c:pt>
                      <c:pt idx="34">
                        <c:v>27.806463853451099</c:v>
                      </c:pt>
                      <c:pt idx="35">
                        <c:v>24.291215469613299</c:v>
                      </c:pt>
                      <c:pt idx="36">
                        <c:v>23.989226519336999</c:v>
                      </c:pt>
                      <c:pt idx="37">
                        <c:v>21.710920810313102</c:v>
                      </c:pt>
                      <c:pt idx="38">
                        <c:v>23.518637200736599</c:v>
                      </c:pt>
                      <c:pt idx="39">
                        <c:v>21.845172413793101</c:v>
                      </c:pt>
                      <c:pt idx="40">
                        <c:v>26.667822141560801</c:v>
                      </c:pt>
                      <c:pt idx="41">
                        <c:v>19.686624319419199</c:v>
                      </c:pt>
                      <c:pt idx="42">
                        <c:v>17.020381125226901</c:v>
                      </c:pt>
                      <c:pt idx="43">
                        <c:v>19.357084398977001</c:v>
                      </c:pt>
                      <c:pt idx="44">
                        <c:v>21.739335038363201</c:v>
                      </c:pt>
                      <c:pt idx="45">
                        <c:v>19.928005115089501</c:v>
                      </c:pt>
                      <c:pt idx="46">
                        <c:v>21.076879795396401</c:v>
                      </c:pt>
                      <c:pt idx="47">
                        <c:v>26.958695652173901</c:v>
                      </c:pt>
                      <c:pt idx="48">
                        <c:v>22.998947368421099</c:v>
                      </c:pt>
                      <c:pt idx="49">
                        <c:v>30.893421052631599</c:v>
                      </c:pt>
                      <c:pt idx="50">
                        <c:v>30.226315789473698</c:v>
                      </c:pt>
                      <c:pt idx="51">
                        <c:v>39.601315789473702</c:v>
                      </c:pt>
                      <c:pt idx="52">
                        <c:v>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71-8008-447B-8DAE-42F58E9BBF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透视!$R$118</c15:sqref>
                        </c15:formulaRef>
                      </c:ext>
                    </c:extLst>
                    <c:strCache>
                      <c:ptCount val="1"/>
                      <c:pt idx="0">
                        <c:v>24/25产季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8008-447B-8DAE-42F58E9BBFA7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8008-447B-8DAE-42F58E9BBFA7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8008-447B-8DAE-42F58E9BBFA7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8008-447B-8DAE-42F58E9BBFA7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8008-447B-8DAE-42F58E9BBFA7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8008-447B-8DAE-42F58E9BBFA7}"/>
                      </c:ext>
                    </c:extLst>
                  </c:dLbl>
                  <c:dLbl>
                    <c:idx val="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8008-447B-8DAE-42F58E9BBFA7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8008-447B-8DAE-42F58E9BBFA7}"/>
                      </c:ext>
                    </c:extLst>
                  </c:dLbl>
                  <c:dLbl>
                    <c:idx val="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8008-447B-8DAE-42F58E9BBFA7}"/>
                      </c:ext>
                    </c:extLst>
                  </c:dLbl>
                  <c:dLbl>
                    <c:idx val="9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8008-447B-8DAE-42F58E9BBFA7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8008-447B-8DAE-42F58E9BBFA7}"/>
                      </c:ext>
                    </c:extLst>
                  </c:dLbl>
                  <c:dLbl>
                    <c:idx val="1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08-447B-8DAE-42F58E9BBFA7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08-447B-8DAE-42F58E9BBFA7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08-447B-8DAE-42F58E9BBFA7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08-447B-8DAE-42F58E9BBFA7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08-447B-8DAE-42F58E9BBFA7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08-447B-8DAE-42F58E9BBFA7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08-447B-8DAE-42F58E9BBFA7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08-447B-8DAE-42F58E9BBFA7}"/>
                      </c:ext>
                    </c:extLst>
                  </c:dLbl>
                  <c:dLbl>
                    <c:idx val="19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08-447B-8DAE-42F58E9BBFA7}"/>
                      </c:ext>
                    </c:extLst>
                  </c:dLbl>
                  <c:dLbl>
                    <c:idx val="2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08-447B-8DAE-42F58E9BBFA7}"/>
                      </c:ext>
                    </c:extLst>
                  </c:dLbl>
                  <c:dLbl>
                    <c:idx val="2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08-447B-8DAE-42F58E9BBFA7}"/>
                      </c:ext>
                    </c:extLst>
                  </c:dLbl>
                  <c:dLbl>
                    <c:idx val="22"/>
                    <c:numFmt formatCode="#,##0_);[Red]\(#,##0\)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lang="zh-CN" sz="9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CN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08-447B-8DAE-42F58E9BBFA7}"/>
                      </c:ext>
                    </c:extLst>
                  </c:dLbl>
                  <c:dLbl>
                    <c:idx val="2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08-447B-8DAE-42F58E9BBFA7}"/>
                      </c:ext>
                    </c:extLst>
                  </c:dLbl>
                  <c:dLbl>
                    <c:idx val="2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08-447B-8DAE-42F58E9BBFA7}"/>
                      </c:ext>
                    </c:extLst>
                  </c:dLbl>
                  <c:dLbl>
                    <c:idx val="2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08-447B-8DAE-42F58E9BBFA7}"/>
                      </c:ext>
                    </c:extLst>
                  </c:dLbl>
                  <c:dLbl>
                    <c:idx val="2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08-447B-8DAE-42F58E9BBFA7}"/>
                      </c:ext>
                    </c:extLst>
                  </c:dLbl>
                  <c:dLbl>
                    <c:idx val="2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08-447B-8DAE-42F58E9BBFA7}"/>
                      </c:ext>
                    </c:extLst>
                  </c:dLbl>
                  <c:dLbl>
                    <c:idx val="2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08-447B-8DAE-42F58E9BBFA7}"/>
                      </c:ext>
                    </c:extLst>
                  </c:dLbl>
                  <c:dLbl>
                    <c:idx val="29"/>
                    <c:numFmt formatCode="#,##0_);[Red]\(#,##0\)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lang="zh-CN" sz="9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zh-CN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08-447B-8DAE-42F58E9BBFA7}"/>
                      </c:ext>
                    </c:extLst>
                  </c:dLbl>
                  <c:dLbl>
                    <c:idx val="3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08-447B-8DAE-42F58E9BBFA7}"/>
                      </c:ext>
                    </c:extLst>
                  </c:dLbl>
                  <c:dLbl>
                    <c:idx val="3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08-447B-8DAE-42F58E9BBFA7}"/>
                      </c:ext>
                    </c:extLst>
                  </c:dLbl>
                  <c:dLbl>
                    <c:idx val="3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08-447B-8DAE-42F58E9BBFA7}"/>
                      </c:ext>
                    </c:extLst>
                  </c:dLbl>
                  <c:dLbl>
                    <c:idx val="3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08-447B-8DAE-42F58E9BBFA7}"/>
                      </c:ext>
                    </c:extLst>
                  </c:dLbl>
                  <c:dLbl>
                    <c:idx val="3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2-8008-447B-8DAE-42F58E9BBFA7}"/>
                      </c:ext>
                    </c:extLst>
                  </c:dLbl>
                  <c:dLbl>
                    <c:idx val="3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3-8008-447B-8DAE-42F58E9BBFA7}"/>
                      </c:ext>
                    </c:extLst>
                  </c:dLbl>
                  <c:dLbl>
                    <c:idx val="3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4-8008-447B-8DAE-42F58E9BBFA7}"/>
                      </c:ext>
                    </c:extLst>
                  </c:dLbl>
                  <c:dLbl>
                    <c:idx val="3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5-8008-447B-8DAE-42F58E9BBFA7}"/>
                      </c:ext>
                    </c:extLst>
                  </c:dLbl>
                  <c:dLbl>
                    <c:idx val="3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6-8008-447B-8DAE-42F58E9BBFA7}"/>
                      </c:ext>
                    </c:extLst>
                  </c:dLbl>
                  <c:dLbl>
                    <c:idx val="39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7-8008-447B-8DAE-42F58E9BBFA7}"/>
                      </c:ext>
                    </c:extLst>
                  </c:dLbl>
                  <c:dLbl>
                    <c:idx val="4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8-8008-447B-8DAE-42F58E9BBFA7}"/>
                      </c:ext>
                    </c:extLst>
                  </c:dLbl>
                  <c:dLbl>
                    <c:idx val="4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9-8008-447B-8DAE-42F58E9BBFA7}"/>
                      </c:ext>
                    </c:extLst>
                  </c:dLbl>
                  <c:dLbl>
                    <c:idx val="4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A-8008-447B-8DAE-42F58E9BBFA7}"/>
                      </c:ext>
                    </c:extLst>
                  </c:dLbl>
                  <c:dLbl>
                    <c:idx val="4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B-8008-447B-8DAE-42F58E9BBFA7}"/>
                      </c:ext>
                    </c:extLst>
                  </c:dLbl>
                  <c:dLbl>
                    <c:idx val="4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C-8008-447B-8DAE-42F58E9BBFA7}"/>
                      </c:ext>
                    </c:extLst>
                  </c:dLbl>
                  <c:dLbl>
                    <c:idx val="4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8008-447B-8DAE-42F58E9BBFA7}"/>
                      </c:ext>
                    </c:extLst>
                  </c:dLbl>
                  <c:dLbl>
                    <c:idx val="4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8008-447B-8DAE-42F58E9BBFA7}"/>
                      </c:ext>
                    </c:extLst>
                  </c:dLbl>
                  <c:dLbl>
                    <c:idx val="4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F-8008-447B-8DAE-42F58E9BBFA7}"/>
                      </c:ext>
                    </c:extLst>
                  </c:dLbl>
                  <c:dLbl>
                    <c:idx val="4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0-8008-447B-8DAE-42F58E9BBFA7}"/>
                      </c:ext>
                    </c:extLst>
                  </c:dLbl>
                  <c:dLbl>
                    <c:idx val="49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1-8008-447B-8DAE-42F58E9BBFA7}"/>
                      </c:ext>
                    </c:extLst>
                  </c:dLbl>
                  <c:dLbl>
                    <c:idx val="5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2-8008-447B-8DAE-42F58E9BBFA7}"/>
                      </c:ext>
                    </c:extLst>
                  </c:dLbl>
                  <c:dLbl>
                    <c:idx val="5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3-8008-447B-8DAE-42F58E9BBFA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透视!$R$119:$R$171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35.869999999999997</c:v>
                      </c:pt>
                      <c:pt idx="1">
                        <c:v>40</c:v>
                      </c:pt>
                      <c:pt idx="2">
                        <c:v>38.85</c:v>
                      </c:pt>
                      <c:pt idx="3">
                        <c:v>43.75</c:v>
                      </c:pt>
                      <c:pt idx="4">
                        <c:v>50.78</c:v>
                      </c:pt>
                      <c:pt idx="5">
                        <c:v>59.56</c:v>
                      </c:pt>
                      <c:pt idx="6">
                        <c:v>56.4</c:v>
                      </c:pt>
                      <c:pt idx="7">
                        <c:v>72</c:v>
                      </c:pt>
                      <c:pt idx="8">
                        <c:v>60.58</c:v>
                      </c:pt>
                      <c:pt idx="9">
                        <c:v>56.58</c:v>
                      </c:pt>
                      <c:pt idx="10">
                        <c:v>68.67</c:v>
                      </c:pt>
                      <c:pt idx="11">
                        <c:v>65.41</c:v>
                      </c:pt>
                      <c:pt idx="12">
                        <c:v>63.33</c:v>
                      </c:pt>
                      <c:pt idx="13">
                        <c:v>67.69</c:v>
                      </c:pt>
                      <c:pt idx="14">
                        <c:v>71.78</c:v>
                      </c:pt>
                      <c:pt idx="15">
                        <c:v>77.23</c:v>
                      </c:pt>
                      <c:pt idx="16">
                        <c:v>35.6</c:v>
                      </c:pt>
                      <c:pt idx="17">
                        <c:v>48.13</c:v>
                      </c:pt>
                      <c:pt idx="18">
                        <c:v>61.62</c:v>
                      </c:pt>
                      <c:pt idx="19">
                        <c:v>66.900000000000006</c:v>
                      </c:pt>
                      <c:pt idx="20">
                        <c:v>57.62</c:v>
                      </c:pt>
                      <c:pt idx="21">
                        <c:v>59.06</c:v>
                      </c:pt>
                      <c:pt idx="22">
                        <c:v>66.209999999999994</c:v>
                      </c:pt>
                      <c:pt idx="23">
                        <c:v>66.03</c:v>
                      </c:pt>
                      <c:pt idx="24">
                        <c:v>59.67</c:v>
                      </c:pt>
                      <c:pt idx="25">
                        <c:v>57.25</c:v>
                      </c:pt>
                      <c:pt idx="26">
                        <c:v>52.33</c:v>
                      </c:pt>
                      <c:pt idx="27">
                        <c:v>58.19</c:v>
                      </c:pt>
                      <c:pt idx="28">
                        <c:v>57.56</c:v>
                      </c:pt>
                      <c:pt idx="29">
                        <c:v>67.59</c:v>
                      </c:pt>
                      <c:pt idx="30">
                        <c:v>47.36</c:v>
                      </c:pt>
                      <c:pt idx="31">
                        <c:v>38.380000000000003</c:v>
                      </c:pt>
                      <c:pt idx="32">
                        <c:v>45.36</c:v>
                      </c:pt>
                      <c:pt idx="33">
                        <c:v>50.75</c:v>
                      </c:pt>
                      <c:pt idx="34">
                        <c:v>58.069000000000003</c:v>
                      </c:pt>
                      <c:pt idx="35">
                        <c:v>51.23</c:v>
                      </c:pt>
                      <c:pt idx="36">
                        <c:v>43.807000000000002</c:v>
                      </c:pt>
                      <c:pt idx="37">
                        <c:v>53.43</c:v>
                      </c:pt>
                      <c:pt idx="38">
                        <c:v>50.664999999999999</c:v>
                      </c:pt>
                      <c:pt idx="39">
                        <c:v>41.695</c:v>
                      </c:pt>
                      <c:pt idx="40">
                        <c:v>45.298999999999999</c:v>
                      </c:pt>
                      <c:pt idx="41">
                        <c:v>39.54</c:v>
                      </c:pt>
                      <c:pt idx="42">
                        <c:v>50.698999999999998</c:v>
                      </c:pt>
                      <c:pt idx="43">
                        <c:v>36.371000000000002</c:v>
                      </c:pt>
                      <c:pt idx="44">
                        <c:v>50.545999999999999</c:v>
                      </c:pt>
                      <c:pt idx="45">
                        <c:v>45.4</c:v>
                      </c:pt>
                      <c:pt idx="46">
                        <c:v>53.335000000000001</c:v>
                      </c:pt>
                      <c:pt idx="47">
                        <c:v>46.863</c:v>
                      </c:pt>
                      <c:pt idx="48">
                        <c:v>51.057000000000002</c:v>
                      </c:pt>
                      <c:pt idx="49">
                        <c:v>50.133000000000003</c:v>
                      </c:pt>
                      <c:pt idx="50">
                        <c:v>29.155000000000001</c:v>
                      </c:pt>
                      <c:pt idx="51">
                        <c:v>51.857999999999997</c:v>
                      </c:pt>
                      <c:pt idx="52">
                        <c:v>49.055599999999998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8008-447B-8DAE-42F58E9BBFA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透视!$S$118</c15:sqref>
                        </c15:formulaRef>
                      </c:ext>
                    </c:extLst>
                    <c:strCache>
                      <c:ptCount val="1"/>
                      <c:pt idx="0">
                        <c:v>25/26产季</c:v>
                      </c:pt>
                    </c:strCache>
                  </c:strRef>
                </c:tx>
                <c:spPr>
                  <a:ln w="28575" cap="rnd">
                    <a:solidFill>
                      <a:schemeClr val="bg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透视!$S$119:$S$171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51.857999999999997</c:v>
                      </c:pt>
                      <c:pt idx="1">
                        <c:v>49.055599999999998</c:v>
                      </c:pt>
                      <c:pt idx="2" formatCode="0.00_);[Red]\(0.00\)">
                        <c:v>63.94</c:v>
                      </c:pt>
                      <c:pt idx="3" formatCode="0.00_);[Red]\(0.00\)">
                        <c:v>54.65</c:v>
                      </c:pt>
                      <c:pt idx="4" formatCode="0.00_);[Red]\(0.00\)">
                        <c:v>54.466000000000001</c:v>
                      </c:pt>
                      <c:pt idx="5" formatCode="0.00_);[Red]\(0.00\)">
                        <c:v>55.77</c:v>
                      </c:pt>
                      <c:pt idx="6" formatCode="0.00_);[Red]\(0.00\)">
                        <c:v>62.64</c:v>
                      </c:pt>
                      <c:pt idx="7" formatCode="0.00_);[Red]\(0.00\)">
                        <c:v>57.375</c:v>
                      </c:pt>
                      <c:pt idx="8" formatCode="0.00_);[Red]\(0.00\)">
                        <c:v>49.796999999999997</c:v>
                      </c:pt>
                      <c:pt idx="9" formatCode="0.00_);[Red]\(0.00\)">
                        <c:v>58.517000000000003</c:v>
                      </c:pt>
                      <c:pt idx="10" formatCode="0.00_);[Red]\(0.00\)">
                        <c:v>64.760999999999996</c:v>
                      </c:pt>
                      <c:pt idx="11" formatCode="0.00_);[Red]\(0.00\)">
                        <c:v>56.281999999999996</c:v>
                      </c:pt>
                      <c:pt idx="12" formatCode="0.00_);[Red]\(0.00\)">
                        <c:v>77.06</c:v>
                      </c:pt>
                      <c:pt idx="13" formatCode="0.00_);[Red]\(0.00\)">
                        <c:v>70.126999999999995</c:v>
                      </c:pt>
                      <c:pt idx="14" formatCode="0.00_);[Red]\(0.00\)">
                        <c:v>58.71</c:v>
                      </c:pt>
                      <c:pt idx="15" formatCode="0.00_);[Red]\(0.00\)">
                        <c:v>62.575000000000003</c:v>
                      </c:pt>
                      <c:pt idx="16" formatCode="0.00_);[Red]\(0.00\)">
                        <c:v>66.805000000000007</c:v>
                      </c:pt>
                      <c:pt idx="17" formatCode="0.00_);[Red]\(0.00\)">
                        <c:v>76.391000000000005</c:v>
                      </c:pt>
                      <c:pt idx="18" formatCode="0.00_);[Red]\(0.00\)">
                        <c:v>71.538499999999999</c:v>
                      </c:pt>
                      <c:pt idx="19" formatCode="0.00_);[Red]\(0.00\)">
                        <c:v>14.658899999999999</c:v>
                      </c:pt>
                      <c:pt idx="20" formatCode="0.00_);[Red]\(0.00\)">
                        <c:v>34.204099999999997</c:v>
                      </c:pt>
                      <c:pt idx="21" formatCode="0.00_);[Red]\(0.00\)">
                        <c:v>56.847000000000001</c:v>
                      </c:pt>
                      <c:pt idx="22" formatCode="0.00_);[Red]\(0.00\)">
                        <c:v>56.32</c:v>
                      </c:pt>
                      <c:pt idx="23" formatCode="0.00_);[Red]\(0.00\)">
                        <c:v>45.814999999999998</c:v>
                      </c:pt>
                      <c:pt idx="24" formatCode="0.00_);[Red]\(0.00\)">
                        <c:v>54.604999999999997</c:v>
                      </c:pt>
                      <c:pt idx="25" formatCode="0.00_);[Red]\(0.00\)">
                        <c:v>48.018999999999998</c:v>
                      </c:pt>
                      <c:pt idx="26" formatCode="0.00_);[Red]\(0.00\)">
                        <c:v>41.91</c:v>
                      </c:pt>
                      <c:pt idx="27" formatCode="0.00_);[Red]\(0.00\)">
                        <c:v>43.56</c:v>
                      </c:pt>
                      <c:pt idx="28" formatCode="0.00_);[Red]\(0.00\)">
                        <c:v>33.409999999999997</c:v>
                      </c:pt>
                      <c:pt idx="29" formatCode="0.00_);[Red]\(0.00\)">
                        <c:v>32.534999999999997</c:v>
                      </c:pt>
                      <c:pt idx="30" formatCode="0.00_);[Red]\(0.00\)">
                        <c:v>29.603000000000002</c:v>
                      </c:pt>
                      <c:pt idx="31" formatCode="0.00_);[Red]\(0.00\)">
                        <c:v>36.637</c:v>
                      </c:pt>
                      <c:pt idx="32" formatCode="0.00_);[Red]\(0.00\)">
                        <c:v>35.051000000000002</c:v>
                      </c:pt>
                      <c:pt idx="33" formatCode="0.00_);[Red]\(0.00\)">
                        <c:v>36.894500000000001</c:v>
                      </c:pt>
                      <c:pt idx="34" formatCode="0.00_);[Red]\(0.00\)">
                        <c:v>25.59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8008-447B-8DAE-42F58E9BBFA7}"/>
                  </c:ext>
                </c:extLst>
              </c15:ser>
            </c15:filteredLineSeries>
          </c:ext>
        </c:extLst>
      </c:lineChart>
      <c:catAx>
        <c:axId val="1205976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973103"/>
        <c:crosses val="autoZero"/>
        <c:auto val="1"/>
        <c:lblAlgn val="ctr"/>
        <c:lblOffset val="100"/>
        <c:noMultiLvlLbl val="0"/>
      </c:catAx>
      <c:valAx>
        <c:axId val="12059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9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db9e05-82b1-47be-a664-b46538a253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363855</xdr:colOff>
      <xdr:row>175</xdr:row>
      <xdr:rowOff>83185</xdr:rowOff>
    </xdr:from>
    <xdr:to>
      <xdr:col>18</xdr:col>
      <xdr:colOff>204312</xdr:colOff>
      <xdr:row>191</xdr:row>
      <xdr:rowOff>80805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&#24037;&#20316;&#36164;&#26009;/&#36816;&#33829;&#21608;&#25253;/&#24213;&#34920;/&#31038;&#20250;&#36208;&#36135;&#37327;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蔡梅梅" refreshedDate="45739.769671064802" createdVersion="8" refreshedVersion="8" minRefreshableVersion="3" recordCount="120" xr:uid="{00000000-000A-0000-FFFF-FFFF00000000}">
  <cacheSource type="worksheet">
    <worksheetSource ref="A1:Q1048576" sheet="我司走货量"/>
  </cacheSource>
  <cacheFields count="20">
    <cacheField name="与社会港存对应日期" numFmtId="177">
      <sharedItems containsNonDate="0" containsDate="1" containsString="0" containsBlank="1" minDate="2022-12-02T00:00:00" maxDate="2025-03-21T00:00:00" count="120">
        <d v="2022-12-02T00:00:00"/>
        <d v="2022-12-09T00:00:00"/>
        <d v="2022-12-16T00:00:00"/>
        <d v="2022-12-23T00:00:00"/>
        <d v="2022-12-30T00:00:00"/>
        <d v="2023-01-06T00:00:00"/>
        <d v="2023-01-13T00:00:00"/>
        <d v="2023-01-20T00:00:00"/>
        <d v="2023-01-27T00:00:00"/>
        <d v="2023-02-03T00:00:00"/>
        <d v="2023-02-10T00:00:00"/>
        <d v="2023-02-17T00:00:00"/>
        <d v="2023-02-24T00:00:00"/>
        <d v="2023-03-03T00:00:00"/>
        <d v="2023-03-10T00:00:00"/>
        <d v="2023-03-17T00:00:00"/>
        <d v="2023-03-24T00:00:00"/>
        <d v="2023-03-31T00:00:00"/>
        <d v="2023-04-07T00:00:00"/>
        <d v="2023-04-14T00:00:00"/>
        <d v="2023-04-21T00:00:00"/>
        <d v="2023-04-28T00:00:00"/>
        <d v="2023-05-05T00:00:00"/>
        <d v="2023-05-12T00:00:00"/>
        <d v="2023-05-19T00:00:00"/>
        <d v="2023-05-26T00:00:00"/>
        <d v="2023-06-02T00:00:00"/>
        <d v="2023-06-09T00:00:00"/>
        <d v="2023-06-16T00:00:00"/>
        <d v="2023-06-25T00:00:00"/>
        <d v="2023-06-30T00:00:00"/>
        <d v="2023-07-06T00:00:00"/>
        <d v="2023-07-13T00:00:00"/>
        <d v="2023-07-20T00:00:00"/>
        <d v="2023-07-27T00:00:00"/>
        <d v="2023-08-04T00:00:00"/>
        <d v="2023-08-11T00:00:00"/>
        <d v="2023-08-18T00:00:00"/>
        <d v="2023-08-25T00:00:00"/>
        <d v="2023-09-01T00:00:00"/>
        <d v="2023-09-08T00:00:00"/>
        <d v="2023-09-15T00:00:00"/>
        <d v="2023-09-22T00:00:00"/>
        <d v="2023-09-29T00:00:00"/>
        <d v="2023-10-06T00:00:00"/>
        <d v="2023-10-13T00:00:00"/>
        <d v="2023-10-20T00:00:00"/>
        <d v="2023-10-27T00:00:00"/>
        <d v="2023-11-03T00:00:00"/>
        <d v="2023-11-10T00:00:00"/>
        <d v="2023-11-17T00:00:00"/>
        <d v="2023-11-24T00:00:00"/>
        <d v="2023-12-01T00:00:00"/>
        <d v="2023-12-08T00:00:00"/>
        <d v="2023-12-15T00:00:00"/>
        <d v="2023-12-22T00:00:00"/>
        <d v="2023-12-29T00:00:00"/>
        <d v="2024-01-05T00:00:00"/>
        <d v="2024-01-12T00:00:00"/>
        <d v="2024-01-19T00:00:00"/>
        <d v="2024-01-26T00:00:00"/>
        <d v="2024-02-02T00:00:00"/>
        <d v="2024-02-09T00:00:00"/>
        <d v="2024-02-16T00:00:00"/>
        <d v="2024-02-23T00:00:00"/>
        <d v="2024-03-01T00:00:00"/>
        <d v="2024-03-08T00:00:00"/>
        <d v="2024-03-15T00:00:00"/>
        <d v="2024-03-22T00:00:00"/>
        <d v="2024-03-29T00:00:00"/>
        <d v="2024-04-05T00:00:00"/>
        <d v="2024-04-12T00:00:00"/>
        <d v="2024-04-19T00:00:00"/>
        <d v="2024-04-26T00:00:00"/>
        <d v="2024-05-03T00:00:00"/>
        <d v="2024-05-10T00:00:00"/>
        <d v="2024-05-17T00:00:00"/>
        <d v="2024-05-23T00:00:00"/>
        <d v="2024-05-30T00:00:00"/>
        <d v="2024-06-07T00:00:00"/>
        <d v="2024-06-14T00:00:00"/>
        <d v="2024-06-21T00:00:00"/>
        <d v="2024-06-28T00:00:00"/>
        <d v="2024-07-05T00:00:00"/>
        <d v="2024-07-12T00:00:00"/>
        <d v="2024-07-19T00:00:00"/>
        <d v="2024-07-26T00:00:00"/>
        <d v="2024-08-02T00:00:00"/>
        <d v="2024-08-09T00:00:00"/>
        <d v="2024-08-16T00:00:00"/>
        <d v="2024-08-23T00:00:00"/>
        <d v="2024-08-30T00:00:00"/>
        <d v="2024-09-06T00:00:00"/>
        <d v="2024-09-14T00:00:00"/>
        <d v="2024-09-20T00:00:00"/>
        <d v="2024-09-27T00:00:00"/>
        <d v="2024-10-11T00:00:00"/>
        <d v="2024-10-18T00:00:00"/>
        <d v="2024-10-25T00:00:00"/>
        <d v="2024-11-01T00:00:00"/>
        <d v="2024-11-08T00:00:00"/>
        <d v="2024-11-15T00:00:00"/>
        <d v="2024-11-22T00:00:00"/>
        <d v="2024-11-29T00:00:00"/>
        <d v="2024-12-06T00:00:00"/>
        <d v="2024-12-13T00:00:00"/>
        <d v="2024-12-20T00:00:00"/>
        <d v="2024-12-27T00:00:00"/>
        <d v="2025-01-03T00:00:00"/>
        <d v="2025-01-10T00:00:00"/>
        <d v="2025-01-17T00:00:00"/>
        <d v="2025-01-24T00:00:00"/>
        <d v="2025-02-07T00:00:00"/>
        <d v="2025-02-14T00:00:00"/>
        <d v="2025-02-21T00:00:00"/>
        <d v="2025-02-28T00:00:00"/>
        <d v="2025-03-07T00:00:00"/>
        <d v="2025-03-14T00:00:00"/>
        <d v="2025-03-21T00:00:00"/>
        <m/>
      </sharedItems>
    </cacheField>
    <cacheField name="实际登记日期" numFmtId="177">
      <sharedItems containsSemiMixedTypes="0" containsNonDate="0" containsString="0"/>
    </cacheField>
    <cacheField name="产季" numFmtId="0">
      <sharedItems containsSemiMixedTypes="0" containsNonDate="0" containsString="0"/>
    </cacheField>
    <cacheField name="珠三角能量原料" numFmtId="0">
      <sharedItems containsSemiMixedTypes="0" containsNonDate="0" containsString="0"/>
    </cacheField>
    <cacheField name="粤西能量原料" numFmtId="0">
      <sharedItems containsSemiMixedTypes="0" containsNonDate="0" containsString="0"/>
    </cacheField>
    <cacheField name="钦州能量原料" numFmtId="0">
      <sharedItems containsSemiMixedTypes="0" containsNonDate="0" containsString="0"/>
    </cacheField>
    <cacheField name="防城港能量原料" numFmtId="0">
      <sharedItems containsSemiMixedTypes="0" containsNonDate="0" containsString="0"/>
    </cacheField>
    <cacheField name="福建能量原料" numFmtId="0">
      <sharedItems containsSemiMixedTypes="0" containsNonDate="0" containsString="0"/>
    </cacheField>
    <cacheField name="海南能量原料" numFmtId="0">
      <sharedItems containsSemiMixedTypes="0" containsNonDate="0" containsString="0"/>
    </cacheField>
    <cacheField name="我司合计能量原料" numFmtId="0">
      <sharedItems containsSemiMixedTypes="0" containsNonDate="0" containsString="0"/>
    </cacheField>
    <cacheField name="珠三角内贸玉米" numFmtId="0">
      <sharedItems containsSemiMixedTypes="0" containsNonDate="0" containsString="0"/>
    </cacheField>
    <cacheField name="粤西内贸玉米" numFmtId="0">
      <sharedItems containsSemiMixedTypes="0" containsNonDate="0" containsString="0"/>
    </cacheField>
    <cacheField name="钦州内贸玉米" numFmtId="0">
      <sharedItems containsSemiMixedTypes="0" containsNonDate="0" containsString="0"/>
    </cacheField>
    <cacheField name="防城港内贸玉米" numFmtId="0">
      <sharedItems containsSemiMixedTypes="0" containsNonDate="0" containsString="0"/>
    </cacheField>
    <cacheField name="福建内贸玉米" numFmtId="0">
      <sharedItems containsSemiMixedTypes="0" containsNonDate="0" containsString="0"/>
    </cacheField>
    <cacheField name="海南内贸玉米" numFmtId="0">
      <sharedItems containsSemiMixedTypes="0" containsNonDate="0" containsString="0"/>
    </cacheField>
    <cacheField name="我司合计内贸玉米" numFmtId="0">
      <sharedItems containsSemiMixedTypes="0" containsNonDate="0" containsString="0"/>
    </cacheField>
    <cacheField name="月(与社会港存对应日期)" numFmtId="0" databaseField="0">
      <fieldGroup base="0">
        <rangePr groupBy="months" startDate="2022-12-02T00:00:00" endDate="2025-03-22T00:00:00"/>
        <groupItems count="14">
          <s v="&lt;2022/12/2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3/22"/>
        </groupItems>
      </fieldGroup>
    </cacheField>
    <cacheField name="季度(与社会港存对应日期)" numFmtId="0" databaseField="0">
      <fieldGroup base="0">
        <rangePr groupBy="quarters" startDate="2022-12-02T00:00:00" endDate="2025-03-22T00:00:00"/>
        <groupItems count="6">
          <s v="&lt;2022/12/2"/>
          <s v="第一季"/>
          <s v="第二季"/>
          <s v="第三季"/>
          <s v="第四季"/>
          <s v="&gt;2025/3/22"/>
        </groupItems>
      </fieldGroup>
    </cacheField>
    <cacheField name="年(与社会港存对应日期)" numFmtId="0" databaseField="0">
      <fieldGroup base="0">
        <rangePr groupBy="years" startDate="2022-12-02T00:00:00" endDate="2025-03-22T00:00:00"/>
        <groupItems count="6">
          <s v="&lt;2022/12/2"/>
          <s v="2022年"/>
          <s v="2023年"/>
          <s v="2024年"/>
          <s v="2025年"/>
          <s v="&gt;2025/3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3850" refreshedDate="45746.915439814802" createdVersion="8" refreshedVersion="5" minRefreshableVersion="3" recordCount="131" xr:uid="{00000000-000A-0000-FFFF-FFFF01000000}">
  <cacheSource type="worksheet">
    <worksheetSource ref="B1:AN1048576" sheet="社会走货量" r:id="rId2"/>
  </cacheSource>
  <cacheFields count="39">
    <cacheField name="日期" numFmtId="177">
      <sharedItems containsNonDate="0" containsDate="1" containsString="0" containsBlank="1" minDate="2022-09-30T00:00:00" maxDate="2025-03-28T00:00:00" count="131">
        <d v="2022-09-30T00:00:00"/>
        <d v="2022-10-07T00:00:00"/>
        <d v="2022-10-14T00:00:00"/>
        <d v="2022-10-21T00:00:00"/>
        <d v="2022-10-28T00:00:00"/>
        <d v="2022-11-04T00:00:00"/>
        <d v="2022-11-11T00:00:00"/>
        <d v="2022-11-17T00:00:00"/>
        <d v="2022-11-25T00:00:00"/>
        <d v="2022-12-02T00:00:00"/>
        <d v="2022-12-09T00:00:00"/>
        <d v="2022-12-16T00:00:00"/>
        <d v="2022-12-23T00:00:00"/>
        <d v="2022-12-30T00:00:00"/>
        <d v="2023-01-06T00:00:00"/>
        <d v="2023-01-13T00:00:00"/>
        <d v="2023-01-20T00:00:00"/>
        <d v="2023-01-27T00:00:00"/>
        <d v="2023-02-03T00:00:00"/>
        <d v="2023-02-10T00:00:00"/>
        <d v="2023-02-17T00:00:00"/>
        <d v="2023-02-24T00:00:00"/>
        <d v="2023-03-03T00:00:00"/>
        <d v="2023-03-10T00:00:00"/>
        <d v="2023-03-17T00:00:00"/>
        <d v="2023-03-24T00:00:00"/>
        <d v="2023-03-31T00:00:00"/>
        <d v="2023-04-07T00:00:00"/>
        <d v="2023-04-14T00:00:00"/>
        <d v="2023-04-21T00:00:00"/>
        <d v="2023-04-28T00:00:00"/>
        <d v="2023-05-05T00:00:00"/>
        <d v="2023-05-12T00:00:00"/>
        <d v="2023-05-19T00:00:00"/>
        <d v="2023-05-26T00:00:00"/>
        <d v="2023-06-02T00:00:00"/>
        <d v="2023-06-09T00:00:00"/>
        <d v="2023-06-16T00:00:00"/>
        <d v="2023-06-25T00:00:00"/>
        <d v="2023-06-30T00:00:00"/>
        <d v="2023-07-06T00:00:00"/>
        <d v="2023-07-13T00:00:00"/>
        <d v="2023-07-20T00:00:00"/>
        <d v="2023-07-27T00:00:00"/>
        <d v="2023-08-04T00:00:00"/>
        <d v="2023-08-11T00:00:00"/>
        <d v="2023-08-18T00:00:00"/>
        <d v="2023-08-25T00:00:00"/>
        <d v="2023-09-01T00:00:00"/>
        <d v="2023-09-08T00:00:00"/>
        <d v="2023-09-15T00:00:00"/>
        <d v="2023-09-22T00:00:00"/>
        <d v="2023-09-29T00:00:00"/>
        <d v="2023-10-06T00:00:00"/>
        <d v="2023-10-13T00:00:00"/>
        <d v="2023-10-20T00:00:00"/>
        <d v="2023-10-27T00:00:00"/>
        <d v="2023-11-03T00:00:00"/>
        <d v="2023-11-10T00:00:00"/>
        <d v="2023-11-17T00:00:00"/>
        <d v="2023-11-24T00:00:00"/>
        <d v="2023-12-01T00:00:00"/>
        <d v="2023-12-08T00:00:00"/>
        <d v="2023-12-15T00:00:00"/>
        <d v="2023-12-22T00:00:00"/>
        <d v="2023-12-29T00:00:00"/>
        <d v="2024-01-05T00:00:00"/>
        <d v="2024-01-12T00:00:00"/>
        <d v="2024-01-19T00:00:00"/>
        <d v="2024-01-26T00:00:00"/>
        <d v="2024-02-02T00:00:00"/>
        <d v="2024-02-09T00:00:00"/>
        <d v="2024-02-16T00:00:00"/>
        <d v="2024-02-23T00:00:00"/>
        <d v="2024-03-01T00:00:00"/>
        <d v="2024-03-08T00:00:00"/>
        <d v="2024-03-15T00:00:00"/>
        <d v="2024-03-22T00:00:00"/>
        <d v="2024-03-29T00:00:00"/>
        <d v="2024-04-05T00:00:00"/>
        <d v="2024-04-12T00:00:00"/>
        <d v="2024-04-19T00:00:00"/>
        <d v="2024-04-26T00:00:00"/>
        <d v="2024-05-03T00:00:00"/>
        <d v="2024-05-10T00:00:00"/>
        <d v="2024-05-17T00:00:00"/>
        <d v="2024-05-23T00:00:00"/>
        <d v="2024-05-30T00:00:00"/>
        <d v="2024-06-07T00:00:00"/>
        <d v="2024-06-14T00:00:00"/>
        <d v="2024-06-21T00:00:00"/>
        <d v="2024-06-28T00:00:00"/>
        <d v="2024-07-05T00:00:00"/>
        <d v="2024-07-12T00:00:00"/>
        <d v="2024-07-19T00:00:00"/>
        <d v="2024-07-26T00:00:00"/>
        <d v="2024-08-02T00:00:00"/>
        <d v="2024-08-09T00:00:00"/>
        <d v="2024-08-16T00:00:00"/>
        <d v="2024-08-23T00:00:00"/>
        <d v="2024-08-30T00:00:00"/>
        <d v="2024-09-06T00:00:00"/>
        <d v="2024-09-14T00:00:00"/>
        <d v="2024-09-20T00:00:00"/>
        <d v="2024-09-27T00:00:00"/>
        <d v="2024-10-11T00:00:00"/>
        <d v="2024-10-18T00:00:00"/>
        <d v="2024-10-25T00:00:00"/>
        <d v="2024-11-01T00:00:00"/>
        <d v="2024-11-08T00:00:00"/>
        <d v="2024-11-15T00:00:00"/>
        <d v="2024-11-22T00:00:00"/>
        <d v="2024-11-29T00:00:00"/>
        <d v="2024-12-06T00:00:00"/>
        <d v="2024-12-13T00:00:00"/>
        <d v="2024-12-20T00:00:00"/>
        <d v="2024-12-27T00:00:00"/>
        <d v="2025-01-03T00:00:00"/>
        <d v="2025-01-10T00:00:00"/>
        <d v="2025-01-17T00:00:00"/>
        <d v="2025-01-24T00:00:00"/>
        <d v="2025-01-31T00:00:00"/>
        <d v="2025-02-07T00:00:00"/>
        <d v="2025-02-14T00:00:00"/>
        <d v="2025-02-21T00:00:00"/>
        <d v="2025-02-28T00:00:00"/>
        <d v="2025-03-07T00:00:00"/>
        <d v="2025-03-14T00:00:00"/>
        <d v="2025-03-21T00:00:00"/>
        <d v="2025-03-28T00:00:00"/>
        <m/>
      </sharedItems>
    </cacheField>
    <cacheField name="产季" numFmtId="0">
      <sharedItems containsBlank="1" count="4">
        <s v="22/23产季"/>
        <s v="23/24产季"/>
        <s v="24/25产季"/>
        <m/>
      </sharedItems>
    </cacheField>
    <cacheField name="珠三角能量原料" numFmtId="0">
      <sharedItems containsString="0" containsBlank="1" containsNumber="1" minValue="0" maxValue="74.849999999999994" count="124">
        <n v="57.62"/>
        <n v="11"/>
        <n v="50.83"/>
        <n v="45.57"/>
        <n v="49.73"/>
        <n v="39.22"/>
        <n v="50.35"/>
        <n v="61.64"/>
        <n v="59.01"/>
        <n v="44.59"/>
        <n v="53.59"/>
        <n v="60.43"/>
        <n v="56.17"/>
        <n v="61.87"/>
        <n v="54"/>
        <n v="65.28"/>
        <n v="27"/>
        <n v="74.849999999999994"/>
        <n v="42.66"/>
        <n v="57.24"/>
        <n v="52.36"/>
        <n v="60.87"/>
        <n v="51.8"/>
        <n v="49"/>
        <n v="32.979999999999997"/>
        <n v="53.14"/>
        <n v="42.01"/>
        <n v="57.07"/>
        <n v="32"/>
        <n v="46.17"/>
        <n v="18"/>
        <n v="55.7"/>
        <n v="52.35"/>
        <n v="52.75"/>
        <n v="52.96"/>
        <n v="61.72"/>
        <n v="45.68"/>
        <n v="40.19"/>
        <n v="43.66"/>
        <n v="48.58"/>
        <n v="37.700000000000003"/>
        <n v="31"/>
        <n v="28.1"/>
        <n v="26.7"/>
        <n v="26.6"/>
        <n v="35.4"/>
        <n v="27.4"/>
        <n v="26"/>
        <n v="18.100000000000001"/>
        <n v="40.5"/>
        <n v="65.2"/>
        <n v="15"/>
        <n v="58.7"/>
        <n v="47.2"/>
        <n v="51.7"/>
        <n v="69.7"/>
        <n v="52.7"/>
        <n v="46.4"/>
        <n v="53"/>
        <n v="50.8"/>
        <n v="49.3"/>
        <n v="48.7"/>
        <n v="47.7"/>
        <n v="51"/>
        <n v="7"/>
        <n v="44.7"/>
        <n v="53.1"/>
        <n v="57.4"/>
        <n v="59.1"/>
        <n v="13"/>
        <n v="43.6"/>
        <n v="53.8"/>
        <n v="49.8"/>
        <n v="58.3"/>
        <n v="46"/>
        <n v="34.1"/>
        <n v="46.8"/>
        <n v="50.2"/>
        <n v="34.299999999999997"/>
        <n v="10.6"/>
        <n v="52.3"/>
        <n v="54.1"/>
        <n v="33.299999999999997"/>
        <n v="51.5"/>
        <n v="37.9"/>
        <n v="43"/>
        <n v="52.2"/>
        <n v="42.1"/>
        <n v="36.6"/>
        <n v="41.1"/>
        <n v="39.299999999999997"/>
        <n v="38.200000000000003"/>
        <n v="38"/>
        <n v="49.9"/>
        <n v="45.5"/>
        <n v="38.5"/>
        <n v="40.6"/>
        <n v="45.9"/>
        <n v="42"/>
        <n v="44.2"/>
        <n v="50"/>
        <n v="50.3"/>
        <n v="41.3"/>
        <n v="52.9"/>
        <n v="41.93"/>
        <n v="46.97"/>
        <n v="40.06"/>
        <n v="58.16"/>
        <n v="56.6"/>
        <n v="47"/>
        <n v="57.6"/>
        <n v="50.98"/>
        <n v="71.38"/>
        <n v="60.89"/>
        <n v="29.5"/>
        <n v="30.74"/>
        <n v="51.35"/>
        <n v="61"/>
        <n v="56.38"/>
        <n v="46.92"/>
        <n v="57.12"/>
        <n v="48.52"/>
        <n v="51.73"/>
        <m/>
      </sharedItems>
    </cacheField>
    <cacheField name="粤西能量原料" numFmtId="0">
      <sharedItems containsString="0" containsBlank="1" containsNumber="1" minValue="0" maxValue="14.45" count="88">
        <n v="0"/>
        <n v="4.8499999999999996"/>
        <n v="7.55"/>
        <n v="3.7"/>
        <n v="8.91"/>
        <n v="4.6399999999999997"/>
        <n v="9.86"/>
        <n v="9.99"/>
        <n v="7.54"/>
        <n v="6.96"/>
        <n v="3.63"/>
        <n v="6.17"/>
        <n v="3.56"/>
        <n v="5.52"/>
        <n v="6.5"/>
        <n v="8.3699999999999992"/>
        <n v="11.29"/>
        <n v="10.43"/>
        <n v="13.67"/>
        <n v="7.23"/>
        <n v="10.24"/>
        <n v="11.68"/>
        <n v="9.6"/>
        <n v="8.1"/>
        <n v="9.19"/>
        <n v="4.7300000000000004"/>
        <n v="6.42"/>
        <n v="13.3"/>
        <n v="9.17"/>
        <n v="7.49"/>
        <n v="9.94"/>
        <n v="12.8"/>
        <n v="10.85"/>
        <n v="12.23"/>
        <n v="8.3800000000000008"/>
        <n v="10.88"/>
        <n v="10.029999999999999"/>
        <n v="9.65"/>
        <n v="5.31"/>
        <n v="6.13"/>
        <n v="5.83"/>
        <n v="1"/>
        <n v="5.51"/>
        <n v="6.11"/>
        <n v="7.21"/>
        <n v="4.8099999999999996"/>
        <n v="7.19"/>
        <n v="6.27"/>
        <n v="8.2799999999999994"/>
        <n v="8.0500000000000007"/>
        <n v="7.94"/>
        <n v="8.32"/>
        <n v="7.06"/>
        <n v="5.75"/>
        <n v="4.93"/>
        <n v="6.09"/>
        <n v="8.3000000000000007"/>
        <n v="7.86"/>
        <n v="6.53"/>
        <n v="5.91"/>
        <n v="7"/>
        <n v="9.2100000000000009"/>
        <n v="3.84"/>
        <n v="6.55"/>
        <n v="6.77"/>
        <n v="8.07"/>
        <n v="14.41"/>
        <n v="11.64"/>
        <n v="11.53"/>
        <n v="14.45"/>
        <n v="10.99"/>
        <n v="10.46"/>
        <n v="11.59"/>
        <n v="11.11"/>
        <n v="8.14"/>
        <n v="13.02"/>
        <n v="7.93"/>
        <n v="12.63"/>
        <n v="10.57"/>
        <n v="11.24"/>
        <n v="10.01"/>
        <n v="9.44"/>
        <n v="7.9"/>
        <n v="11.94"/>
        <n v="9.06"/>
        <n v="11.17"/>
        <n v="7.41"/>
        <m/>
      </sharedItems>
    </cacheField>
    <cacheField name="钦州能量原料" numFmtId="0">
      <sharedItems containsString="0" containsBlank="1" containsNumber="1" minValue="0" maxValue="12.8" count="84">
        <n v="0"/>
        <n v="6.72"/>
        <n v="1.77"/>
        <n v="1.33"/>
        <n v="1.89"/>
        <n v="3.39"/>
        <n v="4.97"/>
        <n v="3.47"/>
        <n v="7.46"/>
        <n v="5.86"/>
        <n v="9.2100000000000009"/>
        <n v="4.4000000000000004"/>
        <n v="5.21"/>
        <n v="6.85"/>
        <n v="4.03"/>
        <n v="2.25"/>
        <n v="5.41"/>
        <n v="9.49"/>
        <n v="6.91"/>
        <n v="10.94"/>
        <n v="12.31"/>
        <n v="8.57"/>
        <n v="10.24"/>
        <n v="10.77"/>
        <n v="6.84"/>
        <n v="3.58"/>
        <n v="5.03"/>
        <n v="10.4"/>
        <n v="8.93"/>
        <n v="4.5199999999999996"/>
        <n v="1"/>
        <n v="5.55"/>
        <n v="2.76"/>
        <n v="4.33"/>
        <n v="4.92"/>
        <n v="4.59"/>
        <n v="4.99"/>
        <n v="9.7799999999999994"/>
        <n v="6.99"/>
        <n v="6.15"/>
        <n v="2"/>
        <n v="5.42"/>
        <n v="8.06"/>
        <n v="4.8899999999999997"/>
        <n v="9.5299999999999994"/>
        <n v="7.89"/>
        <n v="6.6"/>
        <n v="6.06"/>
        <n v="3.81"/>
        <n v="6.23"/>
        <n v="5.48"/>
        <n v="4.9000000000000004"/>
        <n v="1.76"/>
        <n v="2.65"/>
        <n v="6.56"/>
        <n v="3.98"/>
        <n v="4.18"/>
        <n v="3.85"/>
        <n v="3.66"/>
        <n v="4.67"/>
        <n v="4.71"/>
        <n v="4"/>
        <n v="5.96"/>
        <n v="4.41"/>
        <n v="4.74"/>
        <n v="8.8000000000000007"/>
        <n v="9.33"/>
        <n v="7.73"/>
        <n v="7.87"/>
        <n v="8.5299999999999994"/>
        <n v="10.88"/>
        <n v="9.56"/>
        <n v="9.3000000000000007"/>
        <n v="10.3"/>
        <n v="9.9"/>
        <n v="9.4"/>
        <n v="7.1"/>
        <n v="12.8"/>
        <n v="12"/>
        <n v="7.9"/>
        <n v="7.8"/>
        <n v="8.6"/>
        <n v="7.7"/>
        <m/>
      </sharedItems>
    </cacheField>
    <cacheField name="防城港能量原料" numFmtId="0">
      <sharedItems containsString="0" containsBlank="1" containsNumber="1" minValue="0" maxValue="8.52" count="76">
        <n v="0"/>
        <n v="2.69"/>
        <n v="3.71"/>
        <n v="2.74"/>
        <n v="4.4800000000000004"/>
        <n v="3.15"/>
        <n v="3.01"/>
        <n v="3.31"/>
        <n v="1.95"/>
        <n v="2.04"/>
        <n v="2.1"/>
        <n v="1.88"/>
        <n v="0.85"/>
        <n v="0.65"/>
        <n v="8.52"/>
        <n v="2.83"/>
        <n v="5.24"/>
        <n v="5.18"/>
        <n v="3.59"/>
        <n v="1.52"/>
        <n v="2.52"/>
        <n v="3.81"/>
        <n v="3.25"/>
        <n v="4.22"/>
        <n v="2.9"/>
        <n v="4.7300000000000004"/>
        <n v="4.34"/>
        <n v="4.99"/>
        <n v="4.13"/>
        <n v="3.11"/>
        <n v="1.1399999999999999"/>
        <n v="2.5499999999999998"/>
        <n v="2.85"/>
        <n v="2.2000000000000002"/>
        <n v="3"/>
        <n v="2.44"/>
        <n v="1.26"/>
        <n v="2.08"/>
        <n v="0.82"/>
        <n v="1.35"/>
        <n v="3.98"/>
        <n v="4.72"/>
        <n v="1.3"/>
        <n v="0.67"/>
        <n v="1.1040000000000001"/>
        <n v="0.46"/>
        <n v="2.64"/>
        <n v="1.2"/>
        <n v="0.53"/>
        <n v="0.03"/>
        <n v="0.19"/>
        <n v="1.45"/>
        <n v="2"/>
        <n v="0.93"/>
        <n v="0.62"/>
        <n v="0.43"/>
        <n v="0.18"/>
        <n v="0.44"/>
        <n v="1.51"/>
        <n v="1.6"/>
        <n v="0.17"/>
        <n v="0.97"/>
        <n v="2.38"/>
        <n v="0.06"/>
        <n v="3.7"/>
        <n v="0.3"/>
        <n v="0.47"/>
        <n v="0.63"/>
        <n v="0.8"/>
        <n v="1.1000000000000001"/>
        <n v="0.5"/>
        <n v="3.5"/>
        <n v="1.1599999999999999"/>
        <n v="1.1499999999999999"/>
        <n v="1.63"/>
        <m/>
      </sharedItems>
    </cacheField>
    <cacheField name="福建能量原料" numFmtId="0">
      <sharedItems containsString="0" containsBlank="1" containsNumber="1" minValue="-0.22" maxValue="14.76" count="115">
        <n v="4.28"/>
        <n v="2"/>
        <n v="3.77"/>
        <n v="2.98"/>
        <n v="5.19"/>
        <n v="5.17"/>
        <n v="6.14"/>
        <n v="6.44"/>
        <n v="4.8499999999999996"/>
        <n v="5.49"/>
        <n v="6.33"/>
        <n v="4.7699999999999996"/>
        <n v="8.01"/>
        <n v="7.09"/>
        <n v="7.62"/>
        <n v="11.3"/>
        <n v="3.08"/>
        <n v="14.76"/>
        <n v="7.73"/>
        <n v="8.2200000000000006"/>
        <n v="7.1"/>
        <n v="5.42"/>
        <n v="-0.02"/>
        <n v="6.09"/>
        <n v="6.13"/>
        <n v="5.33"/>
        <n v="4.74"/>
        <n v="4"/>
        <n v="3"/>
        <n v="3.21"/>
        <n v="3.39"/>
        <n v="4.3899999999999997"/>
        <n v="4.51"/>
        <n v="4.83"/>
        <n v="4.3099999999999996"/>
        <n v="3.84"/>
        <n v="2.86"/>
        <n v="3.85"/>
        <n v="3.35"/>
        <n v="4.88"/>
        <n v="4.42"/>
        <n v="2.56"/>
        <n v="4.41"/>
        <n v="4.25"/>
        <n v="4.21"/>
        <n v="4.32"/>
        <n v="2.89"/>
        <n v="3.29"/>
        <n v="2.94"/>
        <n v="0"/>
        <n v="3.06"/>
        <n v="4.45"/>
        <n v="7.68"/>
        <n v="7.25"/>
        <n v="8.16"/>
        <n v="8.43"/>
        <n v="9.2899999999999991"/>
        <n v="7.14"/>
        <n v="6.26"/>
        <n v="4.67"/>
        <n v="6.05"/>
        <n v="-0.22"/>
        <n v="11.18"/>
        <n v="12.13"/>
        <n v="5.89"/>
        <n v="6.61"/>
        <n v="7.43"/>
        <n v="8.91"/>
        <n v="8.9600000000000009"/>
        <n v="7.56"/>
        <n v="5.31"/>
        <n v="4.71"/>
        <n v="4.08"/>
        <n v="6.37"/>
        <n v="4.6399999999999997"/>
        <n v="6.73"/>
        <n v="7.01"/>
        <n v="5.36"/>
        <n v="4.95"/>
        <n v="6.11"/>
        <n v="5.63"/>
        <n v="5.26"/>
        <n v="6.01"/>
        <n v="5.24"/>
        <n v="3.95"/>
        <n v="5.23"/>
        <n v="6.59"/>
        <n v="2.99"/>
        <n v="4.4400000000000004"/>
        <n v="4.07"/>
        <n v="3.61"/>
        <n v="2.38"/>
        <n v="5.34"/>
        <n v="3.82"/>
        <n v="4.47"/>
        <n v="4.87"/>
        <n v="2.61"/>
        <n v="6.32"/>
        <n v="6.57"/>
        <n v="6.1"/>
        <n v="5.16"/>
        <n v="6.42"/>
        <n v="5.77"/>
        <n v="6.34"/>
        <n v="6.15"/>
        <n v="2.06"/>
        <n v="1.95"/>
        <n v="5.52"/>
        <n v="5.5"/>
        <n v="6.38"/>
        <n v="5.58"/>
        <n v="5.91"/>
        <n v="4.7"/>
        <n v="5.32"/>
        <m/>
      </sharedItems>
    </cacheField>
    <cacheField name="海南能量原料" numFmtId="0">
      <sharedItems containsString="0" containsBlank="1" containsNumber="1" minValue="0" maxValue="6.76" count="118">
        <n v="2.37"/>
        <n v="0"/>
        <n v="0.97"/>
        <n v="2.81"/>
        <n v="2.15"/>
        <n v="2.42"/>
        <n v="3"/>
        <n v="3.07"/>
        <n v="2.69"/>
        <n v="2.41"/>
        <n v="3.34"/>
        <n v="2.88"/>
        <n v="3.29"/>
        <n v="3.17"/>
        <n v="3.83"/>
        <n v="3.56"/>
        <n v="4.25"/>
        <n v="3.03"/>
        <n v="2.79"/>
        <n v="5.18"/>
        <n v="5.29"/>
        <n v="4.97"/>
        <n v="4.6500000000000004"/>
        <n v="2.35"/>
        <n v="3.05"/>
        <n v="2"/>
        <n v="3.41"/>
        <n v="4.5599999999999996"/>
        <n v="2.96"/>
        <n v="2.64"/>
        <n v="4.34"/>
        <n v="3.82"/>
        <n v="1.5"/>
        <n v="4.09"/>
        <n v="3.78"/>
        <n v="2.59"/>
        <n v="2.29"/>
        <n v="3.31"/>
        <n v="2.4700000000000002"/>
        <n v="2.95"/>
        <n v="2.65"/>
        <n v="1.48"/>
        <n v="1.34"/>
        <n v="2.85"/>
        <n v="3.93"/>
        <n v="5.13"/>
        <n v="4.43"/>
        <n v="3.14"/>
        <n v="3.7"/>
        <n v="4.24"/>
        <n v="4.62"/>
        <n v="3.02"/>
        <n v="4.2"/>
        <n v="4.93"/>
        <n v="4.58"/>
        <n v="4.1100000000000003"/>
        <n v="2.89"/>
        <n v="0.60499999999999998"/>
        <n v="2.4188552188552199"/>
        <n v="3.31552188552189"/>
        <n v="2.4822558922558899"/>
        <n v="2.0333670033670002"/>
        <n v="2.1592070484581498"/>
        <n v="2.9615859030837002"/>
        <n v="2.20272534332085"/>
        <n v="1.6874194756554299"/>
        <n v="3.5182272159800201"/>
        <n v="2.1276404494382"/>
        <n v="1.91998751560549"/>
        <n v="1.85410646387833"/>
        <n v="1.83779467680608"/>
        <n v="1.5169961977186299"/>
        <n v="2.0411026615969599"/>
        <n v="0.59110238796205405"/>
        <n v="4.5593280994439001"/>
        <n v="4.8737945698397098"/>
        <n v="4.50731108930324"/>
        <n v="4.6964638534510996"/>
        <n v="4.3112154696132601"/>
        <n v="1.8292265193370201"/>
        <n v="3.1709208103130799"/>
        <n v="1.54863720073665"/>
        <n v="1.1251724137931001"/>
        <n v="1.5078221415608"/>
        <n v="0.95662431941923798"/>
        <n v="1.4303811252268599"/>
        <n v="1.3970843989769799"/>
        <n v="1.0893350383631699"/>
        <n v="1.3580051150895101"/>
        <n v="0.55687979539641896"/>
        <n v="1.3286956521739099"/>
        <n v="0.86894736842105302"/>
        <n v="0.52342105263157901"/>
        <n v="0.76631578947368495"/>
        <n v="0.96131578947368401"/>
        <n v="3.18"/>
        <n v="2.62"/>
        <n v="1.7"/>
        <n v="0.95"/>
        <n v="1.1000000000000001"/>
        <n v="2.19"/>
        <n v="2.5299999999999998"/>
        <n v="2.3199999999999998"/>
        <n v="2.74"/>
        <n v="2.2400000000000002"/>
        <n v="3.84"/>
        <n v="5.74"/>
        <n v="1.6"/>
        <n v="6.76"/>
        <n v="1.86"/>
        <n v="1.9"/>
        <n v="4"/>
        <n v="3.16"/>
        <n v="1.96"/>
        <n v="2.11"/>
        <n v="2.77"/>
        <n v="3.76"/>
        <m/>
      </sharedItems>
    </cacheField>
    <cacheField name="社会合计能量原料" numFmtId="0">
      <sharedItems containsString="0" containsBlank="1" containsNumber="1" minValue="0" maxValue="100.61" count="129">
        <n v="64.27"/>
        <n v="13"/>
        <n v="56.97"/>
        <n v="49.52"/>
        <n v="57.73"/>
        <n v="46.54"/>
        <n v="58.91"/>
        <n v="71.08"/>
        <n v="66.930000000000007"/>
        <n v="52.77"/>
        <n v="62.33"/>
        <n v="68.540000000000006"/>
        <n v="67.06"/>
        <n v="72.25"/>
        <n v="64.790000000000006"/>
        <n v="80.41"/>
        <n v="30.08"/>
        <n v="93.17"/>
        <n v="54.64"/>
        <n v="68.28"/>
        <n v="63.37"/>
        <n v="73.150000000000006"/>
        <n v="62.51"/>
        <n v="48.98"/>
        <n v="44.04"/>
        <n v="63.92"/>
        <n v="49.69"/>
        <n v="64.86"/>
        <n v="38"/>
        <n v="54.75"/>
        <n v="23"/>
        <n v="63.47"/>
        <n v="58.7"/>
        <n v="59.78"/>
        <n v="61.81"/>
        <n v="70.37"/>
        <n v="51.49"/>
        <n v="48.12"/>
        <n v="50.3"/>
        <n v="56.99"/>
        <n v="57.9"/>
        <n v="52.25"/>
        <n v="42.58"/>
        <n v="47.85"/>
        <n v="43.58"/>
        <n v="51.94"/>
        <n v="58.77"/>
        <n v="52.51"/>
        <n v="46.57"/>
        <n v="37.21"/>
        <n v="59.31"/>
        <n v="82.72"/>
        <n v="15"/>
        <n v="80.11"/>
        <n v="67.260000000000005"/>
        <n v="100.61"/>
        <n v="89.35"/>
        <n v="84.94"/>
        <n v="86.21"/>
        <n v="88.36"/>
        <n v="84.14"/>
        <n v="83.19"/>
        <n v="78.599999999999994"/>
        <n v="80.19"/>
        <n v="12.115"/>
        <n v="72.778855218855199"/>
        <n v="90.675521885521903"/>
        <n v="88.102255892255897"/>
        <n v="86.083367003367002"/>
        <n v="87.319207048458097"/>
        <n v="14"/>
        <n v="81.571585903083701"/>
        <n v="83.962725343320798"/>
        <n v="78.497419475655406"/>
        <n v="84.628227215980004"/>
        <n v="74.0376404494382"/>
        <n v="69.399987515605503"/>
        <n v="57.504106463878301"/>
        <n v="70.807794676806097"/>
        <n v="73.646996197718593"/>
        <n v="54.221102661597001"/>
        <n v="18.271102387962099"/>
        <n v="75.339328099443904"/>
        <n v="78.903794569839704"/>
        <n v="60.897311089303201"/>
        <n v="80.616463853451094"/>
        <n v="63.541215469613299"/>
        <n v="64.479226519337004"/>
        <n v="76.444920810313107"/>
        <n v="62.058637200736698"/>
        <n v="59.795172413793097"/>
        <n v="63.617822141560801"/>
        <n v="57.346624319419199"/>
        <n v="52.430381125226901"/>
        <n v="53.217084398977001"/>
        <n v="70.519335038363195"/>
        <n v="61.9180051150895"/>
        <n v="56.906879795396399"/>
        <n v="57.468695652173899"/>
        <n v="54.058947368421101"/>
        <n v="63.033421052631603"/>
        <n v="56.996315789473698"/>
        <n v="64.861315789473693"/>
        <n v="66.349999999999994"/>
        <n v="69.290000000000006"/>
        <n v="62.2"/>
        <n v="68.94"/>
        <n v="68.959999999999994"/>
        <n v="76.89"/>
        <n v="69.78"/>
        <n v="91.61"/>
        <n v="85.27"/>
        <n v="76.650000000000006"/>
        <n v="86.89"/>
        <n v="83.21"/>
        <n v="83.03"/>
        <n v="83.49"/>
        <n v="97.78"/>
        <n v="96.63"/>
        <n v="46.4"/>
        <n v="53.99"/>
        <n v="82.08"/>
        <n v="92.24"/>
        <n v="73.819999999999993"/>
        <n v="77.8"/>
        <n v="83.16"/>
        <n v="76.91"/>
        <n v="77.55"/>
        <m/>
      </sharedItems>
    </cacheField>
    <cacheField name="珠三角内贸玉米" numFmtId="0">
      <sharedItems containsString="0" containsBlank="1" containsNumber="1" minValue="0" maxValue="49.23" count="117">
        <n v="22.6"/>
        <n v="6"/>
        <n v="17.93"/>
        <n v="17.850000000000001"/>
        <n v="16.41"/>
        <n v="15.05"/>
        <n v="17.68"/>
        <n v="28.05"/>
        <n v="26.13"/>
        <n v="33.229999999999997"/>
        <n v="20.47"/>
        <n v="27.29"/>
        <n v="26.11"/>
        <n v="33.69"/>
        <n v="29.87"/>
        <n v="32.85"/>
        <n v="7"/>
        <n v="49.23"/>
        <n v="20.87"/>
        <n v="20.6"/>
        <n v="19.46"/>
        <n v="20.73"/>
        <n v="19.07"/>
        <n v="8"/>
        <n v="15.12"/>
        <n v="16.760000000000002"/>
        <n v="12.86"/>
        <n v="15.07"/>
        <n v="10"/>
        <n v="16.75"/>
        <n v="21.59"/>
        <n v="24.45"/>
        <n v="27.32"/>
        <n v="24.17"/>
        <n v="30.02"/>
        <n v="22.92"/>
        <n v="20.32"/>
        <n v="21.03"/>
        <n v="22.12"/>
        <n v="14"/>
        <n v="9.5"/>
        <n v="8.6"/>
        <n v="7.2"/>
        <n v="7.5"/>
        <n v="9.1999999999999993"/>
        <n v="12.6"/>
        <n v="8.3000000000000007"/>
        <n v="9.4"/>
        <n v="7.9"/>
        <n v="11"/>
        <n v="14.8"/>
        <n v="2"/>
        <n v="10.199999999999999"/>
        <n v="9.3000000000000007"/>
        <n v="11.5"/>
        <n v="12.9"/>
        <n v="10.9"/>
        <n v="15.6"/>
        <n v="9.6"/>
        <n v="9.9"/>
        <n v="11.6"/>
        <n v="11.4"/>
        <n v="15.4"/>
        <n v="15.7"/>
        <n v="13.5"/>
        <n v="16.100000000000001"/>
        <n v="18.5"/>
        <n v="4"/>
        <n v="11.8"/>
        <n v="11.2"/>
        <n v="15"/>
        <n v="13.7"/>
        <n v="15.8"/>
        <n v="10.1"/>
        <n v="5"/>
        <n v="16.2"/>
        <n v="6.9"/>
        <n v="14.5"/>
        <n v="10.4"/>
        <n v="12.1"/>
        <n v="10.5"/>
        <n v="12.4"/>
        <n v="12.7"/>
        <n v="8.1999999999999993"/>
        <n v="9"/>
        <n v="11.1"/>
        <n v="14.7"/>
        <n v="12"/>
        <n v="20.3"/>
        <n v="19.899999999999999"/>
        <n v="21"/>
        <n v="22"/>
        <n v="23.7"/>
        <n v="21.7"/>
        <n v="28.5"/>
        <n v="25.43"/>
        <n v="30.77"/>
        <n v="28.06"/>
        <n v="41.66"/>
        <n v="34.6"/>
        <n v="31.6"/>
        <n v="37"/>
        <n v="30.2"/>
        <n v="38.6"/>
        <n v="35.880000000000003"/>
        <n v="46.18"/>
        <n v="42.29"/>
        <n v="19.5"/>
        <n v="27.34"/>
        <n v="33.35"/>
        <n v="37.5"/>
        <n v="40.18"/>
        <n v="30.12"/>
        <n v="41.02"/>
        <n v="37.92"/>
        <n v="35.83"/>
        <m/>
      </sharedItems>
    </cacheField>
    <cacheField name="粤西内贸玉米" numFmtId="0">
      <sharedItems containsString="0" containsBlank="1" containsNumber="1" minValue="0" maxValue="14.36" count="84">
        <m/>
        <n v="4.6500000000000004"/>
        <n v="6.22"/>
        <n v="2"/>
        <n v="7.12"/>
        <n v="2.08"/>
        <n v="3.2"/>
        <n v="2.77"/>
        <n v="5.21"/>
        <n v="3.44"/>
        <n v="2.73"/>
        <n v="4.7699999999999996"/>
        <n v="2.66"/>
        <n v="0"/>
        <n v="4.5199999999999996"/>
        <n v="4.2300000000000004"/>
        <n v="5.95"/>
        <n v="2.5499999999999998"/>
        <n v="3.76"/>
        <n v="4.47"/>
        <n v="4.6900000000000004"/>
        <n v="6.61"/>
        <n v="5.01"/>
        <n v="2.39"/>
        <n v="3.8"/>
        <n v="4.0199999999999996"/>
        <n v="4.5599999999999996"/>
        <n v="5.5"/>
        <n v="6.9"/>
        <n v="4.49"/>
        <n v="5.24"/>
        <n v="4.75"/>
        <n v="8.33"/>
        <n v="6.08"/>
        <n v="7.08"/>
        <n v="4.16"/>
        <n v="7.8"/>
        <n v="3.78"/>
        <n v="4.38"/>
        <n v="1"/>
        <n v="3.31"/>
        <n v="3.77"/>
        <n v="5.17"/>
        <n v="3.79"/>
        <n v="3.27"/>
        <n v="3.23"/>
        <n v="3.75"/>
        <n v="4.54"/>
        <n v="5.47"/>
        <n v="2.86"/>
        <n v="3"/>
        <n v="3.04"/>
        <n v="3.98"/>
        <n v="3.92"/>
        <n v="5.13"/>
        <n v="4.8"/>
        <n v="4.87"/>
        <n v="5.98"/>
        <n v="7.83"/>
        <n v="3.25"/>
        <n v="5.63"/>
        <n v="6.45"/>
        <n v="7.89"/>
        <n v="14.36"/>
        <n v="11.64"/>
        <n v="11.53"/>
        <n v="13.45"/>
        <n v="9.59"/>
        <n v="9.26"/>
        <n v="10.59"/>
        <n v="10.11"/>
        <n v="7.44"/>
        <n v="12.32"/>
        <n v="7.13"/>
        <n v="11.83"/>
        <n v="9.77"/>
        <n v="10.78"/>
        <n v="9.5500000000000007"/>
        <n v="9.4"/>
        <n v="7.9"/>
        <n v="11.9"/>
        <n v="9.02"/>
        <n v="11.17"/>
        <n v="7.41"/>
      </sharedItems>
    </cacheField>
    <cacheField name="钦州内贸玉米" numFmtId="0">
      <sharedItems containsString="0" containsBlank="1" containsNumber="1" minValue="0" maxValue="10.88" count="80">
        <m/>
        <n v="3.92"/>
        <n v="1.77"/>
        <n v="0.73"/>
        <n v="1.27"/>
        <n v="2.7"/>
        <n v="2.35"/>
        <n v="2.9"/>
        <n v="3.06"/>
        <n v="1.46"/>
        <n v="1.81"/>
        <n v="1"/>
        <n v="1.01"/>
        <n v="0"/>
        <n v="2.0499999999999998"/>
        <n v="3.35"/>
        <n v="2.13"/>
        <n v="5.21"/>
        <n v="3.42"/>
        <n v="1.41"/>
        <n v="2.2599999999999998"/>
        <n v="5.71"/>
        <n v="3.29"/>
        <n v="3.87"/>
        <n v="4.99"/>
        <n v="3.12"/>
        <n v="2.08"/>
        <n v="3"/>
        <n v="3.36"/>
        <n v="2.12"/>
        <n v="3.6"/>
        <n v="1.39"/>
        <n v="0.9"/>
        <n v="1.3"/>
        <n v="1.97"/>
        <n v="2.5"/>
        <n v="4.17"/>
        <n v="4.7699999999999996"/>
        <n v="2.2799999999999998"/>
        <n v="2.2200000000000002"/>
        <n v="2.46"/>
        <n v="1.72"/>
        <n v="3.55"/>
        <n v="4.37"/>
        <n v="2.6"/>
        <n v="2.89"/>
        <n v="2.21"/>
        <n v="3.71"/>
        <n v="3.56"/>
        <n v="1.42"/>
        <n v="1.64"/>
        <n v="1.91"/>
        <n v="2.25"/>
        <n v="3.8"/>
        <n v="2.5499999999999998"/>
        <n v="3.26"/>
        <n v="2.3199999999999998"/>
        <n v="4.28"/>
        <n v="4"/>
        <n v="5.96"/>
        <n v="4.41"/>
        <n v="4.74"/>
        <n v="8.8000000000000007"/>
        <n v="9.33"/>
        <n v="7.73"/>
        <n v="7.87"/>
        <n v="8.5299999999999994"/>
        <n v="10.88"/>
        <n v="9.56"/>
        <n v="9.3000000000000007"/>
        <n v="10.3"/>
        <n v="9.9"/>
        <n v="9.4"/>
        <n v="5.0999999999999996"/>
        <n v="10.8"/>
        <n v="10.199999999999999"/>
        <n v="7.9"/>
        <n v="7.6"/>
        <n v="8.4"/>
        <n v="7.7"/>
      </sharedItems>
    </cacheField>
    <cacheField name="防城港内贸玉米" numFmtId="0">
      <sharedItems containsString="0" containsBlank="1" containsNumber="1" minValue="0" maxValue="3.7" count="38">
        <m/>
        <n v="0"/>
        <n v="0.25"/>
        <n v="0.49"/>
        <n v="0.23"/>
        <n v="0.03"/>
        <n v="0.85"/>
        <n v="0.4"/>
        <n v="1.29"/>
        <n v="0.2"/>
        <n v="0.3"/>
        <n v="0.9"/>
        <n v="0.7"/>
        <n v="0.42"/>
        <n v="0.71"/>
        <n v="0.01"/>
        <n v="0.38"/>
        <n v="0.31"/>
        <n v="0.27"/>
        <n v="0.54"/>
        <n v="0.95"/>
        <n v="0.96"/>
        <n v="0.8"/>
        <n v="0.1"/>
        <n v="1.35"/>
        <n v="1.23"/>
        <n v="0.56000000000000005"/>
        <n v="1"/>
        <n v="0.6"/>
        <n v="3.7"/>
        <n v="0.47"/>
        <n v="0.63"/>
        <n v="1.1000000000000001"/>
        <n v="0.5"/>
        <n v="1.6"/>
        <n v="0.55000000000000004"/>
        <n v="1.07"/>
        <n v="1.53"/>
      </sharedItems>
    </cacheField>
    <cacheField name="福建内贸玉米" numFmtId="0">
      <sharedItems containsString="0" containsBlank="1" containsNumber="1" minValue="0" maxValue="7" count="110">
        <n v="2.0699999999999998"/>
        <n v="0"/>
        <n v="1.73"/>
        <n v="0.41"/>
        <n v="2.29"/>
        <n v="2.4"/>
        <n v="3.12"/>
        <n v="3.51"/>
        <n v="2.35"/>
        <n v="3.95"/>
        <n v="3.82"/>
        <n v="2.98"/>
        <n v="5.6"/>
        <n v="4.5599999999999996"/>
        <n v="4.07"/>
        <n v="6.41"/>
        <n v="3"/>
        <n v="2.21"/>
        <n v="6.11"/>
        <n v="6.49"/>
        <n v="5.18"/>
        <n v="4.38"/>
        <n v="3.67"/>
        <n v="3.59"/>
        <n v="3.39"/>
        <n v="2.79"/>
        <n v="2"/>
        <n v="3.56"/>
        <n v="1.55"/>
        <n v="3.03"/>
        <n v="3.28"/>
        <n v="2.85"/>
        <n v="2.67"/>
        <n v="2.17"/>
        <n v="2.5"/>
        <n v="1.27"/>
        <n v="1.41"/>
        <n v="1.46"/>
        <n v="0.69"/>
        <n v="1.01"/>
        <n v="1.57"/>
        <n v="1.78"/>
        <n v="2.42"/>
        <n v="2.44"/>
        <n v="1.69"/>
        <n v="2.2000000000000002"/>
        <n v="1.87"/>
        <n v="2.37"/>
        <n v="3.36"/>
        <n v="3.94"/>
        <n v="4.17"/>
        <n v="4.25"/>
        <n v="4.29"/>
        <n v="3.97"/>
        <n v="3.57"/>
        <n v="3.9"/>
        <n v="3.48"/>
        <n v="1.5"/>
        <n v="3.3"/>
        <n v="7"/>
        <n v="5.72"/>
        <n v="5.93"/>
        <n v="3.49"/>
        <n v="3.46"/>
        <n v="5.47"/>
        <n v="5.19"/>
        <n v="5.52"/>
        <n v="3.29"/>
        <n v="2.92"/>
        <n v="3.53"/>
        <n v="2.96"/>
        <n v="1"/>
        <n v="4.0999999999999996"/>
        <n v="3.66"/>
        <n v="3.89"/>
        <n v="3.04"/>
        <n v="4.16"/>
        <n v="3.61"/>
        <n v="3.07"/>
        <n v="3.43"/>
        <n v="3.18"/>
        <n v="2.31"/>
        <n v="3.72"/>
        <n v="4.5999999999999996"/>
        <n v="1.77"/>
        <n v="2.5499999999999998"/>
        <n v="2.78"/>
        <n v="1.94"/>
        <n v="1.26"/>
        <n v="3.44"/>
        <n v="4.05"/>
        <n v="5.15"/>
        <n v="6.16"/>
        <n v="4.95"/>
        <n v="5.84"/>
        <n v="6.36"/>
        <n v="6.1"/>
        <n v="4.51"/>
        <n v="5.77"/>
        <n v="6.34"/>
        <n v="6.15"/>
        <n v="2.06"/>
        <n v="1.95"/>
        <n v="5.5"/>
        <n v="6.38"/>
        <n v="5.58"/>
        <n v="5.91"/>
        <n v="4.7"/>
        <n v="5.32"/>
        <m/>
      </sharedItems>
    </cacheField>
    <cacheField name="海南内贸玉米" numFmtId="0">
      <sharedItems containsString="0" containsBlank="1" containsNumber="1" minValue="0" maxValue="6.76" count="112">
        <n v="2.37"/>
        <m/>
        <n v="0.97"/>
        <n v="2.81"/>
        <n v="2.15"/>
        <n v="2.42"/>
        <n v="3"/>
        <n v="3.07"/>
        <n v="2.69"/>
        <n v="2.41"/>
        <n v="3.34"/>
        <n v="2.88"/>
        <n v="3.29"/>
        <n v="3.17"/>
        <n v="3.83"/>
        <n v="0"/>
        <n v="3.56"/>
        <n v="4.25"/>
        <n v="3.03"/>
        <n v="2.79"/>
        <n v="2.95"/>
        <n v="3.16"/>
        <n v="2.65"/>
        <n v="4.6500000000000004"/>
        <n v="2.35"/>
        <n v="3.05"/>
        <n v="2"/>
        <n v="3.41"/>
        <n v="4.5599999999999996"/>
        <n v="2.96"/>
        <n v="2.64"/>
        <n v="4.34"/>
        <n v="3.82"/>
        <n v="1.5"/>
        <n v="4.09"/>
        <n v="3.78"/>
        <n v="2.59"/>
        <n v="2.29"/>
        <n v="3.31"/>
        <n v="2.4700000000000002"/>
        <n v="1.48"/>
        <n v="1.34"/>
        <n v="2.85"/>
        <n v="3.93"/>
        <n v="5.13"/>
        <n v="3.14"/>
        <n v="2.9"/>
        <n v="4.3499999999999996"/>
        <n v="2.75"/>
        <n v="3.24"/>
        <n v="3.73"/>
        <n v="4.08"/>
        <n v="3.45"/>
        <n v="2.74"/>
        <n v="1"/>
        <n v="1.53885521885522"/>
        <n v="2.1955218855218899"/>
        <n v="2.1822558922558901"/>
        <n v="1.9633670033670001"/>
        <n v="2.10920704845815"/>
        <n v="2.1315859030837001"/>
        <n v="1.6497253433208501"/>
        <n v="1.33441947565543"/>
        <n v="2.0382272159800201"/>
        <n v="2.0776404494382001"/>
        <n v="1.91998751560549"/>
        <n v="1.85410646387833"/>
        <n v="1.83779467680608"/>
        <n v="1.5169961977186299"/>
        <n v="1.94110266159696"/>
        <n v="0.59110238796205405"/>
        <n v="1.5593280994439001"/>
        <n v="1.87379456983971"/>
        <n v="1.50731108930324"/>
        <n v="1.6964638534511001"/>
        <n v="1.3112154696132601"/>
        <n v="1.8292265193370201"/>
        <n v="1.1709208103130799"/>
        <n v="1.54863720073665"/>
        <n v="1.1251724137931001"/>
        <n v="1.5078221415608"/>
        <n v="0.95662431941923798"/>
        <n v="1.4303811252268599"/>
        <n v="1.3970843989769799"/>
        <n v="1.0893350383631699"/>
        <n v="1.3580051150895101"/>
        <n v="0.55687979539641896"/>
        <n v="1.3286956521739099"/>
        <n v="0.86894736842105302"/>
        <n v="0.52342105263157901"/>
        <n v="0.76631578947368495"/>
        <n v="0.96131578947368401"/>
        <n v="3.18"/>
        <n v="2.62"/>
        <n v="1.7"/>
        <n v="0.95"/>
        <n v="1.1000000000000001"/>
        <n v="2.19"/>
        <n v="2.5299999999999998"/>
        <n v="2.3199999999999998"/>
        <n v="2.2400000000000002"/>
        <n v="3.84"/>
        <n v="5.74"/>
        <n v="1.6"/>
        <n v="6.76"/>
        <n v="1.86"/>
        <n v="1.9"/>
        <n v="4"/>
        <n v="1.96"/>
        <n v="2.11"/>
        <n v="2.77"/>
        <n v="1.88"/>
      </sharedItems>
    </cacheField>
    <cacheField name="社会合计内贸玉米" numFmtId="0">
      <sharedItems containsString="0" containsBlank="1" containsNumber="1" minValue="0" maxValue="77.23" count="129">
        <n v="27.04"/>
        <n v="6"/>
        <n v="22.03"/>
        <n v="19.23"/>
        <n v="21.51"/>
        <n v="19.600000000000001"/>
        <n v="23.22"/>
        <n v="34.56"/>
        <n v="31.55"/>
        <n v="39.869999999999997"/>
        <n v="26.7"/>
        <n v="33.61"/>
        <n v="34.590000000000003"/>
        <n v="41.54"/>
        <n v="37.11"/>
        <n v="43.09"/>
        <n v="10"/>
        <n v="55"/>
        <n v="31.23"/>
        <n v="30.12"/>
        <n v="27.43"/>
        <n v="28.06"/>
        <n v="24.58"/>
        <n v="8"/>
        <n v="21.44"/>
        <n v="25"/>
        <n v="18.600000000000001"/>
        <n v="20.91"/>
        <n v="14"/>
        <n v="23.72"/>
        <n v="27.7"/>
        <n v="29.76"/>
        <n v="32.99"/>
        <n v="31.79"/>
        <n v="36.69"/>
        <n v="27.09"/>
        <n v="26.58"/>
        <n v="26.88"/>
        <n v="29.18"/>
        <n v="26.43"/>
        <n v="22.49"/>
        <n v="15.33"/>
        <n v="19.59"/>
        <n v="16.25"/>
        <n v="19.52"/>
        <n v="22.93"/>
        <n v="21.61"/>
        <n v="18.22"/>
        <n v="15.47"/>
        <n v="22.67"/>
        <n v="24.67"/>
        <n v="2"/>
        <n v="24.52"/>
        <n v="24.42"/>
        <n v="27.95"/>
        <n v="27.93"/>
        <n v="25.47"/>
        <n v="25.72"/>
        <n v="30.17"/>
        <n v="29.43"/>
        <n v="27.25"/>
        <n v="24.43"/>
        <n v="25.59"/>
        <n v="24.59"/>
        <n v="3"/>
        <n v="30.958855218855199"/>
        <n v="32.425521885521903"/>
        <n v="32.142255892255903"/>
        <n v="29.583367003367002"/>
        <n v="32.379207048458198"/>
        <n v="4"/>
        <n v="28.161585903083701"/>
        <n v="25.169725343320899"/>
        <n v="31.524419475655399"/>
        <n v="29.808227215980001"/>
        <n v="29.677640449438201"/>
        <n v="24.889987515605501"/>
        <n v="27.644106463878298"/>
        <n v="28.087794676806102"/>
        <n v="27.3969961977186"/>
        <n v="21.661102661596999"/>
        <n v="7.5911023879620503"/>
        <n v="26.7893280994439"/>
        <n v="28.163794569839698"/>
        <n v="20.537311089303198"/>
        <n v="27.806463853451099"/>
        <n v="24.291215469613299"/>
        <n v="23.989226519336999"/>
        <n v="21.710920810313102"/>
        <n v="23.518637200736698"/>
        <n v="21.845172413793101"/>
        <n v="26.667822141560801"/>
        <n v="19.686624319419199"/>
        <n v="17.020381125226901"/>
        <n v="19.357084398977001"/>
        <n v="21.739335038363201"/>
        <n v="19.928005115089501"/>
        <n v="21.076879795396401"/>
        <n v="26.958695652173901"/>
        <n v="22.998947368421099"/>
        <n v="30.893421052631599"/>
        <n v="30.226315789473698"/>
        <n v="37.601315789473702"/>
        <n v="35.869999999999997"/>
        <n v="40"/>
        <n v="38.85"/>
        <n v="43.75"/>
        <n v="50.78"/>
        <n v="59.56"/>
        <n v="56.4"/>
        <n v="72"/>
        <n v="60.58"/>
        <n v="56.58"/>
        <n v="68.67"/>
        <n v="65.41"/>
        <n v="63.33"/>
        <n v="67.69"/>
        <n v="71.78"/>
        <n v="77.23"/>
        <n v="35.6"/>
        <n v="48.13"/>
        <n v="61.62"/>
        <n v="66.900000000000006"/>
        <n v="57.62"/>
        <n v="59.06"/>
        <n v="66.209999999999994"/>
        <n v="66.03"/>
        <n v="59.67"/>
        <m/>
      </sharedItems>
    </cacheField>
    <cacheField name="珠三角进口玉米" numFmtId="0">
      <sharedItems containsString="0" containsBlank="1" containsNumber="1" minValue="0" maxValue="36" count="103">
        <n v="13.97"/>
        <n v="2"/>
        <n v="18.170000000000002"/>
        <n v="15.5"/>
        <n v="20.11"/>
        <n v="14.52"/>
        <n v="12.44"/>
        <n v="10.37"/>
        <n v="10.53"/>
        <n v="10.09"/>
        <n v="17.079999999999998"/>
        <n v="12.36"/>
        <n v="12.9"/>
        <n v="13.8"/>
        <n v="10.95"/>
        <n v="18.73"/>
        <n v="20"/>
        <n v="17.559999999999999"/>
        <n v="17.04"/>
        <n v="26.24"/>
        <n v="21.7"/>
        <n v="31.34"/>
        <n v="27.93"/>
        <n v="36"/>
        <n v="14.56"/>
        <n v="29.48"/>
        <n v="22.15"/>
        <n v="35"/>
        <n v="22"/>
        <n v="20.62"/>
        <n v="12"/>
        <n v="19.05"/>
        <n v="14.6"/>
        <n v="10.35"/>
        <n v="12.49"/>
        <n v="19.5"/>
        <n v="8.76"/>
        <n v="5.17"/>
        <n v="13.53"/>
        <n v="14.26"/>
        <n v="5.4"/>
        <n v="11.7"/>
        <n v="6.6"/>
        <n v="8.1999999999999993"/>
        <n v="6.7"/>
        <n v="5.8"/>
        <n v="11.6"/>
        <n v="7.2"/>
        <n v="1.6"/>
        <n v="2.6"/>
        <n v="4.7"/>
        <n v="21.5"/>
        <n v="7"/>
        <n v="18.8"/>
        <n v="11"/>
        <n v="12.6"/>
        <n v="14.7"/>
        <n v="12.4"/>
        <n v="12.2"/>
        <n v="15.9"/>
        <n v="15.3"/>
        <n v="15.1"/>
        <n v="18.399999999999999"/>
        <n v="20.399999999999999"/>
        <n v="1"/>
        <n v="13.2"/>
        <n v="19.3"/>
        <n v="20.2"/>
        <n v="17.100000000000001"/>
        <n v="3"/>
        <n v="9.1"/>
        <n v="13.3"/>
        <n v="6.3"/>
        <n v="15"/>
        <n v="8.4"/>
        <n v="5.5"/>
        <n v="3.6"/>
        <n v="4.9000000000000004"/>
        <n v="4.0999999999999996"/>
        <n v="2.7"/>
        <n v="3.1"/>
        <n v="6.9"/>
        <n v="5.6"/>
        <n v="7.0000000000000098"/>
        <n v="5.3"/>
        <n v="5"/>
        <n v="5.9"/>
        <n v="7.6"/>
        <n v="6.1"/>
        <n v="4.8"/>
        <n v="11.2"/>
        <n v="4.5"/>
        <n v="1.2"/>
        <n v="0.6"/>
        <n v="0.3"/>
        <n v="0.5"/>
        <n v="0.9"/>
        <n v="0.8"/>
        <n v="0.2"/>
        <n v="0.1"/>
        <n v="0"/>
        <n v="0.7"/>
        <m/>
      </sharedItems>
    </cacheField>
    <cacheField name="粤西进口玉米" numFmtId="0">
      <sharedItems containsString="0" containsBlank="1" containsNumber="1" minValue="0" maxValue="6.7" count="51">
        <m/>
        <n v="0.2"/>
        <n v="1.33"/>
        <n v="1.7"/>
        <n v="1.79"/>
        <n v="2.56"/>
        <n v="6.66"/>
        <n v="3.64"/>
        <n v="2.33"/>
        <n v="2.1"/>
        <n v="0.9"/>
        <n v="1.4"/>
        <n v="1"/>
        <n v="1.05"/>
        <n v="4.1500000000000004"/>
        <n v="4.5999999999999996"/>
        <n v="6"/>
        <n v="0.6"/>
        <n v="3.1"/>
        <n v="5.8"/>
        <n v="3.4"/>
        <n v="3.66"/>
        <n v="4"/>
        <n v="0.32"/>
        <n v="6.7"/>
        <n v="1.1100000000000001"/>
        <n v="2.8"/>
        <n v="4.5"/>
        <n v="0"/>
        <n v="1.6"/>
        <n v="2.4"/>
        <n v="1.8"/>
        <n v="1.2"/>
        <n v="2.2999999999999998"/>
        <n v="1.3"/>
        <n v="2.2000000000000002"/>
        <n v="3"/>
        <n v="2.7"/>
        <n v="3.2"/>
        <n v="1.9"/>
        <n v="1.55"/>
        <n v="2.59"/>
        <n v="0.26"/>
        <n v="0.4"/>
        <n v="0.5"/>
        <n v="0.3"/>
        <n v="0.56999999999999995"/>
        <n v="0.02"/>
        <n v="0.27"/>
        <n v="0.18"/>
        <n v="0.05"/>
      </sharedItems>
    </cacheField>
    <cacheField name="钦州进口玉米" numFmtId="0">
      <sharedItems containsString="0" containsBlank="1" containsNumber="1" minValue="0" maxValue="7.53" count="61">
        <m/>
        <n v="2.8"/>
        <n v="0"/>
        <n v="0.6"/>
        <n v="0.62"/>
        <n v="0.69"/>
        <n v="2.62"/>
        <n v="0.56999999999999995"/>
        <n v="4.4000000000000004"/>
        <n v="7.4"/>
        <n v="3.4"/>
        <n v="4.2"/>
        <n v="4.8"/>
        <n v="0.68"/>
        <n v="0.12"/>
        <n v="3.5"/>
        <n v="7.53"/>
        <n v="5.87"/>
        <n v="5.03"/>
        <n v="6.37"/>
        <n v="5.78"/>
        <n v="3.72"/>
        <n v="1.5"/>
        <n v="1.2"/>
        <n v="6.4"/>
        <n v="5.8"/>
        <n v="2.4"/>
        <n v="1"/>
        <n v="6"/>
        <n v="3.1"/>
        <n v="2.91"/>
        <n v="3.62"/>
        <n v="2.52"/>
        <n v="2.39"/>
        <n v="5.61"/>
        <n v="2.12"/>
        <n v="3.47"/>
        <n v="2"/>
        <n v="2.7"/>
        <n v="5.4"/>
        <n v="2.6"/>
        <n v="5.58"/>
        <n v="3.52"/>
        <n v="3.7"/>
        <n v="2.87"/>
        <n v="1.17"/>
        <n v="1.61"/>
        <n v="1.67"/>
        <n v="1.3"/>
        <n v="0.34"/>
        <n v="1.01"/>
        <n v="4.6500000000000004"/>
        <n v="2.56"/>
        <n v="1.93"/>
        <n v="0.05"/>
        <n v="1.1100000000000001"/>
        <n v="3.65"/>
        <n v="2.35"/>
        <n v="0.43"/>
        <n v="1.8"/>
        <n v="0.2"/>
      </sharedItems>
    </cacheField>
    <cacheField name="防城港进口玉米" numFmtId="0">
      <sharedItems containsString="0" containsBlank="1" containsNumber="1" minValue="0" maxValue="4.43" count="54">
        <m/>
        <n v="2.69"/>
        <n v="2.56"/>
        <n v="1.39"/>
        <n v="2.88"/>
        <n v="1.54"/>
        <n v="2.65"/>
        <n v="2.74"/>
        <n v="3.07"/>
        <n v="1.89"/>
        <n v="1.96"/>
        <n v="1.25"/>
        <n v="1.48"/>
        <n v="0.6"/>
        <n v="0.4"/>
        <n v="4.43"/>
        <n v="2.57"/>
        <n v="4"/>
        <n v="3.8"/>
        <n v="2.2999999999999998"/>
        <n v="0.8"/>
        <n v="2.1"/>
        <n v="3.1"/>
        <n v="3"/>
        <n v="0"/>
        <n v="2.4500000000000002"/>
        <n v="1.8"/>
        <n v="2.6"/>
        <n v="3.4"/>
        <n v="3.05"/>
        <n v="3.11"/>
        <n v="1.1399999999999999"/>
        <n v="2.5499999999999998"/>
        <n v="2.85"/>
        <n v="1.4"/>
        <n v="1.45"/>
        <n v="0.83"/>
        <n v="0.1"/>
        <n v="0.5"/>
        <n v="0.79"/>
        <n v="2.2599999999999998"/>
        <n v="0.95000000000000095"/>
        <n v="0.45"/>
        <n v="2.62"/>
        <n v="1.2"/>
        <n v="0.53"/>
        <n v="0.02"/>
        <n v="0.05"/>
        <n v="0.2"/>
        <n v="0.15"/>
        <n v="0.25"/>
        <n v="0.17"/>
        <n v="0.88"/>
        <n v="0.3"/>
      </sharedItems>
    </cacheField>
    <cacheField name="福建进口玉米" numFmtId="0">
      <sharedItems containsString="0" containsBlank="1" containsNumber="1" minValue="0" maxValue="11.56" count="83">
        <n v="1.33"/>
        <n v="1"/>
        <n v="1.74"/>
        <n v="1.95"/>
        <n v="1.59"/>
        <n v="1.69"/>
        <n v="1.71"/>
        <n v="0.93"/>
        <n v="2"/>
        <n v="1.39"/>
        <n v="1.45"/>
        <n v="2.84"/>
        <n v="3.9"/>
        <n v="0"/>
        <n v="11.56"/>
        <n v="1.44"/>
        <n v="1.52"/>
        <n v="2.78"/>
        <n v="2.69"/>
        <n v="2.9"/>
        <n v="2.3199999999999998"/>
        <n v="2.5"/>
        <n v="1.94"/>
        <n v="1.61"/>
        <n v="1.56"/>
        <n v="0.64"/>
        <n v="0.86"/>
        <n v="0.95"/>
        <n v="0.82"/>
        <n v="0.65"/>
        <n v="0.34"/>
        <n v="1.04"/>
        <n v="1.55"/>
        <n v="3.15"/>
        <n v="2.4700000000000002"/>
        <n v="1.49"/>
        <n v="1.66"/>
        <n v="1.1599999999999999"/>
        <n v="0.71"/>
        <n v="0.41"/>
        <n v="0.48"/>
        <n v="0.27"/>
        <n v="0.53"/>
        <m/>
        <n v="0.24"/>
        <n v="0.01"/>
        <n v="0.06"/>
        <n v="1.87"/>
        <n v="1.21"/>
        <n v="3.5"/>
        <n v="3.87"/>
        <n v="1.81"/>
        <n v="1.62"/>
        <n v="2.48"/>
        <n v="1.83"/>
        <n v="2.68"/>
        <n v="4.25"/>
        <n v="2.02"/>
        <n v="1.64"/>
        <n v="1.65"/>
        <n v="2.11"/>
        <n v="2.31"/>
        <n v="1.1499999999999999"/>
        <n v="0.56000000000000005"/>
        <n v="0.47"/>
        <n v="0.43"/>
        <n v="0.38"/>
        <n v="0.61"/>
        <n v="1.7"/>
        <n v="0.59"/>
        <n v="0.98"/>
        <n v="1.31"/>
        <n v="1.01"/>
        <n v="1.96"/>
        <n v="1.57"/>
        <n v="1.73"/>
        <n v="1.2"/>
        <n v="1.03"/>
        <n v="0.97"/>
        <n v="0.28999999999999998"/>
        <n v="0.5"/>
        <n v="0.26"/>
        <n v="0.32"/>
      </sharedItems>
    </cacheField>
    <cacheField name="海南进口玉米" numFmtId="0">
      <sharedItems containsString="0" containsBlank="1" containsNumber="1" minValue="0" maxValue="1.88" count="8">
        <n v="0"/>
        <m/>
        <n v="1.08"/>
        <n v="0.93"/>
        <n v="1.1100000000000001"/>
        <n v="0.2"/>
        <n v="0.3"/>
        <n v="1.88"/>
      </sharedItems>
    </cacheField>
    <cacheField name="社会合计进口玉米" numFmtId="0">
      <sharedItems containsString="0" containsBlank="1" containsNumber="1" minValue="0" maxValue="36.950000000000003" count="119">
        <n v="15.3"/>
        <n v="3"/>
        <n v="19.91"/>
        <n v="17.239999999999998"/>
        <n v="22.06"/>
        <n v="16.11"/>
        <n v="14.13"/>
        <n v="12.08"/>
        <n v="12.24"/>
        <n v="11.02"/>
        <n v="19.079999999999998"/>
        <n v="13.75"/>
        <n v="14.23"/>
        <n v="15.25"/>
        <n v="13.79"/>
        <n v="22.63"/>
        <n v="20"/>
        <n v="29.12"/>
        <n v="18.48"/>
        <n v="27.76"/>
        <n v="24.48"/>
        <n v="35.11"/>
        <n v="31.76"/>
        <n v="36"/>
        <n v="17.989999999999998"/>
        <n v="31.98"/>
        <n v="24.09"/>
        <n v="36.950000000000003"/>
        <n v="24"/>
        <n v="22.23"/>
        <n v="13"/>
        <n v="20.61"/>
        <n v="15.24"/>
        <n v="11.21"/>
        <n v="13.44"/>
        <n v="20.32"/>
        <n v="9.41"/>
        <n v="5.99"/>
        <n v="13.87"/>
        <n v="12.64"/>
        <n v="18.739999999999998"/>
        <n v="12.76"/>
        <n v="14.98"/>
        <n v="13.15"/>
        <n v="19.47"/>
        <n v="19.71"/>
        <n v="17.71"/>
        <n v="10.4"/>
        <n v="13.34"/>
        <n v="28.61"/>
        <n v="7"/>
        <n v="25.44"/>
        <n v="13.29"/>
        <n v="18.260000000000002"/>
        <n v="20.29"/>
        <n v="28.71"/>
        <n v="28.6"/>
        <n v="26.13"/>
        <n v="29.54"/>
        <n v="30.04"/>
        <n v="32.19"/>
        <n v="33.06"/>
        <n v="33.409999999999997"/>
        <n v="5"/>
        <n v="20.149999999999999"/>
        <n v="33.25"/>
        <n v="31.7"/>
        <n v="33.32"/>
        <n v="30.69"/>
        <n v="4"/>
        <n v="26.79"/>
        <n v="23.2"/>
        <n v="13.12"/>
        <n v="22.26"/>
        <n v="18.12"/>
        <n v="13.23"/>
        <n v="9.06"/>
        <n v="14.69"/>
        <n v="8.83"/>
        <n v="6.88"/>
        <n v="5.6"/>
        <n v="9.1999999999999993"/>
        <n v="14.71"/>
        <n v="10.5"/>
        <n v="16.329999999999998"/>
        <n v="13.9"/>
        <n v="14.21"/>
        <n v="14.83"/>
        <n v="11.58"/>
        <n v="16.2"/>
        <n v="11.5"/>
        <n v="10.77"/>
        <n v="11.05"/>
        <n v="8.15"/>
        <n v="13.62"/>
        <n v="9.75"/>
        <n v="8.11"/>
        <n v="12.4"/>
        <n v="5.87"/>
        <n v="6.25"/>
        <n v="3.85"/>
        <n v="2.52"/>
        <n v="0.87"/>
        <n v="0.66"/>
        <n v="0.67"/>
        <n v="0.68"/>
        <n v="0.82"/>
        <n v="1.1499999999999999"/>
        <n v="1.18"/>
        <n v="1.1000000000000001"/>
        <n v="0.5"/>
        <n v="0.2"/>
        <n v="0.3"/>
        <n v="0.1"/>
        <n v="2"/>
        <n v="0"/>
        <n v="0.4"/>
        <n v="2.58"/>
        <m/>
      </sharedItems>
    </cacheField>
    <cacheField name="珠三角进口替代" numFmtId="0">
      <sharedItems containsString="0" containsBlank="1" containsNumber="1" minValue="0" maxValue="39.6" count="105">
        <n v="13.19"/>
        <n v="1"/>
        <n v="9.6"/>
        <n v="7.41"/>
        <n v="10.36"/>
        <n v="7.26"/>
        <n v="12.36"/>
        <n v="12.72"/>
        <n v="11.26"/>
        <n v="1.27"/>
        <n v="11.8"/>
        <n v="8.15"/>
        <n v="9.4499999999999993"/>
        <n v="8.1999999999999993"/>
        <n v="6.8"/>
        <n v="6.9"/>
        <n v="0"/>
        <n v="4.8"/>
        <n v="1.8"/>
        <n v="3.8"/>
        <n v="3.3"/>
        <n v="3.6"/>
        <n v="3"/>
        <n v="1.4"/>
        <n v="4.4000000000000004"/>
        <n v="4.5"/>
        <n v="6.3"/>
        <n v="12.26"/>
        <n v="11.3"/>
        <n v="13.88"/>
        <n v="13.8"/>
        <n v="10.8"/>
        <n v="12.5"/>
        <n v="13.6"/>
        <n v="7.7"/>
        <n v="10.5"/>
        <n v="18.2"/>
        <n v="9.4"/>
        <n v="12.3"/>
        <n v="11.2"/>
        <n v="12.7"/>
        <n v="11.6"/>
        <n v="11.9"/>
        <n v="15"/>
        <n v="7.6"/>
        <n v="24.8"/>
        <n v="28.9"/>
        <n v="6"/>
        <n v="28.2"/>
        <n v="22.4"/>
        <n v="24.9"/>
        <n v="39.6"/>
        <n v="22.2"/>
        <n v="18"/>
        <n v="19.7"/>
        <n v="16.8"/>
        <n v="19.5"/>
        <n v="17.2"/>
        <n v="15.2"/>
        <n v="2"/>
        <n v="13.1"/>
        <n v="15.5"/>
        <n v="14.5"/>
        <n v="17.100000000000001"/>
        <n v="19.2"/>
        <n v="5"/>
        <n v="18.7"/>
        <n v="26.6"/>
        <n v="25"/>
        <n v="23.9"/>
        <n v="21.2"/>
        <n v="22.8"/>
        <n v="16.7"/>
        <n v="21.4"/>
        <n v="16.5"/>
        <n v="25.7"/>
        <n v="26"/>
        <n v="19.3"/>
        <n v="17"/>
        <n v="22.9"/>
        <n v="19.600000000000001"/>
        <n v="27.9"/>
        <n v="20.9"/>
        <n v="12"/>
        <n v="19.8"/>
        <n v="18.3"/>
        <n v="26.1"/>
        <n v="25.2"/>
        <n v="18.8"/>
        <n v="22.1"/>
        <n v="14.3"/>
        <n v="11.1"/>
        <n v="16.2"/>
        <n v="18.100000000000001"/>
        <n v="16.899999999999999"/>
        <n v="16.600000000000001"/>
        <n v="14.8"/>
        <n v="18.5"/>
        <n v="9.9"/>
        <n v="3.4"/>
        <n v="23.3"/>
        <n v="13.2"/>
        <n v="16.100000000000001"/>
        <n v="10.4"/>
        <m/>
      </sharedItems>
    </cacheField>
    <cacheField name="粤西进口替代" numFmtId="0">
      <sharedItems containsString="0" containsBlank="1" containsNumber="1" minValue="0" maxValue="4.07" count="44">
        <m/>
        <n v="0"/>
        <n v="3.58"/>
        <n v="1.42"/>
        <n v="0.1"/>
        <n v="1"/>
        <n v="0.8"/>
        <n v="0.9"/>
        <n v="0.54"/>
        <n v="0.21"/>
        <n v="0.25"/>
        <n v="0.12"/>
        <n v="0.05"/>
        <n v="1.1000000000000001"/>
        <n v="0.13"/>
        <n v="0.53"/>
        <n v="4"/>
        <n v="2.1"/>
        <n v="1.4"/>
        <n v="4.07"/>
        <n v="0.65"/>
        <n v="0.35"/>
        <n v="0.55000000000000004"/>
        <n v="1.1499999999999999"/>
        <n v="0.34"/>
        <n v="0.44"/>
        <n v="0.02"/>
        <n v="0.85"/>
        <n v="0.95"/>
        <n v="0.6"/>
        <n v="1.25"/>
        <n v="1.35"/>
        <n v="1.05"/>
        <n v="2.4300000000000002"/>
        <n v="1.29"/>
        <n v="0.82"/>
        <n v="0.62"/>
        <n v="0.2"/>
        <n v="0.28000000000000003"/>
        <n v="0.01"/>
        <n v="1.2"/>
        <n v="0.7"/>
        <n v="0.46"/>
        <n v="0.04"/>
      </sharedItems>
    </cacheField>
    <cacheField name="钦州进口替代" numFmtId="0">
      <sharedItems containsString="0" containsBlank="1" containsNumber="1" minValue="0" maxValue="0.77" count="10">
        <m/>
        <n v="0"/>
        <n v="0.2"/>
        <n v="0.12"/>
        <n v="0.18"/>
        <n v="0.77"/>
        <n v="0.52"/>
        <n v="0.4"/>
        <n v="0.17"/>
        <n v="0.3"/>
      </sharedItems>
    </cacheField>
    <cacheField name="防城港进口替代" numFmtId="0">
      <sharedItems containsString="0" containsBlank="1" containsNumber="1" minValue="0" maxValue="2.8" count="48">
        <m/>
        <n v="0"/>
        <n v="0.9"/>
        <n v="1.1000000000000001"/>
        <n v="1.6"/>
        <n v="0.66"/>
        <n v="0.25"/>
        <n v="0.04"/>
        <n v="0.21"/>
        <n v="0.06"/>
        <n v="0.08"/>
        <n v="2.8"/>
        <n v="1.24"/>
        <n v="1.08"/>
        <n v="0.39"/>
        <n v="0.02"/>
        <n v="0.41"/>
        <n v="1.65"/>
        <n v="0.79"/>
        <n v="1.86"/>
        <n v="0.4"/>
        <n v="0.12"/>
        <n v="0.85"/>
        <n v="1.51"/>
        <n v="1.1599999999999999"/>
        <n v="2.08"/>
        <n v="0.65"/>
        <n v="1.84"/>
        <n v="1.23"/>
        <n v="0.14000000000000001"/>
        <n v="0.124"/>
        <n v="0.01"/>
        <n v="1.45"/>
        <n v="1.8"/>
        <n v="0.93"/>
        <n v="0.47"/>
        <n v="0.43"/>
        <n v="0.18"/>
        <n v="0.44"/>
        <n v="1.26"/>
        <n v="1.25"/>
        <n v="1.5"/>
        <n v="0.72"/>
        <n v="0.5"/>
        <n v="7.0000000000000007E-2"/>
        <n v="1.9"/>
        <n v="0.61"/>
        <n v="0.1"/>
      </sharedItems>
    </cacheField>
    <cacheField name="福建进口替代" numFmtId="0">
      <sharedItems containsString="0" containsBlank="1" containsNumber="1" minValue="0" maxValue="2.71" count="77">
        <n v="0.38"/>
        <n v="1"/>
        <n v="0.1"/>
        <n v="0.43"/>
        <n v="0.59"/>
        <n v="0.24"/>
        <n v="1.17"/>
        <n v="0.88"/>
        <n v="0.44"/>
        <n v="0.42"/>
        <n v="0.28999999999999998"/>
        <n v="0.28000000000000003"/>
        <n v="0.62"/>
        <n v="0.74"/>
        <n v="0.37"/>
        <n v="0.21"/>
        <n v="0"/>
        <n v="0.79"/>
        <n v="0.26"/>
        <n v="0.02"/>
        <n v="0.15"/>
        <n v="0.04"/>
        <n v="0.4"/>
        <n v="0.5"/>
        <n v="1.1599999999999999"/>
        <n v="0.99"/>
        <n v="0.85"/>
        <n v="0.45"/>
        <n v="0.31"/>
        <n v="0.53"/>
        <n v="0.32"/>
        <n v="0.49"/>
        <n v="0.72"/>
        <n v="1.1000000000000001"/>
        <n v="1.31"/>
        <n v="1.08"/>
        <n v="1.47"/>
        <n v="0.82"/>
        <n v="0.54"/>
        <n v="0.65"/>
        <n v="1.22"/>
        <n v="1.26"/>
        <n v="0.52"/>
        <n v="1.53"/>
        <n v="1.1499999999999999"/>
        <n v="0.9"/>
        <n v="0.96"/>
        <n v="2.16"/>
        <n v="0.7"/>
        <n v="0.41"/>
        <n v="1.68"/>
        <n v="1.28"/>
        <n v="1.42"/>
        <n v="0.81"/>
        <n v="0.95"/>
        <n v="0.73"/>
        <n v="2.14"/>
        <n v="1.07"/>
        <n v="0.93"/>
        <n v="0.34"/>
        <n v="2.71"/>
        <n v="1.73"/>
        <n v="1.01"/>
        <n v="0.64"/>
        <n v="0.16"/>
        <n v="0.77"/>
        <n v="0.55000000000000004"/>
        <n v="0.03"/>
        <n v="0.78"/>
        <n v="1.59"/>
        <n v="1.04"/>
        <n v="1.46"/>
        <n v="0.83"/>
        <n v="0.61"/>
        <n v="0.92"/>
        <n v="0.06"/>
        <m/>
      </sharedItems>
    </cacheField>
    <cacheField name="海南进口替代" numFmtId="0">
      <sharedItems containsString="0" containsBlank="1" containsNumber="1" minValue="0" maxValue="3" count="10">
        <n v="0"/>
        <m/>
        <n v="1.1499999999999999"/>
        <n v="1.2"/>
        <n v="1.21"/>
        <n v="0.3"/>
        <n v="0.5"/>
        <n v="0.1"/>
        <n v="3"/>
        <n v="0.6"/>
      </sharedItems>
    </cacheField>
    <cacheField name="社会合计进口替代" numFmtId="0">
      <sharedItems containsString="0" containsBlank="1" containsNumber="1" minValue="0" maxValue="41.31" count="120">
        <n v="13.57"/>
        <n v="2"/>
        <n v="9.6999999999999993"/>
        <n v="7.84"/>
        <n v="10.95"/>
        <n v="7.5"/>
        <n v="13.53"/>
        <n v="13.6"/>
        <n v="11.7"/>
        <n v="1.69"/>
        <n v="12.09"/>
        <n v="8.43"/>
        <n v="10.07"/>
        <n v="8.94"/>
        <n v="7.17"/>
        <n v="7.11"/>
        <n v="0"/>
        <n v="5.59"/>
        <n v="1.8"/>
        <n v="3.8"/>
        <n v="3.56"/>
        <n v="4.47"/>
        <n v="4.95"/>
        <n v="3"/>
        <n v="2.71"/>
        <n v="4.4400000000000004"/>
        <n v="4.5"/>
        <n v="6.3"/>
        <n v="12.36"/>
        <n v="14.38"/>
        <n v="14.08"/>
        <n v="11.96"/>
        <n v="13.49"/>
        <n v="14.45"/>
        <n v="8.15"/>
        <n v="10.81"/>
        <n v="18.73"/>
        <n v="10.62"/>
        <n v="13.89"/>
        <n v="13.18"/>
        <n v="12.95"/>
        <n v="16.13"/>
        <n v="13.19"/>
        <n v="17.95"/>
        <n v="8.4"/>
        <n v="25.62"/>
        <n v="29.44"/>
        <n v="6"/>
        <n v="28.65"/>
        <n v="23.35"/>
        <n v="29.02"/>
        <n v="41.31"/>
        <n v="25.7"/>
        <n v="20.350000000000001"/>
        <n v="21.27"/>
        <n v="18.739999999999998"/>
        <n v="20.9"/>
        <n v="18.22"/>
        <n v="13.14"/>
        <n v="17.59"/>
        <n v="16.25"/>
        <n v="18.579999999999998"/>
        <n v="17.649999999999999"/>
        <n v="19.649999999999999"/>
        <n v="5"/>
        <n v="21.13"/>
        <n v="32.04"/>
        <n v="29.45"/>
        <n v="27.54"/>
        <n v="23.48"/>
        <n v="27.68"/>
        <n v="18.3"/>
        <n v="23.33"/>
        <n v="26.4"/>
        <n v="20.38"/>
        <n v="3.08"/>
        <n v="28.85"/>
        <n v="30.23"/>
        <n v="26.36"/>
        <n v="31.98"/>
        <n v="21.05"/>
        <n v="20.28"/>
        <n v="21.803999999999998"/>
        <n v="18.329999999999998"/>
        <n v="19.940000000000001"/>
        <n v="23.2"/>
        <n v="23.66"/>
        <n v="21.18"/>
        <n v="21.47"/>
        <n v="31.22"/>
        <n v="30"/>
        <n v="24.67"/>
        <n v="13.79"/>
        <n v="21.83"/>
        <n v="22.09"/>
        <n v="19.72"/>
        <n v="21.68"/>
        <n v="27.75"/>
        <n v="26.89"/>
        <n v="22.71"/>
        <n v="15.76"/>
        <n v="15.38"/>
        <n v="12.23"/>
        <n v="18.43"/>
        <n v="23.59"/>
        <n v="19.57"/>
        <n v="18.02"/>
        <n v="17.600000000000001"/>
        <n v="19.399999999999999"/>
        <n v="15.5"/>
        <n v="19.3"/>
        <n v="10.7"/>
        <n v="3.86"/>
        <n v="18.46"/>
        <n v="23.34"/>
        <n v="13.2"/>
        <n v="16.75"/>
        <n v="10.48"/>
        <n v="15.3"/>
        <m/>
      </sharedItems>
    </cacheField>
    <cacheField name="珠三角国产替代" numFmtId="0">
      <sharedItems containsString="0" containsBlank="1" containsNumber="1" minValue="0" maxValue="15.5" count="66">
        <n v="7.86"/>
        <n v="2"/>
        <n v="5.13"/>
        <n v="4.8099999999999996"/>
        <n v="2.85"/>
        <n v="2.39"/>
        <n v="7.87"/>
        <n v="10.5"/>
        <n v="11.09"/>
        <n v="0"/>
        <n v="4.24"/>
        <n v="12.63"/>
        <n v="7.71"/>
        <n v="6.18"/>
        <n v="6.38"/>
        <n v="6.8"/>
        <n v="3.26"/>
        <n v="2.95"/>
        <n v="6.6"/>
        <n v="7.9"/>
        <n v="5.5"/>
        <n v="1.2"/>
        <n v="1.9"/>
        <n v="2.5"/>
        <n v="2.8"/>
        <n v="1.4"/>
        <n v="1.5"/>
        <n v="1.1000000000000001"/>
        <n v="1.7"/>
        <n v="0.1"/>
        <n v="0.4"/>
        <n v="0.6"/>
        <n v="4.5"/>
        <n v="2.7"/>
        <n v="4.9000000000000004"/>
        <n v="5.0999999999999996"/>
        <n v="8.5"/>
        <n v="3.6"/>
        <n v="6.5"/>
        <n v="5.2"/>
        <n v="4"/>
        <n v="3"/>
        <n v="3.5"/>
        <n v="4.3"/>
        <n v="1"/>
        <n v="3.8"/>
        <n v="2.4"/>
        <n v="4.7"/>
        <n v="10.199999999999999"/>
        <n v="5"/>
        <n v="9.6999999999999993"/>
        <n v="4.0999999999999996"/>
        <n v="6"/>
        <n v="15.5"/>
        <n v="7.4"/>
        <n v="0.7"/>
        <n v="2.2999999999999998"/>
        <n v="3.3"/>
        <n v="2.2000000000000002"/>
        <n v="2.6"/>
        <n v="1.3"/>
        <n v="0.5"/>
        <n v="1.8"/>
        <n v="1.6"/>
        <n v="0.8"/>
        <m/>
      </sharedItems>
    </cacheField>
    <cacheField name="粤西国产替代" numFmtId="0">
      <sharedItems containsString="0" containsBlank="1" containsNumber="1" minValue="-0.27" maxValue="3.59" count="34">
        <m/>
        <n v="0"/>
        <n v="1.27"/>
        <n v="3.59"/>
        <n v="2.2999999999999998"/>
        <n v="1.4"/>
        <n v="0.32"/>
        <n v="0.62"/>
        <n v="1.0900000000000001"/>
        <n v="0.85"/>
        <n v="0.41"/>
        <n v="-0.27"/>
        <n v="1"/>
        <n v="0.97"/>
        <n v="0.63"/>
        <n v="0.2"/>
        <n v="0.47"/>
        <n v="0.4"/>
        <n v="0.3"/>
        <n v="0.6"/>
        <n v="1.2"/>
        <n v="0.8"/>
        <n v="0.52"/>
        <n v="0.36"/>
        <n v="1.1399999999999999"/>
        <n v="0.39"/>
        <n v="0.46"/>
        <n v="1.05"/>
        <n v="0.94"/>
        <n v="0.91"/>
        <n v="0.42"/>
        <n v="0.53"/>
        <n v="0.56000000000000005"/>
        <n v="0.64"/>
      </sharedItems>
    </cacheField>
    <cacheField name="钦州国产替代" numFmtId="0">
      <sharedItems containsString="0" containsBlank="1" containsNumber="1" minValue="0" maxValue="2" count="17">
        <m/>
        <n v="0"/>
        <n v="1.67"/>
        <n v="2"/>
        <n v="1.03"/>
        <n v="0.55000000000000004"/>
        <n v="0.25"/>
        <n v="0.83"/>
        <n v="0.64"/>
        <n v="0.13"/>
        <n v="0.8"/>
        <n v="0.4"/>
        <n v="0.6"/>
        <n v="0.1"/>
        <n v="0.5"/>
        <n v="0.43"/>
        <n v="0.91"/>
      </sharedItems>
    </cacheField>
    <cacheField name="防城港国产替代" numFmtId="0">
      <sharedItems containsString="0" containsBlank="1" containsNumber="1" containsInteger="1" minValue="0" maxValue="0" count="2">
        <m/>
        <n v="0"/>
      </sharedItems>
    </cacheField>
    <cacheField name="福建国产替代" numFmtId="0">
      <sharedItems containsString="0" containsBlank="1" containsNumber="1" minValue="-0.22" maxValue="1.19" count="41">
        <n v="0.5"/>
        <n v="0"/>
        <n v="0.2"/>
        <n v="0.4"/>
        <n v="0.36"/>
        <n v="0.94"/>
        <n v="0.16"/>
        <n v="0.34"/>
        <n v="0.35"/>
        <n v="0.19"/>
        <n v="0.22"/>
        <n v="0.12"/>
        <n v="0.46"/>
        <n v="0.78"/>
        <n v="0.08"/>
        <n v="0.18"/>
        <n v="0.01"/>
        <n v="0.02"/>
        <n v="-0.02"/>
        <m/>
        <n v="0.43"/>
        <n v="0.91"/>
        <n v="1.19"/>
        <n v="0.53"/>
        <n v="0.6"/>
        <n v="0.44"/>
        <n v="0.32"/>
        <n v="0.28000000000000003"/>
        <n v="0.26"/>
        <n v="0.1"/>
        <n v="0.04"/>
        <n v="-0.22"/>
        <n v="0.54"/>
        <n v="0.23"/>
        <n v="0.05"/>
        <n v="0.41"/>
        <n v="0.25"/>
        <n v="0.38"/>
        <n v="1"/>
        <n v="0.68"/>
        <n v="0.03"/>
      </sharedItems>
    </cacheField>
    <cacheField name="海南国产替代" numFmtId="0">
      <sharedItems containsString="0" containsBlank="1" containsNumber="1" minValue="-0.39500000000000002" maxValue="1.4" count="20">
        <m/>
        <n v="0"/>
        <n v="0.8"/>
        <n v="1.1000000000000001"/>
        <n v="0.27"/>
        <n v="0.96"/>
        <n v="1.2"/>
        <n v="0.5"/>
        <n v="0.66"/>
        <n v="0.15"/>
        <n v="-0.39500000000000002"/>
        <n v="0.88"/>
        <n v="1.1200000000000001"/>
        <n v="0.3"/>
        <n v="7.0000000000000007E-2"/>
        <n v="0.05"/>
        <n v="0.03"/>
        <n v="5.2999999999999999E-2"/>
        <n v="1.18"/>
        <n v="1.4"/>
      </sharedItems>
    </cacheField>
    <cacheField name="社会合计国产替代" numFmtId="0">
      <sharedItems containsString="0" containsBlank="1" containsNumber="1" minValue="0" maxValue="18.100000000000001" count="89">
        <n v="8.36"/>
        <n v="2"/>
        <n v="5.33"/>
        <n v="5.21"/>
        <n v="3.21"/>
        <n v="3.33"/>
        <n v="8.0299999999999994"/>
        <n v="10.84"/>
        <n v="11.44"/>
        <n v="0.19"/>
        <n v="4.46"/>
        <n v="12.75"/>
        <n v="8.17"/>
        <n v="6.52"/>
        <n v="6.72"/>
        <n v="7.58"/>
        <n v="0.08"/>
        <n v="3.46"/>
        <n v="3.13"/>
        <n v="6.6"/>
        <n v="7.9"/>
        <n v="5.51"/>
        <n v="1.22"/>
        <n v="1.98"/>
        <n v="1.9"/>
        <n v="2.5"/>
        <n v="0"/>
        <m/>
        <n v="2.8"/>
        <n v="1.2"/>
        <n v="1.4"/>
        <n v="1.5"/>
        <n v="1.1000000000000001"/>
        <n v="1.7"/>
        <n v="0.1"/>
        <n v="0.4"/>
        <n v="0.6"/>
        <n v="6.2"/>
        <n v="4.88"/>
        <n v="11.08"/>
        <n v="9.4700000000000006"/>
        <n v="10.27"/>
        <n v="8.64"/>
        <n v="10.65"/>
        <n v="5.95"/>
        <n v="8.35"/>
        <n v="6.81"/>
        <n v="4.5999999999999996"/>
        <n v="1.115"/>
        <n v="5.42"/>
        <n v="6.42"/>
        <n v="6.67"/>
        <n v="5.53"/>
        <n v="1"/>
        <n v="5.49"/>
        <n v="3.5529999999999999"/>
        <n v="4.4029999999999996"/>
        <n v="5.0199999999999996"/>
        <n v="2.76"/>
        <n v="3.6"/>
        <n v="4.7"/>
        <n v="11.02"/>
        <n v="5.3"/>
        <n v="10.5"/>
        <n v="5.8"/>
        <n v="3.5"/>
        <n v="4.5"/>
        <n v="4.3"/>
        <n v="6"/>
        <n v="18.100000000000001"/>
        <n v="8.6300000000000008"/>
        <n v="1.81"/>
        <n v="2.25"/>
        <n v="3.23"/>
        <n v="3.18"/>
        <n v="4.24"/>
        <n v="3.94"/>
        <n v="2.2400000000000002"/>
        <n v="3.05"/>
        <n v="4.32"/>
        <n v="3.36"/>
        <n v="3.8"/>
        <n v="3.2"/>
        <n v="3.06"/>
        <n v="1.86"/>
        <n v="1.74"/>
        <n v="1.8"/>
        <n v="1.6"/>
        <n v="0.8"/>
      </sharedItems>
    </cacheField>
    <cacheField name="海南内贸玉米（散+集）" numFmtId="0">
      <sharedItems containsString="0" containsBlank="1" containsNumber="1" minValue="0" maxValue="3.81" count="36">
        <m/>
        <n v="2.3199999999999998"/>
        <n v="3.31"/>
        <n v="3.29"/>
        <n v="2.96"/>
        <n v="3.77"/>
        <n v="0"/>
        <n v="3.81"/>
        <n v="2.93"/>
        <n v="2.37"/>
        <n v="3.62"/>
        <n v="3.69"/>
        <n v="3.41"/>
        <n v="3.38"/>
        <n v="2.79"/>
        <n v="3.57"/>
        <n v="1"/>
        <n v="2.6379999999999999"/>
        <n v="3.17"/>
        <n v="2.5499999999999998"/>
        <n v="2.87"/>
        <n v="2.4300000000000002"/>
        <n v="3.39"/>
        <n v="2.17"/>
        <n v="2.4700000000000002"/>
        <n v="2.1"/>
        <n v="3.14"/>
        <n v="2.86"/>
        <n v="2.23"/>
        <n v="2.78"/>
        <n v="1.1399999999999999"/>
        <n v="2.72"/>
        <n v="2.54"/>
        <n v="1.53"/>
        <n v="2.2400000000000002"/>
        <n v="2.81"/>
      </sharedItems>
    </cacheField>
    <cacheField name="周" numFmtId="0">
      <sharedItems containsString="0" containsBlank="1" containsNumber="1" containsInteger="1" minValue="1" maxValue="53" count="54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蔡梅梅" refreshedDate="45760.587587037" createdVersion="8" refreshedVersion="8" minRefreshableVersion="3" recordCount="133" xr:uid="{00000000-000A-0000-FFFF-FFFF02000000}">
  <cacheSource type="worksheet">
    <worksheetSource ref="A1:AL1048576" sheet="社会港存"/>
  </cacheSource>
  <cacheFields count="41">
    <cacheField name="日期" numFmtId="0">
      <sharedItems containsNonDate="0" containsDate="1" containsString="0" containsBlank="1" minDate="2022-09-30T00:00:00" maxDate="2025-04-11T00:00:00" count="133">
        <d v="2022-09-30T00:00:00"/>
        <d v="2022-10-07T00:00:00"/>
        <d v="2022-10-14T00:00:00"/>
        <d v="2022-10-21T00:00:00"/>
        <d v="2022-10-28T00:00:00"/>
        <d v="2022-11-04T00:00:00"/>
        <d v="2022-11-11T00:00:00"/>
        <d v="2022-11-17T00:00:00"/>
        <d v="2022-11-25T00:00:00"/>
        <d v="2022-12-02T00:00:00"/>
        <d v="2022-12-09T00:00:00"/>
        <d v="2022-12-16T00:00:00"/>
        <d v="2022-12-23T00:00:00"/>
        <d v="2022-12-30T00:00:00"/>
        <d v="2023-01-06T00:00:00"/>
        <d v="2023-01-13T00:00:00"/>
        <d v="2023-01-20T00:00:00"/>
        <d v="2023-01-27T00:00:00"/>
        <d v="2023-02-03T00:00:00"/>
        <d v="2023-02-10T00:00:00"/>
        <d v="2023-02-17T00:00:00"/>
        <d v="2023-02-24T00:00:00"/>
        <d v="2023-03-03T00:00:00"/>
        <d v="2023-03-10T00:00:00"/>
        <d v="2023-03-17T00:00:00"/>
        <d v="2023-03-24T00:00:00"/>
        <d v="2023-03-31T00:00:00"/>
        <d v="2023-04-07T00:00:00"/>
        <d v="2023-04-14T00:00:00"/>
        <d v="2023-04-21T00:00:00"/>
        <d v="2023-04-28T00:00:00"/>
        <d v="2023-05-05T00:00:00"/>
        <d v="2023-05-12T00:00:00"/>
        <d v="2023-05-19T00:00:00"/>
        <d v="2023-05-26T00:00:00"/>
        <d v="2023-06-02T00:00:00"/>
        <d v="2023-06-09T00:00:00"/>
        <d v="2023-06-16T00:00:00"/>
        <d v="2023-06-25T00:00:00"/>
        <d v="2023-06-30T00:00:00"/>
        <d v="2023-07-06T00:00:00"/>
        <d v="2023-07-13T00:00:00"/>
        <d v="2023-07-20T00:00:00"/>
        <d v="2023-07-27T00:00:00"/>
        <d v="2023-08-04T00:00:00"/>
        <d v="2023-08-11T00:00:00"/>
        <d v="2023-08-18T00:00:00"/>
        <d v="2023-08-25T00:00:00"/>
        <d v="2023-09-01T00:00:00"/>
        <d v="2023-09-08T00:00:00"/>
        <d v="2023-09-15T00:00:00"/>
        <d v="2023-09-22T00:00:00"/>
        <d v="2023-09-29T00:00:00"/>
        <d v="2023-10-06T00:00:00"/>
        <d v="2023-10-13T00:00:00"/>
        <d v="2023-10-20T00:00:00"/>
        <d v="2023-10-27T00:00:00"/>
        <d v="2023-11-03T00:00:00"/>
        <d v="2023-11-10T00:00:00"/>
        <d v="2023-11-17T00:00:00"/>
        <d v="2023-11-24T00:00:00"/>
        <d v="2023-12-01T00:00:00"/>
        <d v="2023-12-08T00:00:00"/>
        <d v="2023-12-15T00:00:00"/>
        <d v="2023-12-22T00:00:00"/>
        <d v="2023-12-29T00:00:00"/>
        <d v="2024-01-05T00:00:00"/>
        <d v="2024-01-12T00:00:00"/>
        <d v="2024-01-19T00:00:00"/>
        <d v="2024-01-26T00:00:00"/>
        <d v="2024-02-02T00:00:00"/>
        <d v="2024-02-09T00:00:00"/>
        <d v="2024-02-16T00:00:00"/>
        <d v="2024-02-23T00:00:00"/>
        <d v="2024-03-01T00:00:00"/>
        <d v="2024-03-08T00:00:00"/>
        <d v="2024-03-15T00:00:00"/>
        <d v="2024-03-22T00:00:00"/>
        <d v="2024-03-29T00:00:00"/>
        <d v="2024-04-05T00:00:00"/>
        <d v="2024-04-12T00:00:00"/>
        <d v="2024-04-19T00:00:00"/>
        <d v="2024-04-26T00:00:00"/>
        <d v="2024-05-03T00:00:00"/>
        <d v="2024-05-10T00:00:00"/>
        <d v="2024-05-17T00:00:00"/>
        <d v="2024-05-23T00:00:00"/>
        <d v="2024-05-30T00:00:00"/>
        <d v="2024-06-07T00:00:00"/>
        <d v="2024-06-14T00:00:00"/>
        <d v="2024-06-21T00:00:00"/>
        <d v="2024-06-28T00:00:00"/>
        <d v="2024-07-05T00:00:00"/>
        <d v="2024-07-12T00:00:00"/>
        <d v="2024-07-19T00:00:00"/>
        <d v="2024-07-26T00:00:00"/>
        <d v="2024-08-02T00:00:00"/>
        <d v="2024-08-09T00:00:00"/>
        <d v="2024-08-16T00:00:00"/>
        <d v="2024-08-23T00:00:00"/>
        <d v="2024-08-30T00:00:00"/>
        <d v="2024-09-06T00:00:00"/>
        <d v="2024-09-14T00:00:00"/>
        <d v="2024-09-20T00:00:00"/>
        <d v="2024-09-27T00:00:00"/>
        <d v="2024-10-11T00:00:00"/>
        <d v="2024-10-18T00:00:00"/>
        <d v="2024-10-25T00:00:00"/>
        <d v="2024-11-01T00:00:00"/>
        <d v="2024-11-08T00:00:00"/>
        <d v="2024-11-15T00:00:00"/>
        <d v="2024-11-22T00:00:00"/>
        <d v="2024-11-29T00:00:00"/>
        <d v="2024-12-06T00:00:00"/>
        <d v="2024-12-13T00:00:00"/>
        <d v="2024-12-20T00:00:00"/>
        <d v="2024-12-27T00:00:00"/>
        <d v="2025-01-03T00:00:00"/>
        <d v="2025-01-10T00:00:00"/>
        <d v="2025-01-17T00:00:00"/>
        <d v="2025-01-24T00:00:00"/>
        <d v="2025-01-31T00:00:00"/>
        <d v="2025-02-07T00:00:00"/>
        <d v="2025-02-14T00:00:00"/>
        <d v="2025-02-21T00:00:00"/>
        <d v="2025-02-28T00:00:00"/>
        <d v="2025-03-07T00:00:00"/>
        <d v="2025-03-14T00:00:00"/>
        <d v="2025-03-21T00:00:00"/>
        <d v="2025-03-28T00:00:00"/>
        <d v="2025-04-04T00:00:00"/>
        <d v="2025-04-11T00:00:00"/>
        <m/>
      </sharedItems>
    </cacheField>
    <cacheField name="珠三角能量原料" numFmtId="3">
      <sharedItems containsSemiMixedTypes="0" containsNonDate="0" containsString="0"/>
    </cacheField>
    <cacheField name="粤西能量原料" numFmtId="3">
      <sharedItems containsSemiMixedTypes="0" containsNonDate="0" containsString="0"/>
    </cacheField>
    <cacheField name="钦州能量原料" numFmtId="3">
      <sharedItems containsSemiMixedTypes="0" containsNonDate="0" containsString="0"/>
    </cacheField>
    <cacheField name="防城港能量原料" numFmtId="3">
      <sharedItems containsSemiMixedTypes="0" containsNonDate="0" containsString="0"/>
    </cacheField>
    <cacheField name="福建能量原料" numFmtId="3">
      <sharedItems containsSemiMixedTypes="0" containsNonDate="0" containsString="0"/>
    </cacheField>
    <cacheField name="海南能量原料" numFmtId="3">
      <sharedItems containsSemiMixedTypes="0" containsNonDate="0" containsString="0"/>
    </cacheField>
    <cacheField name="社会合计能量原料" numFmtId="3">
      <sharedItems containsSemiMixedTypes="0" containsNonDate="0" containsString="0"/>
    </cacheField>
    <cacheField name="珠三角内贸玉米" numFmtId="0">
      <sharedItems containsSemiMixedTypes="0" containsNonDate="0" containsString="0"/>
    </cacheField>
    <cacheField name="粤西内贸玉米" numFmtId="0">
      <sharedItems containsSemiMixedTypes="0" containsNonDate="0" containsString="0"/>
    </cacheField>
    <cacheField name="钦州内贸玉米" numFmtId="0">
      <sharedItems containsSemiMixedTypes="0" containsNonDate="0" containsString="0"/>
    </cacheField>
    <cacheField name="防城港内贸玉米" numFmtId="0">
      <sharedItems containsSemiMixedTypes="0" containsNonDate="0" containsString="0"/>
    </cacheField>
    <cacheField name="福建内贸玉米" numFmtId="0">
      <sharedItems containsSemiMixedTypes="0" containsNonDate="0" containsString="0"/>
    </cacheField>
    <cacheField name="海南内贸玉米" numFmtId="0">
      <sharedItems containsSemiMixedTypes="0" containsNonDate="0" containsString="0"/>
    </cacheField>
    <cacheField name="社会合计内贸玉米" numFmtId="0">
      <sharedItems containsSemiMixedTypes="0" containsNonDate="0" containsString="0"/>
    </cacheField>
    <cacheField name="珠三角进口玉米" numFmtId="0">
      <sharedItems containsSemiMixedTypes="0" containsNonDate="0" containsString="0"/>
    </cacheField>
    <cacheField name="粤西进口玉米" numFmtId="0">
      <sharedItems containsSemiMixedTypes="0" containsNonDate="0" containsString="0"/>
    </cacheField>
    <cacheField name="钦州进口玉米" numFmtId="0">
      <sharedItems containsSemiMixedTypes="0" containsNonDate="0" containsString="0"/>
    </cacheField>
    <cacheField name="防城港进口玉米" numFmtId="0">
      <sharedItems containsSemiMixedTypes="0" containsNonDate="0" containsString="0"/>
    </cacheField>
    <cacheField name="福建进口玉米" numFmtId="0">
      <sharedItems containsSemiMixedTypes="0" containsNonDate="0" containsString="0"/>
    </cacheField>
    <cacheField name="海南进口玉米" numFmtId="0">
      <sharedItems containsSemiMixedTypes="0" containsNonDate="0" containsString="0"/>
    </cacheField>
    <cacheField name="社会合计进口玉米" numFmtId="0">
      <sharedItems containsSemiMixedTypes="0" containsNonDate="0" containsString="0"/>
    </cacheField>
    <cacheField name="珠三角进口替代" numFmtId="0">
      <sharedItems containsSemiMixedTypes="0" containsNonDate="0" containsString="0"/>
    </cacheField>
    <cacheField name="粤西进口替代" numFmtId="0">
      <sharedItems containsSemiMixedTypes="0" containsNonDate="0" containsString="0"/>
    </cacheField>
    <cacheField name="钦州进口替代" numFmtId="0">
      <sharedItems containsSemiMixedTypes="0" containsNonDate="0" containsString="0"/>
    </cacheField>
    <cacheField name="防城港进口替代" numFmtId="0">
      <sharedItems containsSemiMixedTypes="0" containsNonDate="0" containsString="0"/>
    </cacheField>
    <cacheField name="福建进口替代" numFmtId="0">
      <sharedItems containsSemiMixedTypes="0" containsNonDate="0" containsString="0"/>
    </cacheField>
    <cacheField name="海南进口替代" numFmtId="0">
      <sharedItems containsSemiMixedTypes="0" containsNonDate="0" containsString="0"/>
    </cacheField>
    <cacheField name="社会合计进口替代" numFmtId="0">
      <sharedItems containsSemiMixedTypes="0" containsNonDate="0" containsString="0"/>
    </cacheField>
    <cacheField name="珠三角国产替代" numFmtId="0">
      <sharedItems containsSemiMixedTypes="0" containsNonDate="0" containsString="0"/>
    </cacheField>
    <cacheField name="粤西国产替代" numFmtId="0">
      <sharedItems containsSemiMixedTypes="0" containsNonDate="0" containsString="0"/>
    </cacheField>
    <cacheField name="钦州国产替代" numFmtId="0">
      <sharedItems containsSemiMixedTypes="0" containsNonDate="0" containsString="0"/>
    </cacheField>
    <cacheField name="防城港国产替代" numFmtId="0">
      <sharedItems containsSemiMixedTypes="0" containsNonDate="0" containsString="0"/>
    </cacheField>
    <cacheField name="福建国产替代" numFmtId="0">
      <sharedItems containsSemiMixedTypes="0" containsNonDate="0" containsString="0"/>
    </cacheField>
    <cacheField name="海南国产替代" numFmtId="0">
      <sharedItems containsSemiMixedTypes="0" containsNonDate="0" containsString="0"/>
    </cacheField>
    <cacheField name="社会合计国产替代" numFmtId="0">
      <sharedItems containsSemiMixedTypes="0" containsNonDate="0" containsString="0"/>
    </cacheField>
    <cacheField name="周" numFmtId="0">
      <sharedItems containsString="0" containsBlank="1" containsNumber="1" containsInteger="1" minValue="1" maxValue="53" count="54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 u="1"/>
      </sharedItems>
    </cacheField>
    <cacheField name="产季" numFmtId="0">
      <sharedItems containsBlank="1" count="4">
        <m/>
        <s v="22-23产季"/>
        <s v="23-24产季"/>
        <s v="24-25产季"/>
      </sharedItems>
    </cacheField>
    <cacheField name="月(日期)" numFmtId="0" databaseField="0">
      <fieldGroup base="0">
        <rangePr groupBy="months" startDate="2022-09-30T00:00:00" endDate="2025-04-12T00:00:00"/>
        <groupItems count="14">
          <s v="&lt;2022/9/30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4/12"/>
        </groupItems>
      </fieldGroup>
    </cacheField>
    <cacheField name="季度(日期)" numFmtId="0" databaseField="0">
      <fieldGroup base="0">
        <rangePr groupBy="quarters" startDate="2022-09-30T00:00:00" endDate="2025-04-12T00:00:00"/>
        <groupItems count="6">
          <s v="&lt;2022/9/30"/>
          <s v="第一季"/>
          <s v="第二季"/>
          <s v="第三季"/>
          <s v="第四季"/>
          <s v="&gt;2025/4/12"/>
        </groupItems>
      </fieldGroup>
    </cacheField>
    <cacheField name="年(日期)" numFmtId="0" databaseField="0">
      <fieldGroup base="0">
        <rangePr groupBy="years" startDate="2022-09-30T00:00:00" endDate="2025-04-12T00:00:00"/>
        <groupItems count="6">
          <s v="&lt;2022/9/30"/>
          <s v="2022年"/>
          <s v="2023年"/>
          <s v="2024年"/>
          <s v="2025年"/>
          <s v="&gt;2025/4/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d v="2022-12-02T00:00:00"/>
    <s v="22/23产季"/>
    <n v="4.7554999999999996"/>
    <n v="2.3358999999999996"/>
    <n v="1.0684"/>
    <n v="0"/>
    <n v="0.1895"/>
    <n v="0.68420000000000003"/>
    <n v="9.0335000000000001"/>
    <n v="1.4742999999999999"/>
    <n v="1.0873999999999999"/>
    <n v="0"/>
    <n v="0"/>
    <n v="0"/>
    <n v="0.68420000000000003"/>
    <n v="3.2459000000000002"/>
  </r>
  <r>
    <x v="1"/>
    <d v="2022-12-09T00:00:00"/>
    <s v="22/23产季"/>
    <n v="13.0908"/>
    <n v="4.8638000000000003"/>
    <n v="0.14119999999999999"/>
    <n v="3.4873000000000003"/>
    <n v="2.9680999999999997"/>
    <n v="0.58760000000000001"/>
    <n v="25.1388"/>
    <n v="1.1349"/>
    <n v="0.84530000000000005"/>
    <n v="0"/>
    <n v="0"/>
    <n v="0.46839999999999998"/>
    <n v="0.58760000000000001"/>
    <n v="3.0362"/>
  </r>
  <r>
    <x v="2"/>
    <d v="2022-12-16T00:00:00"/>
    <s v="22/23产季"/>
    <n v="10.215999999999999"/>
    <n v="4.2403000000000004"/>
    <n v="1.7303999999999999"/>
    <n v="1.4317"/>
    <n v="3.0038"/>
    <n v="0.27829999999999999"/>
    <n v="20.900500000000001"/>
    <n v="0.69620000000000004"/>
    <n v="1.2981"/>
    <n v="0.51"/>
    <n v="0"/>
    <n v="0.75190000000000001"/>
    <n v="0.27829999999999999"/>
    <n v="3.5344999999999995"/>
  </r>
  <r>
    <x v="3"/>
    <d v="2022-12-23T00:00:00"/>
    <s v="22/23产季"/>
    <n v="13.3124"/>
    <n v="4.9451000000000001"/>
    <n v="2.9123000000000001"/>
    <n v="0.37679999999999997"/>
    <n v="5.6443000000000003"/>
    <n v="1.0628"/>
    <n v="28.253700000000002"/>
    <n v="2.7403"/>
    <n v="2.0748000000000002"/>
    <n v="1.3304"/>
    <n v="0"/>
    <n v="0.31040000000000001"/>
    <n v="1.0628"/>
    <n v="7.5186999999999999"/>
  </r>
  <r>
    <x v="4"/>
    <d v="2022-12-30T00:00:00"/>
    <s v="22/23产季"/>
    <n v="10.284199999999998"/>
    <n v="3.1509999999999998"/>
    <n v="1.2801"/>
    <n v="0.75039999999999996"/>
    <n v="3.488"/>
    <n v="0.90359999999999996"/>
    <n v="19.857299999999999"/>
    <n v="2.5518000000000001"/>
    <n v="1.4757"/>
    <n v="0.80930000000000002"/>
    <n v="0"/>
    <n v="1.1999"/>
    <n v="0.90359999999999996"/>
    <n v="6.9402999999999997"/>
  </r>
  <r>
    <x v="5"/>
    <d v="2023-01-06T00:00:00"/>
    <s v="22/23产季"/>
    <n v="7.9923999999999999"/>
    <n v="2.0762"/>
    <n v="0.95520000000000005"/>
    <n v="1.0876999999999999"/>
    <n v="4.5019"/>
    <n v="0.45079999999999998"/>
    <n v="17.0642"/>
    <n v="3.4569999999999999"/>
    <n v="0.9395"/>
    <n v="0.87"/>
    <n v="0"/>
    <n v="0.74409999999999998"/>
    <n v="0.45079999999999998"/>
    <n v="6.4614000000000003"/>
  </r>
  <r>
    <x v="6"/>
    <d v="2023-01-13T00:00:00"/>
    <s v="22/23产季"/>
    <n v="4.4013"/>
    <n v="3.7961999999999998"/>
    <n v="2.5164999999999997"/>
    <n v="1.8228"/>
    <n v="5.7359"/>
    <n v="1.2706999999999999"/>
    <n v="19.543400000000002"/>
    <n v="1.1632"/>
    <n v="2.7037"/>
    <n v="1.4723999999999999"/>
    <n v="0"/>
    <n v="1.79"/>
    <n v="1.2706999999999999"/>
    <n v="8.4"/>
  </r>
  <r>
    <x v="7"/>
    <d v="2023-01-20T00:00:00"/>
    <s v="22/23产季"/>
    <n v="9.8333000000000013"/>
    <n v="4.5723000000000003"/>
    <n v="2.6166999999999998"/>
    <n v="1.3515999999999999"/>
    <n v="4.1609999999999996"/>
    <n v="2.1537999999999999"/>
    <n v="24.688700000000001"/>
    <n v="4.2975000000000003"/>
    <n v="4.0224000000000002"/>
    <n v="1.3082"/>
    <n v="0"/>
    <n v="1.2293000000000001"/>
    <n v="2.1537999999999999"/>
    <n v="13.011200000000001"/>
  </r>
  <r>
    <x v="8"/>
    <d v="2023-01-28T00:00:00"/>
    <s v="22/23产季"/>
    <n v="27.504200000000001"/>
    <n v="3.2921999999999998"/>
    <n v="0"/>
    <n v="7.13"/>
    <n v="0.46039999999999998"/>
    <n v="0.73299999999999998"/>
    <n v="39.119799999999998"/>
    <n v="0"/>
    <n v="3.2921999999999998"/>
    <n v="0"/>
    <n v="0"/>
    <n v="0.46039999999999998"/>
    <n v="0.73299999999999998"/>
    <n v="4.4855999999999998"/>
  </r>
  <r>
    <x v="9"/>
    <d v="2023-02-03T00:00:00"/>
    <s v="22/23产季"/>
    <n v="4.03"/>
    <n v="4.7766000000000002"/>
    <n v="1.2539"/>
    <n v="1.8143"/>
    <n v="3.1125999999999996"/>
    <n v="1.5274000000000001"/>
    <n v="16.514799999999997"/>
    <n v="1.3994"/>
    <n v="4.6482999999999999"/>
    <n v="1.2514000000000001"/>
    <n v="0"/>
    <n v="1.5124"/>
    <n v="1.5274000000000001"/>
    <n v="10.338900000000001"/>
  </r>
  <r>
    <x v="10"/>
    <d v="2023-02-10T00:00:00"/>
    <s v="22/23产季"/>
    <n v="11.155899999999999"/>
    <n v="2.3113000000000001"/>
    <n v="0.53739999999999999"/>
    <n v="3.27"/>
    <n v="3.2824"/>
    <n v="0.39550000000000002"/>
    <n v="20.952499999999997"/>
    <n v="1.7092000000000001"/>
    <n v="1.9281999999999999"/>
    <n v="0.53739999999999999"/>
    <n v="0"/>
    <n v="0.78359999999999996"/>
    <n v="0.39550000000000002"/>
    <n v="5.3539000000000003"/>
  </r>
  <r>
    <x v="11"/>
    <d v="2023-02-17T00:00:00"/>
    <s v="22/23产季"/>
    <n v="15.497499999999999"/>
    <n v="3.2325999999999997"/>
    <n v="0.1696"/>
    <n v="4.6279000000000003"/>
    <n v="2.839"/>
    <n v="0.82389999999999997"/>
    <n v="27.190499999999997"/>
    <n v="1.1339999999999999"/>
    <n v="2.2850999999999999"/>
    <n v="0.1696"/>
    <n v="0"/>
    <n v="0.7974"/>
    <n v="0.82389999999999997"/>
    <n v="5.21"/>
  </r>
  <r>
    <x v="12"/>
    <d v="2023-02-24T00:00:00"/>
    <s v="22/23产季"/>
    <n v="16.051000000000002"/>
    <n v="6.0075000000000003"/>
    <n v="0.25319999999999998"/>
    <n v="6.8250999999999999"/>
    <n v="3.0957999999999997"/>
    <n v="2.1080000000000001"/>
    <n v="34.340599999999995"/>
    <n v="1.8826000000000001"/>
    <n v="3.3197999999999999"/>
    <n v="0.25319999999999998"/>
    <n v="0"/>
    <n v="1.4119999999999999"/>
    <n v="2.1080000000000001"/>
    <n v="8.9756"/>
  </r>
  <r>
    <x v="13"/>
    <d v="2023-03-03T00:00:00"/>
    <s v="22/23产季"/>
    <n v="11.4907"/>
    <n v="4.2302999999999997"/>
    <n v="0.4199"/>
    <n v="7.0260999999999996"/>
    <n v="3.2136000000000005"/>
    <n v="0.67569999999999997"/>
    <n v="27.056299999999997"/>
    <n v="1.1213"/>
    <n v="2.6307"/>
    <n v="0.4199"/>
    <n v="0"/>
    <n v="1.5093000000000001"/>
    <n v="0.67569999999999997"/>
    <n v="6.3569000000000004"/>
  </r>
  <r>
    <x v="14"/>
    <d v="2023-03-10T00:00:00"/>
    <s v="22/23产季"/>
    <n v="13.7759"/>
    <n v="4.3540999999999999"/>
    <n v="0.2185"/>
    <n v="5.3756000000000004"/>
    <n v="1.6598999999999999"/>
    <n v="1.3536999999999999"/>
    <n v="26.7377"/>
    <n v="0.41699999999999998"/>
    <n v="2.5539000000000001"/>
    <n v="0.2185"/>
    <n v="0"/>
    <n v="0.30969999999999998"/>
    <n v="1.3536999999999999"/>
    <n v="4.8528000000000002"/>
  </r>
  <r>
    <x v="15"/>
    <d v="2023-03-17T00:00:00"/>
    <s v="22/23产季"/>
    <n v="14.6701"/>
    <n v="4.0515999999999996"/>
    <n v="0.33550000000000002"/>
    <n v="3.9864999999999999"/>
    <n v="2.8216000000000001"/>
    <n v="0.79679999999999995"/>
    <n v="26.662099999999999"/>
    <n v="1.2505999999999999"/>
    <n v="1.3021"/>
    <n v="0.33550000000000002"/>
    <n v="0"/>
    <n v="0.84940000000000004"/>
    <n v="0.79679999999999995"/>
    <n v="4.5343999999999998"/>
  </r>
  <r>
    <x v="16"/>
    <d v="2023-03-24T00:00:00"/>
    <s v="22/23产季"/>
    <n v="15.9383"/>
    <n v="5.5762"/>
    <n v="0.4395"/>
    <n v="5.1814999999999998"/>
    <n v="2.8434999999999997"/>
    <n v="1.2235"/>
    <n v="31.202499999999997"/>
    <n v="1.0766"/>
    <n v="1.6136999999999999"/>
    <n v="0.4395"/>
    <n v="0"/>
    <n v="0.4456"/>
    <n v="1.2235"/>
    <n v="4.7988999999999997"/>
  </r>
  <r>
    <x v="17"/>
    <d v="2023-03-31T00:00:00"/>
    <s v="22/23产季"/>
    <n v="11.753300000000001"/>
    <n v="5.1212999999999997"/>
    <n v="0.46629999999999999"/>
    <n v="4.0453999999999999"/>
    <n v="2.4142000000000001"/>
    <n v="0.63100000000000001"/>
    <n v="24.431500000000003"/>
    <n v="1.0572999999999999"/>
    <n v="1.9103000000000001"/>
    <n v="0.46629999999999999"/>
    <n v="0"/>
    <n v="0.52349999999999997"/>
    <n v="0.63100000000000001"/>
    <n v="4.5884"/>
  </r>
  <r>
    <x v="18"/>
    <d v="2023-04-07T00:00:00"/>
    <s v="22/23产季"/>
    <n v="14.2529"/>
    <n v="2.9670000000000001"/>
    <n v="0.45350000000000001"/>
    <n v="4.3917999999999999"/>
    <n v="1.9607000000000001"/>
    <n v="0.88790000000000002"/>
    <n v="24.913799999999998"/>
    <n v="1.964"/>
    <n v="0.66439999999999999"/>
    <n v="0.45350000000000001"/>
    <n v="0"/>
    <n v="0.18840000000000001"/>
    <n v="0.88790000000000002"/>
    <n v="4.1581999999999999"/>
  </r>
  <r>
    <x v="19"/>
    <d v="2023-04-14T00:00:00"/>
    <s v="22/23产季"/>
    <n v="15.082100000000001"/>
    <n v="4.5408999999999997"/>
    <n v="0.72589999999999999"/>
    <n v="2.8776999999999999"/>
    <n v="1.7336"/>
    <n v="0.53080000000000005"/>
    <n v="25.491"/>
    <n v="1.0071000000000001"/>
    <n v="1.0350999999999999"/>
    <n v="0.72589999999999999"/>
    <n v="0"/>
    <n v="0.84850000000000003"/>
    <n v="0.53080000000000005"/>
    <n v="4.1474000000000002"/>
  </r>
  <r>
    <x v="20"/>
    <d v="2023-04-21T00:00:00"/>
    <s v="22/23产季"/>
    <n v="11.1594"/>
    <n v="4.1283000000000003"/>
    <n v="0.71719999999999995"/>
    <n v="3.1516999999999999"/>
    <n v="2.1585000000000001"/>
    <n v="1.7361"/>
    <n v="23.051199999999998"/>
    <n v="1.1765000000000001"/>
    <n v="1.1557999999999999"/>
    <n v="0.71719999999999995"/>
    <n v="0"/>
    <n v="0.54800000000000004"/>
    <n v="1.7361"/>
    <n v="5.3336000000000006"/>
  </r>
  <r>
    <x v="21"/>
    <d v="2023-04-28T00:00:00"/>
    <s v="22/23产季"/>
    <n v="10.694100000000001"/>
    <n v="3.0327999999999999"/>
    <n v="1.1659999999999999"/>
    <n v="2.4064999999999999"/>
    <n v="2.3576999999999999"/>
    <n v="1.4457"/>
    <n v="21.102800000000002"/>
    <n v="3.4740000000000002"/>
    <n v="1.3216000000000001"/>
    <n v="1.1659999999999999"/>
    <n v="0"/>
    <n v="0.31040000000000001"/>
    <n v="1.4457"/>
    <n v="7.7177000000000007"/>
  </r>
  <r>
    <x v="22"/>
    <d v="2023-05-05T00:00:00"/>
    <s v="22/23产季"/>
    <n v="8.7550999999999988"/>
    <n v="2.3496999999999999"/>
    <n v="1.3106"/>
    <n v="1.2195"/>
    <n v="2.1139999999999999"/>
    <n v="0.62829999999999997"/>
    <n v="16.377199999999998"/>
    <n v="4.2225000000000001"/>
    <n v="0.90390000000000004"/>
    <n v="1.3106"/>
    <n v="0"/>
    <n v="0.55810000000000004"/>
    <n v="0.62829999999999997"/>
    <n v="7.6234000000000011"/>
  </r>
  <r>
    <x v="23"/>
    <d v="2023-05-12T00:00:00"/>
    <s v="22/23产季"/>
    <n v="8.0960999999999999"/>
    <n v="3.1932999999999998"/>
    <n v="0.81210000000000004"/>
    <n v="2.3917999999999999"/>
    <n v="2.0394999999999999"/>
    <n v="1.2591000000000001"/>
    <n v="17.791900000000002"/>
    <n v="2.8725999999999998"/>
    <n v="1.9637"/>
    <n v="0.81210000000000004"/>
    <n v="0"/>
    <n v="1.3365"/>
    <n v="1.2591000000000001"/>
    <n v="8.2439999999999998"/>
  </r>
  <r>
    <x v="24"/>
    <d v="2023-05-19T00:00:00"/>
    <s v="22/23产季"/>
    <n v="9.1921999999999979"/>
    <n v="2.7682000000000002"/>
    <n v="0.90480000000000005"/>
    <n v="0.74050000000000005"/>
    <n v="1.6791"/>
    <n v="0.75870000000000004"/>
    <n v="16.043499999999998"/>
    <n v="4.0560999999999998"/>
    <n v="1.1153"/>
    <n v="0.90480000000000005"/>
    <n v="0"/>
    <n v="0.88680000000000003"/>
    <n v="0.75870000000000004"/>
    <n v="7.7217000000000002"/>
  </r>
  <r>
    <x v="25"/>
    <d v="2023-05-26T00:00:00"/>
    <s v="22/23产季"/>
    <n v="8.2965999999999998"/>
    <n v="6.0827"/>
    <n v="1.3292999999999999"/>
    <n v="1.2683"/>
    <n v="1.2684"/>
    <n v="1.5660000000000001"/>
    <n v="19.811299999999999"/>
    <n v="5.2496999999999998"/>
    <n v="2.8904999999999998"/>
    <n v="1.3292999999999999"/>
    <n v="0"/>
    <n v="0.31130000000000002"/>
    <n v="1.5660000000000001"/>
    <n v="11.3468"/>
  </r>
  <r>
    <x v="26"/>
    <d v="2023-06-02T00:00:00"/>
    <s v="22/23产季"/>
    <n v="6.6001000000000003"/>
    <n v="5.4115000000000002"/>
    <n v="1.2367999999999999"/>
    <n v="3.5343"/>
    <n v="2.2436000000000003"/>
    <n v="1.2847"/>
    <n v="20.311000000000003"/>
    <n v="4.9839000000000002"/>
    <n v="2.2728000000000002"/>
    <n v="1.2367999999999999"/>
    <n v="0"/>
    <n v="1.3580000000000001"/>
    <n v="1.2847"/>
    <n v="11.136200000000002"/>
  </r>
  <r>
    <x v="27"/>
    <d v="2023-06-09T00:00:00"/>
    <s v="22/23产季"/>
    <n v="2.4209999999999998"/>
    <n v="3.7019000000000002"/>
    <n v="0.84689999999999999"/>
    <n v="1.3210999999999999"/>
    <n v="1.8238999999999999"/>
    <n v="0.28139999999999998"/>
    <n v="10.396199999999999"/>
    <n v="1.6859"/>
    <n v="1.8936999999999999"/>
    <n v="0.84689999999999999"/>
    <n v="0"/>
    <n v="1.1581999999999999"/>
    <n v="0.28139999999999998"/>
    <n v="5.8660999999999994"/>
  </r>
  <r>
    <x v="28"/>
    <d v="2023-06-16T00:00:00"/>
    <s v="22/23产季"/>
    <n v="4.7475000000000005"/>
    <n v="4.1814"/>
    <n v="0.12089999999999999"/>
    <n v="0.59760000000000002"/>
    <n v="2.1287000000000003"/>
    <n v="1.5442"/>
    <n v="13.320300000000001"/>
    <n v="3.1553"/>
    <n v="2.3925999999999998"/>
    <n v="0.12089999999999999"/>
    <n v="0"/>
    <n v="1.2921"/>
    <n v="1.5442"/>
    <n v="8.5051000000000005"/>
  </r>
  <r>
    <x v="29"/>
    <d v="2023-06-25T00:00:00"/>
    <s v="22/23产季"/>
    <n v="5.4375"/>
    <n v="3.0428000000000002"/>
    <n v="0.499"/>
    <n v="0.67149999999999999"/>
    <n v="1.6604000000000001"/>
    <n v="2.0175000000000001"/>
    <n v="13.3287"/>
    <n v="2.6560000000000001"/>
    <n v="2.3041"/>
    <n v="0.499"/>
    <n v="0"/>
    <n v="1.0111000000000001"/>
    <n v="2.0175000000000001"/>
    <n v="8.4877000000000002"/>
  </r>
  <r>
    <x v="30"/>
    <d v="2023-06-30T00:00:00"/>
    <s v="22/23产季"/>
    <n v="3.0987"/>
    <n v="1.8141"/>
    <n v="0.75629999999999997"/>
    <n v="0.46589999999999998"/>
    <n v="1.3027"/>
    <n v="0.67120000000000002"/>
    <n v="8.1089000000000002"/>
    <n v="1.4013"/>
    <n v="1.6798999999999999"/>
    <n v="0.75629999999999997"/>
    <n v="0"/>
    <n v="0.59360000000000002"/>
    <n v="0.67120000000000002"/>
    <n v="5.1022999999999996"/>
  </r>
  <r>
    <x v="31"/>
    <d v="2023-07-07T00:00:00"/>
    <s v="22/23产季"/>
    <n v="3.7928000000000002"/>
    <n v="2.5133000000000001"/>
    <n v="0.93930000000000002"/>
    <n v="2.2755000000000001"/>
    <n v="1.5630999999999999"/>
    <n v="1.2726999999999999"/>
    <n v="12.356700000000002"/>
    <n v="1.3754"/>
    <n v="2.3107000000000002"/>
    <n v="0.93930000000000002"/>
    <n v="0"/>
    <n v="0.60929999999999995"/>
    <n v="1.2726999999999999"/>
    <n v="6.5074000000000005"/>
  </r>
  <r>
    <x v="32"/>
    <d v="2023-07-14T00:00:00"/>
    <s v="22/23产季"/>
    <n v="4.5769000000000002"/>
    <n v="3.9420000000000002"/>
    <n v="0.2591"/>
    <n v="1.8683999999999998"/>
    <n v="3.9823"/>
    <n v="0.96940000000000004"/>
    <n v="15.598100000000001"/>
    <n v="1.0699000000000001"/>
    <n v="3.7791000000000001"/>
    <n v="0.2591"/>
    <n v="0"/>
    <n v="0.8397"/>
    <n v="0.96940000000000004"/>
    <n v="6.9172000000000002"/>
  </r>
  <r>
    <x v="33"/>
    <d v="2023-07-21T00:00:00"/>
    <s v="22/23产季"/>
    <n v="6.4626000000000001"/>
    <n v="3.3184999999999998"/>
    <n v="4.5699999999999998E-2"/>
    <n v="0.92390000000000005"/>
    <n v="3.1059999999999999"/>
    <n v="0.73040000000000005"/>
    <n v="14.5871"/>
    <n v="1.4681"/>
    <n v="1.0406"/>
    <n v="4.5699999999999998E-2"/>
    <n v="0"/>
    <n v="0.55820000000000003"/>
    <n v="0.73040000000000005"/>
    <n v="3.8430000000000004"/>
  </r>
  <r>
    <x v="34"/>
    <d v="2023-07-28T00:00:00"/>
    <s v="22/23产季"/>
    <n v="5.9487000000000005"/>
    <n v="4.0898000000000003"/>
    <n v="0.44690000000000002"/>
    <n v="3.3056000000000001"/>
    <n v="1.8414000000000001"/>
    <n v="0.74539999999999995"/>
    <n v="16.377800000000001"/>
    <n v="0.85319999999999996"/>
    <n v="1.728"/>
    <n v="0.44690000000000002"/>
    <n v="0"/>
    <n v="0.37009999999999998"/>
    <n v="0.74539999999999995"/>
    <n v="4.1435999999999993"/>
  </r>
  <r>
    <x v="35"/>
    <d v="2023-08-04T00:00:00"/>
    <s v="22/23产季"/>
    <n v="8.3366000000000007"/>
    <n v="3.1943000000000001"/>
    <n v="0.27889999999999998"/>
    <n v="2.4981999999999998"/>
    <n v="2.3546999999999998"/>
    <n v="0.64539999999999997"/>
    <n v="17.3081"/>
    <n v="2.5649999999999999"/>
    <n v="0.97089999999999999"/>
    <n v="0.27889999999999998"/>
    <n v="0"/>
    <n v="0.61550000000000005"/>
    <n v="0.64539999999999997"/>
    <n v="5.0756999999999994"/>
  </r>
  <r>
    <x v="36"/>
    <d v="2023-08-11T00:00:00"/>
    <s v="22/23产季"/>
    <n v="8.4657999999999998"/>
    <n v="3.5256000000000003"/>
    <n v="0.63580000000000003"/>
    <n v="2.3464"/>
    <n v="2.8151000000000002"/>
    <n v="0.40739999999999998"/>
    <n v="18.196100000000001"/>
    <n v="2.6374"/>
    <n v="1.3635999999999999"/>
    <n v="0.63580000000000003"/>
    <n v="0"/>
    <n v="0.74660000000000004"/>
    <n v="0.40739999999999998"/>
    <n v="5.7907999999999991"/>
  </r>
  <r>
    <x v="37"/>
    <d v="2023-08-18T00:00:00"/>
    <s v="22/23产季"/>
    <n v="8.629900000000001"/>
    <n v="4.2599000000000009"/>
    <n v="0.99809999999999999"/>
    <n v="2.2326000000000001"/>
    <n v="2.2726999999999999"/>
    <n v="1.3207"/>
    <n v="19.713900000000002"/>
    <n v="3.3593999999999999"/>
    <n v="2.0344000000000002"/>
    <n v="0.99809999999999999"/>
    <n v="0"/>
    <n v="0.88580000000000003"/>
    <n v="1.1555"/>
    <n v="8.4331999999999994"/>
  </r>
  <r>
    <x v="38"/>
    <d v="2023-08-25T00:00:00"/>
    <s v="22/23产季"/>
    <n v="8.5566000000000013"/>
    <n v="4.1518999999999995"/>
    <n v="0.72829999999999995"/>
    <n v="2.0854000000000004"/>
    <n v="2.4434"/>
    <n v="2.0082999999999998"/>
    <n v="19.9739"/>
    <n v="2.4618000000000002"/>
    <n v="1.6278999999999999"/>
    <n v="0.72829999999999995"/>
    <n v="0"/>
    <n v="1.6459999999999999"/>
    <n v="1.9282999999999999"/>
    <n v="8.3923000000000005"/>
  </r>
  <r>
    <x v="39"/>
    <d v="2023-09-01T00:00:00"/>
    <s v="22/23产季"/>
    <n v="3.8202999999999996"/>
    <n v="2.7326000000000001"/>
    <n v="1.7376"/>
    <n v="1.6725999999999999"/>
    <n v="2.9622999999999999"/>
    <n v="0.80020000000000002"/>
    <n v="13.7256"/>
    <n v="1.6279999999999999"/>
    <n v="1.587"/>
    <n v="1.1447000000000001"/>
    <n v="0"/>
    <n v="2.2342"/>
    <n v="0.63590000000000002"/>
    <n v="7.2298"/>
  </r>
  <r>
    <x v="40"/>
    <d v="2023-09-08T00:00:00"/>
    <s v="22/23产季"/>
    <n v="3.8441000000000001"/>
    <n v="2.9128000000000003"/>
    <n v="1.7479"/>
    <n v="1.6613"/>
    <n v="1.9644000000000001"/>
    <n v="6.13E-2"/>
    <n v="12.191799999999999"/>
    <n v="1.6108"/>
    <n v="2.2404000000000002"/>
    <n v="1.2844"/>
    <n v="0"/>
    <n v="0.79169999999999996"/>
    <n v="6.13E-2"/>
    <n v="5.9885999999999999"/>
  </r>
  <r>
    <x v="41"/>
    <d v="2023-09-15T00:00:00"/>
    <s v="22/23产季"/>
    <n v="5.4340000000000002"/>
    <n v="2.7286999999999999"/>
    <n v="0.41139999999999999"/>
    <n v="1.2226999999999999"/>
    <n v="3.0964999999999998"/>
    <n v="1.0565"/>
    <n v="13.9498"/>
    <n v="1.2470000000000001"/>
    <n v="1.7361"/>
    <n v="0.40529999999999999"/>
    <n v="0"/>
    <n v="0.6512"/>
    <n v="0.98599999999999999"/>
    <n v="5.0255999999999998"/>
  </r>
  <r>
    <x v="42"/>
    <d v="2023-09-22T00:00:00"/>
    <s v="22/23产季"/>
    <n v="6.7987000000000002"/>
    <n v="2.3099000000000003"/>
    <n v="0.1389"/>
    <n v="1.0279"/>
    <n v="3.0587999999999997"/>
    <n v="1.4317"/>
    <n v="14.7659"/>
    <n v="1.9698"/>
    <n v="1.7201"/>
    <n v="0.1389"/>
    <n v="0"/>
    <n v="0.77810000000000001"/>
    <n v="1.4317"/>
    <n v="6.0385999999999997"/>
  </r>
  <r>
    <x v="43"/>
    <d v="2023-09-28T00:00:00"/>
    <s v="23/24产季"/>
    <n v="5.024"/>
    <n v="2.4417999999999997"/>
    <n v="0.57179999999999997"/>
    <n v="0.58079999999999998"/>
    <n v="2.2143999999999999"/>
    <n v="0.75529999999999997"/>
    <n v="11.588099999999999"/>
    <n v="1.1236999999999999"/>
    <n v="1.3616999999999999"/>
    <n v="0.57179999999999997"/>
    <n v="0"/>
    <n v="0.86950000000000005"/>
    <n v="0.75529999999999997"/>
    <n v="4.6819999999999995"/>
  </r>
  <r>
    <x v="44"/>
    <d v="2023-10-07T00:00:00"/>
    <s v="23/24产季"/>
    <n v="6.5117999999999991"/>
    <n v="2.3697999999999997"/>
    <n v="0.93030000000000002"/>
    <n v="0.50290000000000001"/>
    <n v="1.5724999999999998"/>
    <n v="1.3712"/>
    <n v="13.2585"/>
    <n v="0.4491"/>
    <n v="1.1379999999999999"/>
    <n v="0.93030000000000002"/>
    <n v="0"/>
    <n v="0.96619999999999995"/>
    <n v="1.3712"/>
    <n v="4.8548"/>
  </r>
  <r>
    <x v="45"/>
    <d v="2023-10-13T00:00:00"/>
    <s v="23/24产季"/>
    <n v="7.6662999999999997"/>
    <n v="2.4792000000000001"/>
    <n v="0.17949999999999999"/>
    <n v="0.51160000000000005"/>
    <n v="0.90429999999999999"/>
    <n v="0.66090000000000004"/>
    <n v="12.401799999999998"/>
    <n v="0.48520000000000002"/>
    <n v="0.9637"/>
    <n v="0.17949999999999999"/>
    <n v="0"/>
    <n v="0.68479999999999996"/>
    <n v="0.66090000000000004"/>
    <n v="2.9741"/>
  </r>
  <r>
    <x v="46"/>
    <d v="2023-10-20T00:00:00"/>
    <s v="23/24产季"/>
    <n v="11.357200000000001"/>
    <n v="1.7633000000000001"/>
    <n v="0.50800000000000001"/>
    <n v="0.58640000000000003"/>
    <n v="1.1615"/>
    <n v="0.6573"/>
    <n v="16.0337"/>
    <n v="0.2354"/>
    <n v="1.1226"/>
    <n v="0.50800000000000001"/>
    <n v="0"/>
    <n v="0.79869999999999997"/>
    <n v="0.6573"/>
    <n v="3.3220000000000001"/>
  </r>
  <r>
    <x v="47"/>
    <d v="2023-10-27T00:00:00"/>
    <s v="23/24产季"/>
    <n v="11.631300000000001"/>
    <n v="4.6421000000000001"/>
    <n v="0.91810000000000003"/>
    <n v="2.5448"/>
    <n v="4.2063000000000006"/>
    <n v="0.24990000000000001"/>
    <n v="24.192499999999999"/>
    <n v="1.6345000000000001"/>
    <n v="1.6178999999999999"/>
    <n v="0.91810000000000003"/>
    <n v="0"/>
    <n v="0.82589999999999997"/>
    <n v="0.24990000000000001"/>
    <n v="5.2462999999999997"/>
  </r>
  <r>
    <x v="48"/>
    <d v="2023-11-03T00:00:00"/>
    <s v="23/24产季"/>
    <n v="13.3347"/>
    <n v="4.3035999999999994"/>
    <n v="1.3338000000000001"/>
    <n v="2.6844999999999999"/>
    <n v="3.0114000000000001"/>
    <n v="0.93430000000000002"/>
    <n v="25.6023"/>
    <n v="0.46250000000000002"/>
    <n v="0.91400000000000003"/>
    <n v="0.55740000000000001"/>
    <n v="0"/>
    <n v="0.89429999999999998"/>
    <n v="0.93430000000000002"/>
    <n v="3.7624999999999997"/>
  </r>
  <r>
    <x v="49"/>
    <d v="2023-11-10T00:00:00"/>
    <s v="23/24产季"/>
    <n v="10.3956"/>
    <n v="5.4695"/>
    <n v="0.8963000000000001"/>
    <n v="4.8206999999999995"/>
    <n v="5.9108999999999998"/>
    <n v="1.1106"/>
    <n v="28.603600000000004"/>
    <n v="0.92290000000000005"/>
    <n v="1.4478"/>
    <n v="0.2"/>
    <n v="0"/>
    <n v="1.1618999999999999"/>
    <n v="1.1106"/>
    <n v="4.8432000000000004"/>
  </r>
  <r>
    <x v="50"/>
    <d v="2023-11-17T00:00:00"/>
    <s v="23/24产季"/>
    <n v="11.918900000000001"/>
    <n v="2.4432"/>
    <n v="0.40600000000000003"/>
    <n v="4.8904000000000005"/>
    <n v="4.4161000000000001"/>
    <n v="0.75900000000000001"/>
    <n v="24.833600000000004"/>
    <n v="2.1608000000000001"/>
    <n v="1.0524"/>
    <n v="5.5399999999999998E-2"/>
    <n v="0"/>
    <n v="0.85570000000000002"/>
    <n v="0.75900000000000001"/>
    <n v="4.8833000000000002"/>
  </r>
  <r>
    <x v="51"/>
    <d v="2023-11-24T00:00:00"/>
    <s v="23/24产季"/>
    <n v="10.570600000000001"/>
    <n v="4.2775999999999996"/>
    <n v="1.9695"/>
    <n v="3.2661000000000002"/>
    <n v="6.0389999999999997"/>
    <n v="1.0237000000000001"/>
    <n v="27.146500000000007"/>
    <n v="0.22040000000000001"/>
    <n v="2.5571999999999999"/>
    <n v="1.8182"/>
    <n v="0"/>
    <n v="0.54659999999999997"/>
    <n v="1.0237000000000001"/>
    <n v="6.1661000000000001"/>
  </r>
  <r>
    <x v="52"/>
    <d v="2023-12-01T00:00:00"/>
    <s v="23/24产季"/>
    <n v="14.4862"/>
    <n v="6.6730999999999998"/>
    <n v="1.0179"/>
    <n v="4.2130000000000001"/>
    <n v="3.3579999999999997"/>
    <n v="0.55620000000000003"/>
    <n v="30.304400000000005"/>
    <n v="3.3420000000000001"/>
    <n v="1.5817000000000001"/>
    <n v="0.76280000000000003"/>
    <n v="0"/>
    <n v="1.1196999999999999"/>
    <n v="0.55620000000000003"/>
    <n v="7.3624000000000009"/>
  </r>
  <r>
    <x v="53"/>
    <d v="2023-12-08T00:00:00"/>
    <s v="23/24产季"/>
    <n v="13.277200000000001"/>
    <n v="5.2838000000000003"/>
    <n v="1.4384999999999999"/>
    <n v="4.6489000000000003"/>
    <n v="3.8967999999999998"/>
    <n v="1.4585999999999999"/>
    <n v="30.003800000000002"/>
    <n v="2.0648"/>
    <n v="1.4427000000000001"/>
    <n v="1.4384999999999999"/>
    <n v="0"/>
    <n v="1.5002"/>
    <n v="1.4585999999999999"/>
    <n v="7.9047999999999989"/>
  </r>
  <r>
    <x v="54"/>
    <d v="2023-12-15T00:00:00"/>
    <s v="23/24产季"/>
    <n v="17.761599999999998"/>
    <n v="5.3681000000000001"/>
    <n v="0.89839999999999998"/>
    <n v="3.7823000000000002"/>
    <n v="5.0831999999999997"/>
    <n v="0.9748"/>
    <n v="33.868400000000001"/>
    <n v="2.9098000000000002"/>
    <n v="1.8396999999999999"/>
    <n v="0.89839999999999998"/>
    <n v="0"/>
    <n v="2.2153999999999998"/>
    <n v="0.9748"/>
    <n v="8.838099999999999"/>
  </r>
  <r>
    <x v="55"/>
    <d v="2023-12-22T00:00:00"/>
    <s v="23/24产季"/>
    <n v="23.422000000000001"/>
    <n v="6.1873000000000005"/>
    <n v="0.37240000000000001"/>
    <n v="4.4485000000000001"/>
    <n v="5.5805000000000007"/>
    <n v="0.87480000000000002"/>
    <n v="40.8855"/>
    <n v="1.9493"/>
    <n v="1.8606"/>
    <n v="0.37240000000000001"/>
    <n v="0"/>
    <n v="1.5683"/>
    <n v="0.87480000000000002"/>
    <n v="6.6253999999999991"/>
  </r>
  <r>
    <x v="56"/>
    <d v="2023-12-29T00:00:00"/>
    <s v="23/24产季"/>
    <n v="15.460500000000001"/>
    <n v="6.3631000000000002"/>
    <n v="0.85680000000000001"/>
    <n v="2.0796999999999999"/>
    <n v="4.5576999999999996"/>
    <n v="2.1442999999999999"/>
    <n v="31.462100000000003"/>
    <n v="1.8027"/>
    <n v="1.9548000000000001"/>
    <n v="0.85680000000000001"/>
    <n v="0"/>
    <n v="2.5409999999999999"/>
    <n v="2.1442999999999999"/>
    <n v="9.2995999999999999"/>
  </r>
  <r>
    <x v="57"/>
    <d v="2024-01-05T00:00:00"/>
    <s v="23/24产季"/>
    <n v="12.6374"/>
    <n v="3.6667999999999998"/>
    <n v="1.1089"/>
    <n v="1.8011000000000001"/>
    <n v="4.2128000000000005"/>
    <n v="1.3657999999999999"/>
    <n v="24.7928"/>
    <n v="2.4626999999999999"/>
    <n v="2.5105"/>
    <n v="1.1089"/>
    <n v="0"/>
    <n v="1.6491"/>
    <n v="1.3657999999999999"/>
    <n v="9.0969999999999995"/>
  </r>
  <r>
    <x v="58"/>
    <d v="2024-01-12T00:00:00"/>
    <s v="23/24产季"/>
    <n v="20.840100000000003"/>
    <n v="5.5644"/>
    <n v="0.747"/>
    <n v="3.5832000000000002"/>
    <n v="4.3411"/>
    <n v="0.97509999999999997"/>
    <n v="36.050899999999999"/>
    <n v="1.7708999999999999"/>
    <n v="4.1950000000000003"/>
    <n v="0.747"/>
    <n v="0"/>
    <n v="1.754"/>
    <n v="0.97509999999999997"/>
    <n v="9.4420000000000002"/>
  </r>
  <r>
    <x v="59"/>
    <d v="2024-01-19T00:00:00"/>
    <s v="23/24产季"/>
    <n v="18.201100000000004"/>
    <n v="3.7934999999999999"/>
    <n v="1.3885000000000001"/>
    <n v="2.9714"/>
    <n v="3.6546000000000003"/>
    <n v="1.2094"/>
    <n v="31.218500000000002"/>
    <n v="3.0941999999999998"/>
    <n v="2.2726999999999999"/>
    <n v="1.3885000000000001"/>
    <n v="0"/>
    <n v="1.4106000000000001"/>
    <n v="1.2094"/>
    <n v="9.3754000000000008"/>
  </r>
  <r>
    <x v="60"/>
    <d v="2024-01-26T00:00:00"/>
    <s v="23/24产季"/>
    <n v="16.2714"/>
    <n v="5.0677000000000003"/>
    <n v="0.3725"/>
    <n v="3.0179"/>
    <n v="3.8630999999999998"/>
    <n v="0.92889999999999995"/>
    <n v="29.5215"/>
    <n v="0.78659999999999997"/>
    <n v="2.6652"/>
    <n v="0.3725"/>
    <n v="0"/>
    <n v="1.0609"/>
    <n v="0.92889999999999995"/>
    <n v="5.8140999999999998"/>
  </r>
  <r>
    <x v="61"/>
    <d v="2024-02-02T00:00:00"/>
    <s v="23/24产季"/>
    <n v="17.907400000000003"/>
    <n v="3.9260000000000002"/>
    <n v="0.1255"/>
    <n v="3.5042999999999997"/>
    <n v="3.2473999999999998"/>
    <n v="1.0407"/>
    <n v="29.751300000000004"/>
    <n v="3.4323999999999999"/>
    <n v="2.4300999999999999"/>
    <n v="0.1255"/>
    <n v="0"/>
    <n v="1.5047999999999999"/>
    <n v="1.0407"/>
    <n v="8.5334999999999983"/>
  </r>
  <r>
    <x v="62"/>
    <d v="2024-02-08T00:00:00"/>
    <s v="23/24产季"/>
    <n v="9.1425000000000001"/>
    <n v="3.2074000000000003"/>
    <n v="1.8327"/>
    <n v="3.863"/>
    <n v="2.6859999999999999"/>
    <n v="1.4607000000000001"/>
    <n v="22.192299999999999"/>
    <n v="2.3388"/>
    <n v="0.57730000000000004"/>
    <n v="1.8327"/>
    <n v="0"/>
    <n v="1.5966"/>
    <n v="1.4607000000000001"/>
    <n v="7.8060999999999998"/>
  </r>
  <r>
    <x v="63"/>
    <d v="2024-02-18T00:00:00"/>
    <s v="23/24产季"/>
    <n v="2.9849999999999999"/>
    <n v="1.5913999999999999"/>
    <n v="0.64090000000000003"/>
    <n v="1.0898999999999999"/>
    <n v="0.92110000000000003"/>
    <n v="0.66200000000000003"/>
    <n v="7.8902999999999999"/>
    <n v="0.79559999999999997"/>
    <n v="0.95020000000000004"/>
    <n v="0.64090000000000003"/>
    <n v="0"/>
    <n v="0.63139999999999996"/>
    <n v="0.66200000000000003"/>
    <n v="3.6801000000000004"/>
  </r>
  <r>
    <x v="64"/>
    <d v="2024-02-23T00:00:00"/>
    <s v="23/24产季"/>
    <n v="8.4343000000000004"/>
    <n v="2.3792999999999997"/>
    <n v="0.4677"/>
    <n v="2.6559999999999997"/>
    <n v="1.7000999999999999"/>
    <n v="1.1654"/>
    <n v="16.802799999999998"/>
    <n v="0.79190000000000005"/>
    <n v="0.82489999999999997"/>
    <n v="0.4677"/>
    <n v="0"/>
    <n v="1.3544"/>
    <n v="1.1654"/>
    <n v="4.6043000000000003"/>
  </r>
  <r>
    <x v="65"/>
    <d v="2024-03-01T00:00:00"/>
    <s v="23/24产季"/>
    <n v="14.226000000000001"/>
    <n v="3.6420000000000003"/>
    <n v="0.52259999999999995"/>
    <n v="2.8238000000000003"/>
    <n v="2.0005999999999999"/>
    <n v="0.60040000000000004"/>
    <n v="23.815400000000004"/>
    <n v="2.7233000000000001"/>
    <n v="2.0175000000000001"/>
    <n v="0.52259999999999995"/>
    <n v="0"/>
    <n v="1.0871"/>
    <n v="0.60040000000000004"/>
    <n v="6.9509000000000007"/>
  </r>
  <r>
    <x v="66"/>
    <d v="2024-03-08T00:00:00"/>
    <s v="23/24产季"/>
    <n v="9.8881000000000014"/>
    <n v="4.2967999999999993"/>
    <n v="0.73939999999999995"/>
    <n v="1.6032"/>
    <n v="2.0009999999999999"/>
    <n v="0.82809999999999995"/>
    <n v="19.3566"/>
    <n v="3.544"/>
    <n v="2.8458999999999999"/>
    <n v="0.73939999999999995"/>
    <n v="0"/>
    <n v="1.1406000000000001"/>
    <n v="0.82809999999999995"/>
    <n v="9.097999999999999"/>
  </r>
  <r>
    <x v="67"/>
    <d v="2024-03-15T00:00:00"/>
    <s v="23/24产季"/>
    <n v="9.1550000000000011"/>
    <n v="3.3026"/>
    <n v="0.35580000000000001"/>
    <n v="0.64670000000000005"/>
    <n v="3.5383999999999998"/>
    <n v="1.0412999999999999"/>
    <n v="18.0398"/>
    <n v="2.3637000000000001"/>
    <n v="1.5673999999999999"/>
    <n v="0.35580000000000001"/>
    <n v="0"/>
    <n v="0.79369999999999996"/>
    <n v="1.0412999999999999"/>
    <n v="6.1219000000000001"/>
  </r>
  <r>
    <x v="68"/>
    <d v="2024-03-22T00:00:00"/>
    <s v="23/24产季"/>
    <n v="6.7308000000000003"/>
    <n v="3.4949000000000003"/>
    <n v="0.38369999999999999"/>
    <n v="3.8075000000000001"/>
    <n v="2.1753"/>
    <n v="0.85129999999999995"/>
    <n v="17.443499999999997"/>
    <n v="2.8759000000000001"/>
    <n v="1.7887999999999999"/>
    <n v="0.38369999999999999"/>
    <n v="0"/>
    <n v="0.86670000000000003"/>
    <n v="0.85129999999999995"/>
    <n v="6.7664"/>
  </r>
  <r>
    <x v="69"/>
    <d v="2024-03-29T00:00:00"/>
    <s v="23/24产季"/>
    <n v="9.4025999999999996"/>
    <n v="3.6717"/>
    <n v="2.4453999999999998"/>
    <n v="3.7231000000000001"/>
    <n v="4.5115999999999996"/>
    <n v="2.4140999999999999"/>
    <n v="26.168499999999998"/>
    <n v="6.1052999999999997"/>
    <n v="3.0377000000000001"/>
    <n v="2.4453999999999998"/>
    <n v="0"/>
    <n v="0.39279999999999998"/>
    <n v="2.4140999999999999"/>
    <n v="14.395299999999999"/>
  </r>
  <r>
    <x v="70"/>
    <d v="2024-04-05T00:00:00"/>
    <s v="23/24产季"/>
    <n v="5.181"/>
    <n v="2.4758999999999998"/>
    <n v="0.31559999999999999"/>
    <n v="2.8395999999999999"/>
    <n v="1.4858"/>
    <n v="0.84689999999999999"/>
    <n v="13.1448"/>
    <n v="1.8069999999999999"/>
    <n v="1.4278999999999999"/>
    <n v="0.31559999999999999"/>
    <n v="0"/>
    <n v="0.5222"/>
    <n v="0.84689999999999999"/>
    <n v="4.9195999999999991"/>
  </r>
  <r>
    <x v="71"/>
    <d v="2024-04-12T00:00:00"/>
    <s v="23/24产季"/>
    <n v="4.4843000000000002"/>
    <n v="2.7071000000000001"/>
    <n v="0.6038"/>
    <n v="1.1011"/>
    <n v="0.67759999999999998"/>
    <n v="0.87549999999999994"/>
    <n v="10.449400000000001"/>
    <n v="3.1850000000000001"/>
    <n v="1.3452999999999999"/>
    <n v="0.6038"/>
    <n v="0"/>
    <n v="0.2671"/>
    <n v="0.87549999999999994"/>
    <n v="6.2766999999999999"/>
  </r>
  <r>
    <x v="72"/>
    <d v="2024-04-19T00:00:00"/>
    <s v="23/24产季"/>
    <n v="3.6252"/>
    <n v="2.5966"/>
    <n v="0.71760000000000002"/>
    <n v="2.7029000000000001"/>
    <n v="0.75579999999999992"/>
    <n v="0.88329999999999997"/>
    <n v="11.281400000000001"/>
    <n v="2.1926999999999999"/>
    <n v="1.6039000000000001"/>
    <n v="0.71760000000000002"/>
    <n v="0"/>
    <n v="0.4047"/>
    <n v="0.88329999999999997"/>
    <n v="5.8022"/>
  </r>
  <r>
    <x v="73"/>
    <d v="2024-04-25T00:00:00"/>
    <s v="23/24产季"/>
    <n v="1.21"/>
    <n v="2.6953999999999998"/>
    <n v="0.44400000000000001"/>
    <n v="3.4156"/>
    <n v="1.2138"/>
    <n v="0.92710000000000004"/>
    <n v="9.905899999999999"/>
    <n v="0.96389999999999998"/>
    <n v="1.8918999999999999"/>
    <n v="0.44400000000000001"/>
    <n v="0"/>
    <n v="0.65129999999999999"/>
    <n v="0.92710000000000004"/>
    <n v="4.8781999999999996"/>
  </r>
  <r>
    <x v="74"/>
    <d v="2024-04-30T00:00:00"/>
    <s v="23/24产季"/>
    <n v="0.97750000000000004"/>
    <n v="1.3992"/>
    <n v="0.56210000000000004"/>
    <n v="0"/>
    <n v="0.59419999999999995"/>
    <n v="0.90469999999999995"/>
    <n v="4.4376999999999995"/>
    <n v="0.97650000000000003"/>
    <n v="1.3992"/>
    <n v="0.56210000000000004"/>
    <n v="0"/>
    <n v="0.59419999999999995"/>
    <n v="0.90469999999999995"/>
    <n v="4.4367000000000001"/>
  </r>
  <r>
    <x v="75"/>
    <d v="2024-05-09T00:00:00"/>
    <s v="23/24产季"/>
    <n v="4.4813000000000001"/>
    <n v="2.9752000000000001"/>
    <n v="0.95250000000000001"/>
    <n v="0.93179999999999996"/>
    <n v="2.3308"/>
    <n v="0.72929999999999995"/>
    <n v="12.400900000000002"/>
    <n v="3.5886"/>
    <n v="1.9523999999999999"/>
    <n v="0.95250000000000001"/>
    <n v="0"/>
    <n v="0.8609"/>
    <n v="0.72929999999999995"/>
    <n v="8.0837000000000003"/>
  </r>
  <r>
    <x v="76"/>
    <d v="2024-05-16T00:00:00"/>
    <s v="23/24产季"/>
    <n v="3.6550139000000001"/>
    <n v="1.5759099999999999"/>
    <n v="0.43559999999999999"/>
    <n v="0.75042500000000001"/>
    <n v="1.052516"/>
    <n v="0"/>
    <n v="7.4694649000000002"/>
    <n v="1.7807199"/>
    <n v="1.3044639999999998"/>
    <n v="0.31559999999999999"/>
    <n v="0"/>
    <n v="0.503054"/>
    <n v="0"/>
    <n v="3.9038378999999996"/>
  </r>
  <r>
    <x v="77"/>
    <d v="2024-05-23T00:00:00"/>
    <s v="23/24产季"/>
    <n v="3.4079598999999998"/>
    <n v="2.3158192"/>
    <n v="0.33"/>
    <n v="0.24010000000000001"/>
    <n v="1.250788"/>
    <n v="1.0901000000000001"/>
    <n v="8.6347670999999995"/>
    <n v="1.4675578"/>
    <n v="1.9439812000000001"/>
    <n v="0.33"/>
    <n v="0"/>
    <n v="0.566164"/>
    <n v="1.0901000000000001"/>
    <n v="5.3978029999999997"/>
  </r>
  <r>
    <x v="78"/>
    <d v="2024-05-30T00:00:00"/>
    <s v="23/24产季"/>
    <n v="7.6761102000000001"/>
    <n v="2.8362539999999998"/>
    <n v="0.57850000000000001"/>
    <n v="2.0167000000000002"/>
    <n v="1.9771609999999997"/>
    <n v="1.1607000000000001"/>
    <n v="16.2454252"/>
    <n v="2.8073558000000003"/>
    <n v="2.4545509999999999"/>
    <n v="0.57850000000000001"/>
    <n v="0"/>
    <n v="0.67351099999999997"/>
    <n v="1.1607000000000001"/>
    <n v="7.6746178"/>
  </r>
  <r>
    <x v="79"/>
    <d v="2024-06-06T00:00:00"/>
    <s v="23/24产季"/>
    <n v="6.9994000000000005"/>
    <n v="2.5561999999999996"/>
    <n v="0.55789999999999995"/>
    <n v="9.8799999999999999E-2"/>
    <n v="2.1473374999999999"/>
    <n v="0.6905"/>
    <n v="13.050137500000002"/>
    <n v="2.2381000000000002"/>
    <n v="1.4135"/>
    <n v="0.55789999999999995"/>
    <n v="0"/>
    <n v="0.92013750000000005"/>
    <n v="0.6905"/>
    <n v="5.8201375000000004"/>
  </r>
  <r>
    <x v="80"/>
    <d v="2024-06-13T00:00:00"/>
    <s v="23/24产季"/>
    <n v="7.2902000000000005"/>
    <n v="2.8266"/>
    <n v="0.50849999999999995"/>
    <n v="3.6999999999999998E-2"/>
    <n v="1.9593999999999998"/>
    <n v="1.2312000000000001"/>
    <n v="13.852900000000002"/>
    <n v="3.6949000000000001"/>
    <n v="1.4608000000000001"/>
    <n v="0.50849999999999995"/>
    <n v="0"/>
    <n v="1.1016999999999999"/>
    <n v="1.2312000000000001"/>
    <n v="7.9971000000000005"/>
  </r>
  <r>
    <x v="81"/>
    <d v="2024-06-20T00:00:00"/>
    <s v="23/24产季"/>
    <n v="6.1162999999999998"/>
    <n v="3.9352999999999998"/>
    <n v="0.30819999999999997"/>
    <n v="0.17369999999999999"/>
    <n v="1.9890000000000001"/>
    <n v="0.8619"/>
    <n v="13.384400000000001"/>
    <n v="2.3481000000000001"/>
    <n v="2.1143000000000001"/>
    <n v="0.30819999999999997"/>
    <n v="0"/>
    <n v="1.0475000000000001"/>
    <n v="0.8619"/>
    <n v="6.6800000000000015"/>
  </r>
  <r>
    <x v="82"/>
    <d v="2024-06-27T00:00:00"/>
    <s v="23/24产季"/>
    <n v="6.4767999999999999"/>
    <n v="3.5357000000000003"/>
    <n v="0.14549999999999999"/>
    <n v="0.2732"/>
    <n v="2.0980999999999996"/>
    <n v="0.49509999999999998"/>
    <n v="13.0244"/>
    <n v="3.0602999999999998"/>
    <n v="2.8557000000000001"/>
    <n v="0.14549999999999999"/>
    <n v="0"/>
    <n v="0.63919999999999999"/>
    <n v="0.49509999999999998"/>
    <n v="7.1958000000000002"/>
  </r>
  <r>
    <x v="83"/>
    <d v="2024-07-04T00:00:00"/>
    <s v="23/24产季"/>
    <n v="2.6655000000000002"/>
    <n v="3.5951999999999997"/>
    <n v="0.4078"/>
    <n v="1.0785999999999998"/>
    <n v="1.8381000000000001"/>
    <n v="1.4335"/>
    <n v="11.018700000000001"/>
    <n v="1.8539000000000001"/>
    <n v="2.8795000000000002"/>
    <n v="0.4078"/>
    <n v="0"/>
    <n v="0.58550000000000002"/>
    <n v="1.4335"/>
    <n v="7.1601999999999997"/>
  </r>
  <r>
    <x v="84"/>
    <d v="2024-07-11T00:00:00"/>
    <s v="23/24产季"/>
    <n v="6.1238999999999999"/>
    <n v="2.4436"/>
    <n v="0.34760000000000002"/>
    <n v="0.89169999999999994"/>
    <n v="2.3184999999999998"/>
    <n v="0.91349999999999998"/>
    <n v="13.038799999999998"/>
    <n v="3.6313"/>
    <n v="1.3692"/>
    <n v="0.34760000000000002"/>
    <n v="0"/>
    <n v="0.66710000000000003"/>
    <n v="0.91349999999999998"/>
    <n v="6.9287000000000001"/>
  </r>
  <r>
    <x v="85"/>
    <d v="2024-07-18T00:00:00"/>
    <s v="23/24产季"/>
    <n v="9.8689"/>
    <n v="3.1351"/>
    <n v="1.097"/>
    <n v="0.95239999999999991"/>
    <n v="1.726"/>
    <n v="1.1066"/>
    <n v="17.885999999999999"/>
    <n v="2.6758000000000002"/>
    <n v="2.1652"/>
    <n v="1.0868"/>
    <n v="0"/>
    <n v="0.45069999999999999"/>
    <n v="1.1066"/>
    <n v="7.485100000000001"/>
  </r>
  <r>
    <x v="86"/>
    <d v="2024-07-25T00:00:00"/>
    <s v="23/24产季"/>
    <n v="6.8635999999999999"/>
    <n v="2.0644"/>
    <n v="0.83460000000000001"/>
    <n v="2.63E-2"/>
    <n v="1.7463000000000002"/>
    <n v="1.2321"/>
    <n v="12.767300000000002"/>
    <n v="2.1880999999999999"/>
    <n v="0.95009999999999994"/>
    <n v="0.83460000000000001"/>
    <n v="0"/>
    <n v="0.55359999999999998"/>
    <n v="1.2321"/>
    <n v="5.7584999999999997"/>
  </r>
  <r>
    <x v="87"/>
    <d v="2024-08-01T00:00:00"/>
    <s v="23/24产季"/>
    <n v="6.4411000000000005"/>
    <n v="1.3210999999999999"/>
    <n v="0.91479999999999995"/>
    <n v="7.4099999999999999E-2"/>
    <n v="1.3167"/>
    <n v="0.64380000000000004"/>
    <n v="10.711599999999999"/>
    <n v="2.9281000000000001"/>
    <n v="0.83379999999999999"/>
    <n v="0.60119999999999996"/>
    <n v="0"/>
    <n v="0.54990000000000006"/>
    <n v="0.64380000000000004"/>
    <n v="5.5568"/>
  </r>
  <r>
    <x v="88"/>
    <d v="2024-08-08T00:00:00"/>
    <s v="23/24产季"/>
    <n v="10.0153"/>
    <n v="2.2408999999999999"/>
    <n v="2.6663000000000001"/>
    <n v="1.3281000000000001"/>
    <n v="1.8139999999999998"/>
    <n v="0.51970000000000005"/>
    <n v="18.584299999999999"/>
    <n v="4.1544999999999996"/>
    <n v="1.2604"/>
    <n v="0.60850000000000004"/>
    <n v="0"/>
    <n v="1.2013"/>
    <n v="0.51970000000000005"/>
    <n v="7.7443999999999997"/>
  </r>
  <r>
    <x v="89"/>
    <d v="2024-08-15T00:00:00"/>
    <s v="23/24产季"/>
    <n v="9.6435999999999993"/>
    <n v="4.0299000000000005"/>
    <n v="1.9405999999999999"/>
    <n v="1.4951000000000001"/>
    <n v="1.1464000000000001"/>
    <n v="1.3672"/>
    <n v="19.622800000000002"/>
    <n v="4.2870999999999997"/>
    <n v="2.1507999999999998"/>
    <n v="0.35630000000000001"/>
    <n v="0"/>
    <n v="0.67449999999999999"/>
    <n v="0.29570000000000002"/>
    <n v="7.7643999999999993"/>
  </r>
  <r>
    <x v="90"/>
    <d v="2024-08-22T00:00:00"/>
    <s v="23/24产季"/>
    <n v="9.4786999999999999"/>
    <n v="4.3402000000000003"/>
    <n v="0.50019999999999998"/>
    <n v="1.0511999999999999"/>
    <n v="1.5859000000000001"/>
    <n v="0.48070000000000002"/>
    <n v="17.436899999999998"/>
    <n v="4.4692999999999996"/>
    <n v="2.0983999999999998"/>
    <n v="0.2321"/>
    <n v="0"/>
    <n v="0.48099999999999998"/>
    <n v="0.20580000000000001"/>
    <n v="7.4865999999999993"/>
  </r>
  <r>
    <x v="91"/>
    <d v="2024-08-28T00:00:00"/>
    <s v="23/24产季"/>
    <n v="12.891000000000002"/>
    <n v="3.5300000000000002"/>
    <n v="1.1651999999999998"/>
    <n v="0.51749999999999996"/>
    <n v="1.0790999999999999"/>
    <n v="1.5198"/>
    <n v="20.7026"/>
    <n v="6.6106999999999996"/>
    <n v="1.7921"/>
    <n v="1.1395999999999999"/>
    <n v="0"/>
    <n v="0.41189999999999999"/>
    <n v="0.4824"/>
    <n v="10.436699999999998"/>
  </r>
  <r>
    <x v="92"/>
    <d v="2024-09-04T00:00:00"/>
    <s v="23/24产季"/>
    <n v="8.6187000000000005"/>
    <n v="3.0514999999999999"/>
    <n v="1.6235999999999999"/>
    <n v="0.26889999999999997"/>
    <n v="1.3545"/>
    <n v="0.69969999999999999"/>
    <n v="15.616900000000001"/>
    <n v="4.7168999999999999"/>
    <n v="1.6735"/>
    <n v="1.5307999999999999"/>
    <n v="0"/>
    <n v="0.61680000000000001"/>
    <n v="0.48230000000000001"/>
    <n v="9.0203000000000007"/>
  </r>
  <r>
    <x v="93"/>
    <d v="2024-09-11T00:00:00"/>
    <s v="23/24产季"/>
    <n v="4.6335000000000006"/>
    <n v="3.2742"/>
    <n v="1.4823000000000002"/>
    <n v="9.8599999999999993E-2"/>
    <n v="2.3796999999999997"/>
    <n v="0.21210000000000001"/>
    <n v="12.080399999999999"/>
    <n v="2.3006000000000002"/>
    <n v="2.8079999999999998"/>
    <n v="0.51829999999999998"/>
    <n v="0"/>
    <n v="1.665"/>
    <n v="0.1138"/>
    <n v="7.4057000000000004"/>
  </r>
  <r>
    <x v="94"/>
    <d v="2024-09-18T00:00:00"/>
    <s v="23/24产季"/>
    <n v="3.8653"/>
    <n v="4.3998999999999997"/>
    <n v="0.58599999999999997"/>
    <n v="0.38279999999999997"/>
    <n v="1.4995999999999998"/>
    <n v="9.0300000000000005E-2"/>
    <n v="10.823899999999998"/>
    <n v="1.9013"/>
    <n v="3.6692999999999998"/>
    <n v="9.0200000000000002E-2"/>
    <n v="0"/>
    <n v="0.32690000000000002"/>
    <n v="9.0300000000000005E-2"/>
    <n v="6.0780000000000003"/>
  </r>
  <r>
    <x v="95"/>
    <d v="2024-09-25T00:00:00"/>
    <s v="23/24产季"/>
    <n v="1.8236999999999997"/>
    <n v="1.6620999999999999"/>
    <n v="1.5298"/>
    <n v="0.12429999999999999"/>
    <n v="2.8996"/>
    <n v="0.51649999999999996"/>
    <n v="8.5559999999999992"/>
    <n v="0.97729999999999995"/>
    <n v="0.74970000000000003"/>
    <n v="0.97419999999999995"/>
    <n v="0"/>
    <n v="1.7150000000000001"/>
    <n v="6.4199999999999993E-2"/>
    <n v="4.4803999999999995"/>
  </r>
  <r>
    <x v="96"/>
    <d v="2024-10-09T00:00:00"/>
    <s v="24/25产季"/>
    <n v="6.1888999999999994"/>
    <n v="3.8709000000000002"/>
    <n v="0.89860000000000007"/>
    <n v="0.55130000000000001"/>
    <n v="6.1825000000000001"/>
    <n v="1.7784"/>
    <n v="19.470600000000001"/>
    <n v="4.3174999999999999"/>
    <n v="3.1724999999999999"/>
    <n v="0.83260000000000001"/>
    <n v="0"/>
    <n v="2.9209000000000001"/>
    <n v="0.4254"/>
    <n v="11.668899999999999"/>
  </r>
  <r>
    <x v="97"/>
    <d v="2024-10-16T00:00:00"/>
    <s v="24/25产季"/>
    <n v="2.7450000000000001"/>
    <n v="2.3864000000000001"/>
    <n v="0.2863"/>
    <n v="1.4319999999999999"/>
    <n v="0.72109999999999996"/>
    <n v="1.5485"/>
    <n v="9.1193000000000008"/>
    <n v="1.3647"/>
    <n v="1.9017999999999999"/>
    <n v="0.27900000000000003"/>
    <n v="0"/>
    <n v="0.29609999999999997"/>
    <n v="0.64900000000000002"/>
    <n v="4.4905999999999997"/>
  </r>
  <r>
    <x v="98"/>
    <d v="2024-10-23T00:00:00"/>
    <s v="24/25产季"/>
    <n v="6.0854999999999997"/>
    <n v="0.93659999999999999"/>
    <n v="1.3868"/>
    <n v="0.32669999999999999"/>
    <n v="0.55530000000000002"/>
    <n v="0.90690000000000004"/>
    <n v="10.197800000000001"/>
    <n v="2.9594"/>
    <n v="0.6381"/>
    <n v="1.3868"/>
    <n v="0"/>
    <n v="0.30070000000000002"/>
    <n v="0.26790000000000003"/>
    <n v="5.5529000000000002"/>
  </r>
  <r>
    <x v="99"/>
    <d v="2024-10-30T00:00:00"/>
    <s v="24/25产季"/>
    <n v="3.5941000000000001"/>
    <n v="1.5043"/>
    <n v="1.5065999999999999"/>
    <n v="0.23519999999999999"/>
    <n v="1.4702"/>
    <n v="0.65569999999999995"/>
    <n v="8.9660999999999991"/>
    <n v="1.4357"/>
    <n v="1.3008999999999999"/>
    <n v="1.5065999999999999"/>
    <n v="0"/>
    <n v="1.3748"/>
    <n v="0.36370000000000002"/>
    <n v="5.9817"/>
  </r>
  <r>
    <x v="100"/>
    <d v="2024-11-06T00:00:00"/>
    <s v="24/25产季"/>
    <n v="7.3456000000000001"/>
    <n v="4.5892999999999997"/>
    <n v="0.23200000000000001"/>
    <n v="0.81379999999999997"/>
    <n v="2.0760000000000001"/>
    <n v="0.16110000000000002"/>
    <n v="15.217799999999999"/>
    <n v="5.4916999999999998"/>
    <n v="4.5038"/>
    <n v="0.23200000000000001"/>
    <n v="0"/>
    <n v="1.9882"/>
    <n v="2.46E-2"/>
    <n v="12.240299999999998"/>
  </r>
  <r>
    <x v="101"/>
    <d v="2024-11-13T00:00:00"/>
    <s v="24/25产季"/>
    <n v="4.3442999999999996"/>
    <n v="3.4146000000000001"/>
    <n v="1.1207"/>
    <n v="0.51859999999999995"/>
    <n v="2.0345999999999997"/>
    <n v="1.6494"/>
    <n v="13.082199999999998"/>
    <n v="2.5493999999999999"/>
    <n v="3.4146000000000001"/>
    <n v="1.1207"/>
    <n v="0"/>
    <n v="1.9180999999999999"/>
    <n v="1.637"/>
    <n v="10.639800000000001"/>
  </r>
  <r>
    <x v="102"/>
    <d v="2024-11-20T00:00:00"/>
    <s v="24/25产季"/>
    <n v="4.181"/>
    <n v="2.2136999999999998"/>
    <n v="2.1640999999999999"/>
    <n v="0.2127"/>
    <n v="1.5505"/>
    <n v="1.3773"/>
    <n v="11.699299999999999"/>
    <n v="3.7707999999999999"/>
    <n v="2.2136999999999998"/>
    <n v="2.1640999999999999"/>
    <n v="0"/>
    <n v="1.1518999999999999"/>
    <n v="1.3773"/>
    <n v="10.6778"/>
  </r>
  <r>
    <x v="103"/>
    <d v="2024-11-27T00:00:00"/>
    <s v="24/25产季"/>
    <n v="5.1645000000000003"/>
    <n v="1.6484000000000001"/>
    <n v="2.0341999999999998"/>
    <n v="0.3034"/>
    <n v="3.4477000000000002"/>
    <n v="2.3119999999999998"/>
    <n v="14.910200000000001"/>
    <n v="3.9359999999999999"/>
    <n v="1.2132000000000001"/>
    <n v="2.0341999999999998"/>
    <n v="0"/>
    <n v="2.9363000000000001"/>
    <n v="2.3119999999999998"/>
    <n v="12.431700000000001"/>
  </r>
  <r>
    <x v="104"/>
    <d v="2024-12-04T00:00:00"/>
    <s v="24/25产季"/>
    <n v="8.8048999999999999"/>
    <n v="4.1636999999999995"/>
    <n v="1.6718999999999999"/>
    <n v="4.1300000000000003E-2"/>
    <n v="3.1754999999999995"/>
    <n v="1.1056999999999999"/>
    <n v="18.962999999999997"/>
    <n v="4.4707999999999997"/>
    <n v="2.3927999999999998"/>
    <n v="1.6718999999999999"/>
    <n v="0"/>
    <n v="2.1627999999999998"/>
    <n v="1.1056999999999999"/>
    <n v="11.804"/>
  </r>
  <r>
    <x v="105"/>
    <d v="2024-12-11T00:00:00"/>
    <s v="24/25产季"/>
    <n v="10.7301"/>
    <n v="4.6257000000000001"/>
    <n v="0.75749999999999995"/>
    <n v="4.1599999999999998E-2"/>
    <n v="2.5270000000000001"/>
    <n v="1.244"/>
    <n v="19.925899999999999"/>
    <n v="3.4710000000000001"/>
    <n v="3.4634"/>
    <n v="0.75749999999999995"/>
    <n v="0"/>
    <n v="1.7719"/>
    <n v="1.244"/>
    <n v="10.707800000000001"/>
  </r>
  <r>
    <x v="106"/>
    <d v="2024-12-18T00:00:00"/>
    <s v="24/25产季"/>
    <n v="9.6782000000000004"/>
    <n v="3.5228999999999999"/>
    <n v="2.0127000000000002"/>
    <n v="0"/>
    <n v="2.9417999999999997"/>
    <n v="1.5319"/>
    <n v="19.6875"/>
    <n v="4.7039"/>
    <n v="2.4708999999999999"/>
    <n v="2.0127000000000002"/>
    <n v="0"/>
    <n v="2.8504999999999998"/>
    <n v="1.5319"/>
    <n v="13.569900000000001"/>
  </r>
  <r>
    <x v="107"/>
    <d v="2024-12-25T00:00:00"/>
    <s v="24/25产季"/>
    <n v="7.0228000000000002"/>
    <n v="4.0069999999999997"/>
    <n v="1.5945"/>
    <n v="5.04E-2"/>
    <n v="2.8353000000000002"/>
    <n v="1.8306"/>
    <n v="17.340599999999998"/>
    <n v="3.5283000000000002"/>
    <n v="3.4824000000000002"/>
    <n v="1.5945"/>
    <n v="0"/>
    <n v="2.7351999999999999"/>
    <n v="1.8306"/>
    <n v="13.170999999999999"/>
  </r>
  <r>
    <x v="108"/>
    <d v="2024-12-31T00:00:00"/>
    <s v="24/25产季"/>
    <n v="5.5423999999999998"/>
    <n v="3.3106"/>
    <n v="1.9684999999999999"/>
    <n v="1.47E-2"/>
    <n v="2.3214999999999999"/>
    <n v="1.5512999999999999"/>
    <n v="14.709"/>
    <n v="2.7393000000000001"/>
    <n v="3.0064000000000002"/>
    <n v="1.9684999999999999"/>
    <n v="0"/>
    <n v="2.3182999999999998"/>
    <n v="1.5512999999999999"/>
    <n v="11.583799999999998"/>
  </r>
  <r>
    <x v="109"/>
    <d v="2025-01-08T00:00:00"/>
    <s v="24/25产季"/>
    <n v="6.2356999999999996"/>
    <n v="3.6052"/>
    <n v="1.2813000000000001"/>
    <n v="0"/>
    <n v="2.5446"/>
    <n v="1.4985999999999999"/>
    <n v="15.165399999999998"/>
    <n v="3.0988000000000002"/>
    <n v="3.1406000000000001"/>
    <n v="1.2813000000000001"/>
    <n v="0"/>
    <n v="2.5446"/>
    <n v="1.4985999999999999"/>
    <n v="11.5639"/>
  </r>
  <r>
    <x v="110"/>
    <d v="2025-01-15T00:00:00"/>
    <s v="24/25产季"/>
    <n v="5.3920000000000003"/>
    <n v="2.9173"/>
    <n v="0.95989999999999998"/>
    <n v="0"/>
    <n v="2.2751000000000001"/>
    <n v="1.2927"/>
    <n v="12.837"/>
    <n v="2.5068999999999999"/>
    <n v="2.5769000000000002"/>
    <n v="0.95989999999999998"/>
    <n v="0"/>
    <n v="2.2749000000000001"/>
    <n v="1.2927"/>
    <n v="9.6113"/>
  </r>
  <r>
    <x v="111"/>
    <d v="2025-01-22T00:00:00"/>
    <s v="24/25产季"/>
    <n v="9.8502999999999989"/>
    <n v="2.7039"/>
    <n v="2.0611000000000002"/>
    <n v="0"/>
    <n v="2.2263999999999999"/>
    <n v="0.69089999999999996"/>
    <n v="17.532599999999995"/>
    <n v="4.8148"/>
    <n v="2.4340999999999999"/>
    <n v="2.0611000000000002"/>
    <n v="0"/>
    <n v="2.2263999999999999"/>
    <n v="0.69089999999999996"/>
    <n v="12.2273"/>
  </r>
  <r>
    <x v="112"/>
    <d v="2025-02-05T00:00:00"/>
    <s v="24/25产季"/>
    <n v="5.7245999999999997"/>
    <n v="3.8586000000000005"/>
    <n v="0.40989999999999999"/>
    <n v="0"/>
    <n v="1.0096000000000001"/>
    <n v="3.9051999999999998"/>
    <n v="14.907900000000001"/>
    <n v="3.3534000000000002"/>
    <n v="3.0451000000000001"/>
    <n v="0.40989999999999999"/>
    <n v="0"/>
    <n v="0.99950000000000006"/>
    <n v="3.9051999999999998"/>
    <n v="11.713100000000001"/>
  </r>
  <r>
    <x v="113"/>
    <d v="2025-02-12T00:00:00"/>
    <s v="24/25产季"/>
    <n v="5.6348000000000003"/>
    <n v="2.3245"/>
    <n v="0.93210000000000004"/>
    <n v="0"/>
    <n v="1.1919999999999999"/>
    <n v="1.6042000000000001"/>
    <n v="11.687600000000002"/>
    <n v="4.4698000000000002"/>
    <n v="2.2555000000000001"/>
    <n v="0.93210000000000004"/>
    <n v="0"/>
    <n v="1.1919999999999999"/>
    <n v="1.6042000000000001"/>
    <n v="10.453600000000002"/>
  </r>
  <r>
    <x v="114"/>
    <d v="2025-02-19T00:00:00"/>
    <s v="24/25产季"/>
    <n v="4.3795000000000002"/>
    <n v="2.0072999999999999"/>
    <n v="0.67430000000000001"/>
    <n v="0.34749999999999998"/>
    <n v="1.4981"/>
    <n v="1.0125999999999999"/>
    <n v="9.9192999999999998"/>
    <n v="3.4830000000000001"/>
    <n v="2.0072999999999999"/>
    <n v="0.67430000000000001"/>
    <n v="0"/>
    <n v="1.4981"/>
    <n v="1.0125999999999999"/>
    <n v="8.6753"/>
  </r>
  <r>
    <x v="115"/>
    <d v="2025-02-26T00:00:00"/>
    <s v="24/25产季"/>
    <n v="3.1645000000000003"/>
    <n v="1.3353999999999999"/>
    <n v="0.93720000000000003"/>
    <n v="0.71830000000000005"/>
    <n v="1.9126000000000001"/>
    <n v="1.1094999999999999"/>
    <n v="9.1775000000000002"/>
    <n v="2.9169"/>
    <n v="1.3353999999999999"/>
    <n v="0.93720000000000003"/>
    <n v="0"/>
    <n v="1.9126000000000001"/>
    <n v="1.1094999999999999"/>
    <n v="8.2116000000000007"/>
  </r>
  <r>
    <x v="116"/>
    <d v="2025-03-05T00:00:00"/>
    <s v="24/25产季"/>
    <n v="3.8738000000000001"/>
    <n v="1.6729000000000001"/>
    <n v="0.8075"/>
    <n v="0.90910000000000002"/>
    <n v="2.4937999999999998"/>
    <n v="1.1372"/>
    <n v="10.894300000000001"/>
    <n v="2.5847000000000002"/>
    <n v="1.6729000000000001"/>
    <n v="0.8075"/>
    <n v="0"/>
    <n v="2.4937999999999998"/>
    <n v="1.1372"/>
    <n v="8.6960999999999995"/>
  </r>
  <r>
    <x v="117"/>
    <d v="2025-03-12T00:00:00"/>
    <s v="24/25产季"/>
    <n v="4.7831999999999999"/>
    <n v="2.6225000000000001"/>
    <n v="0.82799999999999996"/>
    <n v="0.3503"/>
    <n v="1.8024"/>
    <n v="1.1938"/>
    <n v="11.5802"/>
    <n v="3.0870000000000002"/>
    <n v="2.6225000000000001"/>
    <n v="0.82799999999999996"/>
    <n v="0"/>
    <n v="1.8024"/>
    <n v="1.1938"/>
    <n v="9.5336999999999996"/>
  </r>
  <r>
    <x v="118"/>
    <d v="2025-03-19T00:00:00"/>
    <s v="24/25产季"/>
    <n v="5.22"/>
    <n v="2.2652000000000001"/>
    <n v="0.91139999999999999"/>
    <n v="0.2218"/>
    <n v="1.7579"/>
    <n v="1.4897"/>
    <n v="11.866"/>
    <n v="2.7993999999999999"/>
    <n v="2.2652000000000001"/>
    <n v="0.91139999999999999"/>
    <n v="0"/>
    <n v="1.7579"/>
    <n v="1.4897"/>
    <n v="9.2236000000000011"/>
  </r>
  <r>
    <x v="119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0"/>
    <x v="0"/>
    <x v="0"/>
    <x v="1"/>
    <x v="1"/>
    <x v="1"/>
    <x v="1"/>
    <x v="0"/>
    <x v="0"/>
    <x v="0"/>
    <x v="1"/>
    <x v="1"/>
    <x v="1"/>
    <x v="1"/>
    <x v="0"/>
    <x v="0"/>
    <x v="0"/>
    <x v="1"/>
    <x v="1"/>
    <x v="1"/>
    <x v="1"/>
    <x v="0"/>
    <x v="0"/>
    <x v="0"/>
    <x v="1"/>
    <x v="1"/>
    <x v="1"/>
    <x v="1"/>
    <x v="1"/>
    <x v="1"/>
    <x v="1"/>
    <x v="1"/>
    <x v="1"/>
    <x v="1"/>
    <x v="0"/>
    <x v="1"/>
  </r>
  <r>
    <x v="2"/>
    <x v="0"/>
    <x v="2"/>
    <x v="0"/>
    <x v="0"/>
    <x v="0"/>
    <x v="2"/>
    <x v="0"/>
    <x v="2"/>
    <x v="2"/>
    <x v="0"/>
    <x v="0"/>
    <x v="0"/>
    <x v="2"/>
    <x v="0"/>
    <x v="2"/>
    <x v="2"/>
    <x v="0"/>
    <x v="0"/>
    <x v="0"/>
    <x v="2"/>
    <x v="0"/>
    <x v="2"/>
    <x v="2"/>
    <x v="0"/>
    <x v="0"/>
    <x v="0"/>
    <x v="2"/>
    <x v="0"/>
    <x v="2"/>
    <x v="2"/>
    <x v="0"/>
    <x v="0"/>
    <x v="0"/>
    <x v="2"/>
    <x v="0"/>
    <x v="2"/>
    <x v="0"/>
    <x v="2"/>
  </r>
  <r>
    <x v="3"/>
    <x v="0"/>
    <x v="3"/>
    <x v="0"/>
    <x v="0"/>
    <x v="0"/>
    <x v="3"/>
    <x v="2"/>
    <x v="3"/>
    <x v="3"/>
    <x v="0"/>
    <x v="0"/>
    <x v="0"/>
    <x v="3"/>
    <x v="2"/>
    <x v="3"/>
    <x v="3"/>
    <x v="0"/>
    <x v="0"/>
    <x v="0"/>
    <x v="2"/>
    <x v="0"/>
    <x v="3"/>
    <x v="3"/>
    <x v="0"/>
    <x v="0"/>
    <x v="0"/>
    <x v="3"/>
    <x v="0"/>
    <x v="3"/>
    <x v="3"/>
    <x v="0"/>
    <x v="0"/>
    <x v="0"/>
    <x v="3"/>
    <x v="0"/>
    <x v="3"/>
    <x v="0"/>
    <x v="3"/>
  </r>
  <r>
    <x v="4"/>
    <x v="0"/>
    <x v="4"/>
    <x v="0"/>
    <x v="0"/>
    <x v="0"/>
    <x v="4"/>
    <x v="3"/>
    <x v="4"/>
    <x v="4"/>
    <x v="0"/>
    <x v="0"/>
    <x v="0"/>
    <x v="4"/>
    <x v="3"/>
    <x v="4"/>
    <x v="4"/>
    <x v="0"/>
    <x v="0"/>
    <x v="0"/>
    <x v="3"/>
    <x v="0"/>
    <x v="4"/>
    <x v="4"/>
    <x v="0"/>
    <x v="0"/>
    <x v="0"/>
    <x v="4"/>
    <x v="0"/>
    <x v="4"/>
    <x v="4"/>
    <x v="0"/>
    <x v="0"/>
    <x v="0"/>
    <x v="4"/>
    <x v="0"/>
    <x v="4"/>
    <x v="0"/>
    <x v="4"/>
  </r>
  <r>
    <x v="5"/>
    <x v="0"/>
    <x v="5"/>
    <x v="0"/>
    <x v="0"/>
    <x v="0"/>
    <x v="5"/>
    <x v="4"/>
    <x v="5"/>
    <x v="5"/>
    <x v="0"/>
    <x v="0"/>
    <x v="0"/>
    <x v="5"/>
    <x v="4"/>
    <x v="5"/>
    <x v="5"/>
    <x v="0"/>
    <x v="0"/>
    <x v="0"/>
    <x v="4"/>
    <x v="0"/>
    <x v="5"/>
    <x v="5"/>
    <x v="0"/>
    <x v="0"/>
    <x v="0"/>
    <x v="5"/>
    <x v="0"/>
    <x v="5"/>
    <x v="5"/>
    <x v="0"/>
    <x v="0"/>
    <x v="0"/>
    <x v="5"/>
    <x v="0"/>
    <x v="5"/>
    <x v="0"/>
    <x v="5"/>
  </r>
  <r>
    <x v="6"/>
    <x v="0"/>
    <x v="6"/>
    <x v="0"/>
    <x v="0"/>
    <x v="0"/>
    <x v="6"/>
    <x v="5"/>
    <x v="6"/>
    <x v="6"/>
    <x v="0"/>
    <x v="0"/>
    <x v="0"/>
    <x v="6"/>
    <x v="5"/>
    <x v="6"/>
    <x v="6"/>
    <x v="0"/>
    <x v="0"/>
    <x v="0"/>
    <x v="5"/>
    <x v="0"/>
    <x v="6"/>
    <x v="6"/>
    <x v="0"/>
    <x v="0"/>
    <x v="0"/>
    <x v="6"/>
    <x v="0"/>
    <x v="6"/>
    <x v="6"/>
    <x v="0"/>
    <x v="0"/>
    <x v="0"/>
    <x v="6"/>
    <x v="0"/>
    <x v="6"/>
    <x v="0"/>
    <x v="6"/>
  </r>
  <r>
    <x v="7"/>
    <x v="0"/>
    <x v="7"/>
    <x v="0"/>
    <x v="0"/>
    <x v="0"/>
    <x v="7"/>
    <x v="6"/>
    <x v="7"/>
    <x v="7"/>
    <x v="0"/>
    <x v="0"/>
    <x v="0"/>
    <x v="7"/>
    <x v="6"/>
    <x v="7"/>
    <x v="7"/>
    <x v="0"/>
    <x v="0"/>
    <x v="0"/>
    <x v="6"/>
    <x v="0"/>
    <x v="7"/>
    <x v="7"/>
    <x v="0"/>
    <x v="0"/>
    <x v="0"/>
    <x v="7"/>
    <x v="0"/>
    <x v="7"/>
    <x v="7"/>
    <x v="0"/>
    <x v="0"/>
    <x v="0"/>
    <x v="7"/>
    <x v="0"/>
    <x v="7"/>
    <x v="0"/>
    <x v="7"/>
  </r>
  <r>
    <x v="8"/>
    <x v="0"/>
    <x v="8"/>
    <x v="0"/>
    <x v="0"/>
    <x v="0"/>
    <x v="8"/>
    <x v="7"/>
    <x v="8"/>
    <x v="8"/>
    <x v="0"/>
    <x v="0"/>
    <x v="0"/>
    <x v="8"/>
    <x v="7"/>
    <x v="8"/>
    <x v="8"/>
    <x v="0"/>
    <x v="0"/>
    <x v="0"/>
    <x v="6"/>
    <x v="0"/>
    <x v="8"/>
    <x v="8"/>
    <x v="0"/>
    <x v="0"/>
    <x v="0"/>
    <x v="8"/>
    <x v="0"/>
    <x v="8"/>
    <x v="8"/>
    <x v="0"/>
    <x v="0"/>
    <x v="0"/>
    <x v="8"/>
    <x v="0"/>
    <x v="8"/>
    <x v="0"/>
    <x v="8"/>
  </r>
  <r>
    <x v="9"/>
    <x v="0"/>
    <x v="9"/>
    <x v="0"/>
    <x v="0"/>
    <x v="0"/>
    <x v="9"/>
    <x v="8"/>
    <x v="9"/>
    <x v="9"/>
    <x v="0"/>
    <x v="0"/>
    <x v="0"/>
    <x v="9"/>
    <x v="8"/>
    <x v="9"/>
    <x v="9"/>
    <x v="0"/>
    <x v="0"/>
    <x v="0"/>
    <x v="7"/>
    <x v="0"/>
    <x v="9"/>
    <x v="9"/>
    <x v="0"/>
    <x v="0"/>
    <x v="0"/>
    <x v="9"/>
    <x v="0"/>
    <x v="9"/>
    <x v="9"/>
    <x v="0"/>
    <x v="0"/>
    <x v="0"/>
    <x v="9"/>
    <x v="0"/>
    <x v="9"/>
    <x v="0"/>
    <x v="9"/>
  </r>
  <r>
    <x v="10"/>
    <x v="0"/>
    <x v="10"/>
    <x v="0"/>
    <x v="0"/>
    <x v="0"/>
    <x v="10"/>
    <x v="9"/>
    <x v="10"/>
    <x v="10"/>
    <x v="0"/>
    <x v="0"/>
    <x v="0"/>
    <x v="10"/>
    <x v="9"/>
    <x v="10"/>
    <x v="10"/>
    <x v="0"/>
    <x v="0"/>
    <x v="0"/>
    <x v="8"/>
    <x v="0"/>
    <x v="10"/>
    <x v="10"/>
    <x v="0"/>
    <x v="0"/>
    <x v="0"/>
    <x v="10"/>
    <x v="0"/>
    <x v="10"/>
    <x v="10"/>
    <x v="0"/>
    <x v="0"/>
    <x v="0"/>
    <x v="10"/>
    <x v="0"/>
    <x v="10"/>
    <x v="0"/>
    <x v="10"/>
  </r>
  <r>
    <x v="11"/>
    <x v="0"/>
    <x v="11"/>
    <x v="0"/>
    <x v="0"/>
    <x v="0"/>
    <x v="11"/>
    <x v="10"/>
    <x v="11"/>
    <x v="11"/>
    <x v="0"/>
    <x v="0"/>
    <x v="0"/>
    <x v="11"/>
    <x v="10"/>
    <x v="11"/>
    <x v="11"/>
    <x v="0"/>
    <x v="0"/>
    <x v="0"/>
    <x v="9"/>
    <x v="0"/>
    <x v="11"/>
    <x v="11"/>
    <x v="0"/>
    <x v="0"/>
    <x v="0"/>
    <x v="11"/>
    <x v="0"/>
    <x v="11"/>
    <x v="11"/>
    <x v="0"/>
    <x v="0"/>
    <x v="0"/>
    <x v="11"/>
    <x v="0"/>
    <x v="11"/>
    <x v="0"/>
    <x v="11"/>
  </r>
  <r>
    <x v="12"/>
    <x v="0"/>
    <x v="12"/>
    <x v="0"/>
    <x v="0"/>
    <x v="0"/>
    <x v="12"/>
    <x v="11"/>
    <x v="12"/>
    <x v="12"/>
    <x v="0"/>
    <x v="0"/>
    <x v="0"/>
    <x v="12"/>
    <x v="11"/>
    <x v="12"/>
    <x v="12"/>
    <x v="0"/>
    <x v="0"/>
    <x v="0"/>
    <x v="0"/>
    <x v="0"/>
    <x v="12"/>
    <x v="12"/>
    <x v="0"/>
    <x v="0"/>
    <x v="0"/>
    <x v="12"/>
    <x v="0"/>
    <x v="12"/>
    <x v="12"/>
    <x v="0"/>
    <x v="0"/>
    <x v="0"/>
    <x v="12"/>
    <x v="0"/>
    <x v="12"/>
    <x v="0"/>
    <x v="12"/>
  </r>
  <r>
    <x v="13"/>
    <x v="0"/>
    <x v="13"/>
    <x v="0"/>
    <x v="0"/>
    <x v="0"/>
    <x v="13"/>
    <x v="12"/>
    <x v="13"/>
    <x v="13"/>
    <x v="0"/>
    <x v="0"/>
    <x v="0"/>
    <x v="13"/>
    <x v="12"/>
    <x v="13"/>
    <x v="13"/>
    <x v="0"/>
    <x v="0"/>
    <x v="0"/>
    <x v="10"/>
    <x v="0"/>
    <x v="13"/>
    <x v="13"/>
    <x v="0"/>
    <x v="0"/>
    <x v="0"/>
    <x v="13"/>
    <x v="0"/>
    <x v="13"/>
    <x v="13"/>
    <x v="0"/>
    <x v="0"/>
    <x v="0"/>
    <x v="7"/>
    <x v="0"/>
    <x v="13"/>
    <x v="0"/>
    <x v="13"/>
  </r>
  <r>
    <x v="14"/>
    <x v="0"/>
    <x v="14"/>
    <x v="0"/>
    <x v="0"/>
    <x v="0"/>
    <x v="14"/>
    <x v="13"/>
    <x v="14"/>
    <x v="14"/>
    <x v="0"/>
    <x v="0"/>
    <x v="0"/>
    <x v="14"/>
    <x v="13"/>
    <x v="14"/>
    <x v="14"/>
    <x v="0"/>
    <x v="0"/>
    <x v="0"/>
    <x v="11"/>
    <x v="0"/>
    <x v="14"/>
    <x v="14"/>
    <x v="0"/>
    <x v="0"/>
    <x v="0"/>
    <x v="14"/>
    <x v="0"/>
    <x v="14"/>
    <x v="14"/>
    <x v="0"/>
    <x v="0"/>
    <x v="0"/>
    <x v="7"/>
    <x v="0"/>
    <x v="14"/>
    <x v="0"/>
    <x v="14"/>
  </r>
  <r>
    <x v="15"/>
    <x v="0"/>
    <x v="15"/>
    <x v="0"/>
    <x v="0"/>
    <x v="0"/>
    <x v="15"/>
    <x v="14"/>
    <x v="15"/>
    <x v="15"/>
    <x v="0"/>
    <x v="0"/>
    <x v="0"/>
    <x v="15"/>
    <x v="14"/>
    <x v="15"/>
    <x v="15"/>
    <x v="0"/>
    <x v="0"/>
    <x v="0"/>
    <x v="12"/>
    <x v="0"/>
    <x v="15"/>
    <x v="15"/>
    <x v="0"/>
    <x v="0"/>
    <x v="0"/>
    <x v="15"/>
    <x v="0"/>
    <x v="15"/>
    <x v="15"/>
    <x v="0"/>
    <x v="0"/>
    <x v="0"/>
    <x v="13"/>
    <x v="0"/>
    <x v="15"/>
    <x v="0"/>
    <x v="15"/>
  </r>
  <r>
    <x v="16"/>
    <x v="0"/>
    <x v="16"/>
    <x v="0"/>
    <x v="0"/>
    <x v="0"/>
    <x v="16"/>
    <x v="1"/>
    <x v="16"/>
    <x v="16"/>
    <x v="0"/>
    <x v="0"/>
    <x v="0"/>
    <x v="16"/>
    <x v="15"/>
    <x v="16"/>
    <x v="16"/>
    <x v="0"/>
    <x v="0"/>
    <x v="0"/>
    <x v="13"/>
    <x v="1"/>
    <x v="16"/>
    <x v="16"/>
    <x v="0"/>
    <x v="0"/>
    <x v="0"/>
    <x v="16"/>
    <x v="0"/>
    <x v="16"/>
    <x v="9"/>
    <x v="1"/>
    <x v="1"/>
    <x v="1"/>
    <x v="14"/>
    <x v="1"/>
    <x v="16"/>
    <x v="0"/>
    <x v="16"/>
  </r>
  <r>
    <x v="17"/>
    <x v="0"/>
    <x v="17"/>
    <x v="0"/>
    <x v="0"/>
    <x v="0"/>
    <x v="17"/>
    <x v="15"/>
    <x v="17"/>
    <x v="17"/>
    <x v="0"/>
    <x v="0"/>
    <x v="0"/>
    <x v="17"/>
    <x v="16"/>
    <x v="17"/>
    <x v="17"/>
    <x v="0"/>
    <x v="0"/>
    <x v="0"/>
    <x v="14"/>
    <x v="0"/>
    <x v="17"/>
    <x v="17"/>
    <x v="0"/>
    <x v="0"/>
    <x v="0"/>
    <x v="17"/>
    <x v="0"/>
    <x v="17"/>
    <x v="16"/>
    <x v="0"/>
    <x v="0"/>
    <x v="0"/>
    <x v="2"/>
    <x v="0"/>
    <x v="17"/>
    <x v="0"/>
    <x v="17"/>
  </r>
  <r>
    <x v="18"/>
    <x v="0"/>
    <x v="18"/>
    <x v="0"/>
    <x v="0"/>
    <x v="0"/>
    <x v="18"/>
    <x v="16"/>
    <x v="18"/>
    <x v="18"/>
    <x v="0"/>
    <x v="0"/>
    <x v="0"/>
    <x v="18"/>
    <x v="17"/>
    <x v="18"/>
    <x v="18"/>
    <x v="0"/>
    <x v="0"/>
    <x v="0"/>
    <x v="15"/>
    <x v="0"/>
    <x v="18"/>
    <x v="18"/>
    <x v="0"/>
    <x v="0"/>
    <x v="0"/>
    <x v="16"/>
    <x v="0"/>
    <x v="18"/>
    <x v="17"/>
    <x v="0"/>
    <x v="0"/>
    <x v="0"/>
    <x v="15"/>
    <x v="0"/>
    <x v="18"/>
    <x v="0"/>
    <x v="18"/>
  </r>
  <r>
    <x v="19"/>
    <x v="0"/>
    <x v="19"/>
    <x v="0"/>
    <x v="0"/>
    <x v="0"/>
    <x v="12"/>
    <x v="17"/>
    <x v="19"/>
    <x v="19"/>
    <x v="0"/>
    <x v="0"/>
    <x v="0"/>
    <x v="19"/>
    <x v="18"/>
    <x v="19"/>
    <x v="19"/>
    <x v="0"/>
    <x v="0"/>
    <x v="0"/>
    <x v="16"/>
    <x v="0"/>
    <x v="19"/>
    <x v="19"/>
    <x v="0"/>
    <x v="0"/>
    <x v="0"/>
    <x v="16"/>
    <x v="0"/>
    <x v="19"/>
    <x v="18"/>
    <x v="0"/>
    <x v="0"/>
    <x v="0"/>
    <x v="1"/>
    <x v="0"/>
    <x v="19"/>
    <x v="0"/>
    <x v="19"/>
  </r>
  <r>
    <x v="20"/>
    <x v="0"/>
    <x v="20"/>
    <x v="0"/>
    <x v="0"/>
    <x v="0"/>
    <x v="19"/>
    <x v="18"/>
    <x v="20"/>
    <x v="20"/>
    <x v="0"/>
    <x v="0"/>
    <x v="0"/>
    <x v="20"/>
    <x v="19"/>
    <x v="20"/>
    <x v="20"/>
    <x v="0"/>
    <x v="0"/>
    <x v="0"/>
    <x v="17"/>
    <x v="0"/>
    <x v="20"/>
    <x v="20"/>
    <x v="0"/>
    <x v="0"/>
    <x v="0"/>
    <x v="18"/>
    <x v="0"/>
    <x v="20"/>
    <x v="19"/>
    <x v="0"/>
    <x v="0"/>
    <x v="0"/>
    <x v="1"/>
    <x v="0"/>
    <x v="20"/>
    <x v="0"/>
    <x v="20"/>
  </r>
  <r>
    <x v="21"/>
    <x v="0"/>
    <x v="21"/>
    <x v="0"/>
    <x v="0"/>
    <x v="0"/>
    <x v="20"/>
    <x v="19"/>
    <x v="21"/>
    <x v="21"/>
    <x v="0"/>
    <x v="0"/>
    <x v="0"/>
    <x v="21"/>
    <x v="20"/>
    <x v="21"/>
    <x v="21"/>
    <x v="0"/>
    <x v="0"/>
    <x v="0"/>
    <x v="18"/>
    <x v="2"/>
    <x v="21"/>
    <x v="20"/>
    <x v="0"/>
    <x v="0"/>
    <x v="0"/>
    <x v="19"/>
    <x v="2"/>
    <x v="21"/>
    <x v="20"/>
    <x v="0"/>
    <x v="0"/>
    <x v="0"/>
    <x v="16"/>
    <x v="0"/>
    <x v="21"/>
    <x v="0"/>
    <x v="21"/>
  </r>
  <r>
    <x v="22"/>
    <x v="0"/>
    <x v="22"/>
    <x v="0"/>
    <x v="0"/>
    <x v="0"/>
    <x v="21"/>
    <x v="20"/>
    <x v="22"/>
    <x v="22"/>
    <x v="0"/>
    <x v="0"/>
    <x v="0"/>
    <x v="8"/>
    <x v="21"/>
    <x v="22"/>
    <x v="22"/>
    <x v="0"/>
    <x v="0"/>
    <x v="0"/>
    <x v="19"/>
    <x v="3"/>
    <x v="22"/>
    <x v="21"/>
    <x v="0"/>
    <x v="0"/>
    <x v="0"/>
    <x v="20"/>
    <x v="3"/>
    <x v="22"/>
    <x v="21"/>
    <x v="0"/>
    <x v="0"/>
    <x v="0"/>
    <x v="17"/>
    <x v="0"/>
    <x v="22"/>
    <x v="0"/>
    <x v="22"/>
  </r>
  <r>
    <x v="23"/>
    <x v="0"/>
    <x v="23"/>
    <x v="0"/>
    <x v="0"/>
    <x v="0"/>
    <x v="22"/>
    <x v="1"/>
    <x v="23"/>
    <x v="23"/>
    <x v="0"/>
    <x v="0"/>
    <x v="0"/>
    <x v="1"/>
    <x v="15"/>
    <x v="23"/>
    <x v="23"/>
    <x v="0"/>
    <x v="0"/>
    <x v="0"/>
    <x v="13"/>
    <x v="0"/>
    <x v="23"/>
    <x v="22"/>
    <x v="0"/>
    <x v="0"/>
    <x v="0"/>
    <x v="16"/>
    <x v="0"/>
    <x v="23"/>
    <x v="1"/>
    <x v="1"/>
    <x v="1"/>
    <x v="1"/>
    <x v="18"/>
    <x v="1"/>
    <x v="23"/>
    <x v="0"/>
    <x v="23"/>
  </r>
  <r>
    <x v="24"/>
    <x v="0"/>
    <x v="24"/>
    <x v="0"/>
    <x v="0"/>
    <x v="0"/>
    <x v="23"/>
    <x v="21"/>
    <x v="24"/>
    <x v="24"/>
    <x v="0"/>
    <x v="0"/>
    <x v="0"/>
    <x v="22"/>
    <x v="22"/>
    <x v="24"/>
    <x v="24"/>
    <x v="0"/>
    <x v="0"/>
    <x v="0"/>
    <x v="20"/>
    <x v="4"/>
    <x v="24"/>
    <x v="23"/>
    <x v="0"/>
    <x v="0"/>
    <x v="0"/>
    <x v="2"/>
    <x v="4"/>
    <x v="24"/>
    <x v="22"/>
    <x v="0"/>
    <x v="0"/>
    <x v="0"/>
    <x v="19"/>
    <x v="0"/>
    <x v="24"/>
    <x v="0"/>
    <x v="24"/>
  </r>
  <r>
    <x v="25"/>
    <x v="0"/>
    <x v="25"/>
    <x v="0"/>
    <x v="0"/>
    <x v="0"/>
    <x v="24"/>
    <x v="22"/>
    <x v="25"/>
    <x v="25"/>
    <x v="0"/>
    <x v="0"/>
    <x v="0"/>
    <x v="23"/>
    <x v="23"/>
    <x v="25"/>
    <x v="25"/>
    <x v="0"/>
    <x v="0"/>
    <x v="0"/>
    <x v="21"/>
    <x v="0"/>
    <x v="25"/>
    <x v="24"/>
    <x v="0"/>
    <x v="0"/>
    <x v="0"/>
    <x v="21"/>
    <x v="0"/>
    <x v="25"/>
    <x v="23"/>
    <x v="0"/>
    <x v="0"/>
    <x v="0"/>
    <x v="19"/>
    <x v="0"/>
    <x v="25"/>
    <x v="0"/>
    <x v="25"/>
  </r>
  <r>
    <x v="26"/>
    <x v="0"/>
    <x v="26"/>
    <x v="0"/>
    <x v="0"/>
    <x v="0"/>
    <x v="25"/>
    <x v="23"/>
    <x v="26"/>
    <x v="26"/>
    <x v="0"/>
    <x v="0"/>
    <x v="0"/>
    <x v="24"/>
    <x v="24"/>
    <x v="26"/>
    <x v="26"/>
    <x v="0"/>
    <x v="0"/>
    <x v="0"/>
    <x v="22"/>
    <x v="0"/>
    <x v="26"/>
    <x v="25"/>
    <x v="0"/>
    <x v="0"/>
    <x v="0"/>
    <x v="16"/>
    <x v="0"/>
    <x v="26"/>
    <x v="23"/>
    <x v="0"/>
    <x v="0"/>
    <x v="0"/>
    <x v="19"/>
    <x v="0"/>
    <x v="25"/>
    <x v="0"/>
    <x v="26"/>
  </r>
  <r>
    <x v="27"/>
    <x v="0"/>
    <x v="27"/>
    <x v="0"/>
    <x v="0"/>
    <x v="0"/>
    <x v="26"/>
    <x v="24"/>
    <x v="27"/>
    <x v="27"/>
    <x v="0"/>
    <x v="0"/>
    <x v="0"/>
    <x v="25"/>
    <x v="25"/>
    <x v="27"/>
    <x v="27"/>
    <x v="0"/>
    <x v="0"/>
    <x v="0"/>
    <x v="3"/>
    <x v="0"/>
    <x v="27"/>
    <x v="25"/>
    <x v="0"/>
    <x v="0"/>
    <x v="0"/>
    <x v="16"/>
    <x v="0"/>
    <x v="26"/>
    <x v="23"/>
    <x v="0"/>
    <x v="0"/>
    <x v="0"/>
    <x v="19"/>
    <x v="0"/>
    <x v="25"/>
    <x v="0"/>
    <x v="27"/>
  </r>
  <r>
    <x v="28"/>
    <x v="0"/>
    <x v="28"/>
    <x v="0"/>
    <x v="0"/>
    <x v="0"/>
    <x v="27"/>
    <x v="25"/>
    <x v="28"/>
    <x v="28"/>
    <x v="0"/>
    <x v="0"/>
    <x v="0"/>
    <x v="26"/>
    <x v="26"/>
    <x v="28"/>
    <x v="28"/>
    <x v="0"/>
    <x v="0"/>
    <x v="0"/>
    <x v="8"/>
    <x v="0"/>
    <x v="28"/>
    <x v="16"/>
    <x v="0"/>
    <x v="0"/>
    <x v="0"/>
    <x v="16"/>
    <x v="0"/>
    <x v="16"/>
    <x v="9"/>
    <x v="1"/>
    <x v="1"/>
    <x v="1"/>
    <x v="1"/>
    <x v="1"/>
    <x v="26"/>
    <x v="0"/>
    <x v="28"/>
  </r>
  <r>
    <x v="29"/>
    <x v="0"/>
    <x v="29"/>
    <x v="0"/>
    <x v="0"/>
    <x v="0"/>
    <x v="5"/>
    <x v="26"/>
    <x v="29"/>
    <x v="29"/>
    <x v="0"/>
    <x v="0"/>
    <x v="0"/>
    <x v="27"/>
    <x v="27"/>
    <x v="29"/>
    <x v="29"/>
    <x v="0"/>
    <x v="0"/>
    <x v="0"/>
    <x v="23"/>
    <x v="0"/>
    <x v="29"/>
    <x v="26"/>
    <x v="0"/>
    <x v="0"/>
    <x v="0"/>
    <x v="16"/>
    <x v="0"/>
    <x v="27"/>
    <x v="23"/>
    <x v="0"/>
    <x v="0"/>
    <x v="0"/>
    <x v="19"/>
    <x v="0"/>
    <x v="25"/>
    <x v="0"/>
    <x v="29"/>
  </r>
  <r>
    <x v="30"/>
    <x v="0"/>
    <x v="30"/>
    <x v="0"/>
    <x v="0"/>
    <x v="0"/>
    <x v="28"/>
    <x v="25"/>
    <x v="30"/>
    <x v="1"/>
    <x v="0"/>
    <x v="0"/>
    <x v="0"/>
    <x v="26"/>
    <x v="26"/>
    <x v="16"/>
    <x v="30"/>
    <x v="0"/>
    <x v="0"/>
    <x v="0"/>
    <x v="1"/>
    <x v="0"/>
    <x v="30"/>
    <x v="16"/>
    <x v="0"/>
    <x v="0"/>
    <x v="0"/>
    <x v="16"/>
    <x v="0"/>
    <x v="16"/>
    <x v="9"/>
    <x v="1"/>
    <x v="1"/>
    <x v="1"/>
    <x v="1"/>
    <x v="1"/>
    <x v="27"/>
    <x v="0"/>
    <x v="30"/>
  </r>
  <r>
    <x v="31"/>
    <x v="0"/>
    <x v="31"/>
    <x v="0"/>
    <x v="0"/>
    <x v="0"/>
    <x v="29"/>
    <x v="27"/>
    <x v="31"/>
    <x v="30"/>
    <x v="0"/>
    <x v="0"/>
    <x v="0"/>
    <x v="28"/>
    <x v="28"/>
    <x v="30"/>
    <x v="31"/>
    <x v="0"/>
    <x v="0"/>
    <x v="0"/>
    <x v="24"/>
    <x v="0"/>
    <x v="31"/>
    <x v="27"/>
    <x v="0"/>
    <x v="0"/>
    <x v="0"/>
    <x v="2"/>
    <x v="0"/>
    <x v="28"/>
    <x v="24"/>
    <x v="0"/>
    <x v="0"/>
    <x v="0"/>
    <x v="19"/>
    <x v="0"/>
    <x v="28"/>
    <x v="0"/>
    <x v="31"/>
  </r>
  <r>
    <x v="32"/>
    <x v="0"/>
    <x v="32"/>
    <x v="0"/>
    <x v="0"/>
    <x v="0"/>
    <x v="30"/>
    <x v="28"/>
    <x v="32"/>
    <x v="31"/>
    <x v="0"/>
    <x v="0"/>
    <x v="0"/>
    <x v="8"/>
    <x v="29"/>
    <x v="31"/>
    <x v="32"/>
    <x v="0"/>
    <x v="0"/>
    <x v="0"/>
    <x v="25"/>
    <x v="0"/>
    <x v="32"/>
    <x v="28"/>
    <x v="0"/>
    <x v="0"/>
    <x v="0"/>
    <x v="22"/>
    <x v="0"/>
    <x v="8"/>
    <x v="1"/>
    <x v="0"/>
    <x v="0"/>
    <x v="0"/>
    <x v="19"/>
    <x v="0"/>
    <x v="1"/>
    <x v="0"/>
    <x v="32"/>
  </r>
  <r>
    <x v="33"/>
    <x v="0"/>
    <x v="33"/>
    <x v="0"/>
    <x v="0"/>
    <x v="0"/>
    <x v="31"/>
    <x v="29"/>
    <x v="33"/>
    <x v="32"/>
    <x v="0"/>
    <x v="0"/>
    <x v="0"/>
    <x v="29"/>
    <x v="30"/>
    <x v="32"/>
    <x v="33"/>
    <x v="0"/>
    <x v="0"/>
    <x v="0"/>
    <x v="26"/>
    <x v="0"/>
    <x v="33"/>
    <x v="29"/>
    <x v="0"/>
    <x v="0"/>
    <x v="0"/>
    <x v="23"/>
    <x v="0"/>
    <x v="29"/>
    <x v="21"/>
    <x v="0"/>
    <x v="0"/>
    <x v="0"/>
    <x v="19"/>
    <x v="0"/>
    <x v="29"/>
    <x v="0"/>
    <x v="33"/>
  </r>
  <r>
    <x v="34"/>
    <x v="0"/>
    <x v="34"/>
    <x v="0"/>
    <x v="0"/>
    <x v="0"/>
    <x v="32"/>
    <x v="30"/>
    <x v="34"/>
    <x v="33"/>
    <x v="0"/>
    <x v="0"/>
    <x v="0"/>
    <x v="30"/>
    <x v="31"/>
    <x v="33"/>
    <x v="34"/>
    <x v="0"/>
    <x v="0"/>
    <x v="0"/>
    <x v="27"/>
    <x v="0"/>
    <x v="34"/>
    <x v="30"/>
    <x v="0"/>
    <x v="0"/>
    <x v="0"/>
    <x v="11"/>
    <x v="0"/>
    <x v="30"/>
    <x v="23"/>
    <x v="0"/>
    <x v="0"/>
    <x v="0"/>
    <x v="19"/>
    <x v="0"/>
    <x v="25"/>
    <x v="0"/>
    <x v="34"/>
  </r>
  <r>
    <x v="35"/>
    <x v="0"/>
    <x v="35"/>
    <x v="0"/>
    <x v="0"/>
    <x v="0"/>
    <x v="33"/>
    <x v="31"/>
    <x v="35"/>
    <x v="34"/>
    <x v="0"/>
    <x v="0"/>
    <x v="0"/>
    <x v="31"/>
    <x v="32"/>
    <x v="34"/>
    <x v="35"/>
    <x v="0"/>
    <x v="0"/>
    <x v="0"/>
    <x v="28"/>
    <x v="0"/>
    <x v="35"/>
    <x v="31"/>
    <x v="0"/>
    <x v="0"/>
    <x v="0"/>
    <x v="24"/>
    <x v="0"/>
    <x v="31"/>
    <x v="25"/>
    <x v="0"/>
    <x v="0"/>
    <x v="0"/>
    <x v="19"/>
    <x v="0"/>
    <x v="30"/>
    <x v="0"/>
    <x v="35"/>
  </r>
  <r>
    <x v="36"/>
    <x v="0"/>
    <x v="36"/>
    <x v="0"/>
    <x v="0"/>
    <x v="0"/>
    <x v="34"/>
    <x v="32"/>
    <x v="36"/>
    <x v="35"/>
    <x v="0"/>
    <x v="0"/>
    <x v="0"/>
    <x v="32"/>
    <x v="33"/>
    <x v="35"/>
    <x v="36"/>
    <x v="0"/>
    <x v="0"/>
    <x v="0"/>
    <x v="29"/>
    <x v="0"/>
    <x v="36"/>
    <x v="32"/>
    <x v="0"/>
    <x v="0"/>
    <x v="0"/>
    <x v="25"/>
    <x v="0"/>
    <x v="32"/>
    <x v="26"/>
    <x v="0"/>
    <x v="0"/>
    <x v="0"/>
    <x v="19"/>
    <x v="0"/>
    <x v="31"/>
    <x v="0"/>
    <x v="36"/>
  </r>
  <r>
    <x v="37"/>
    <x v="0"/>
    <x v="37"/>
    <x v="0"/>
    <x v="0"/>
    <x v="0"/>
    <x v="35"/>
    <x v="33"/>
    <x v="37"/>
    <x v="36"/>
    <x v="0"/>
    <x v="0"/>
    <x v="0"/>
    <x v="33"/>
    <x v="34"/>
    <x v="36"/>
    <x v="37"/>
    <x v="0"/>
    <x v="0"/>
    <x v="0"/>
    <x v="28"/>
    <x v="0"/>
    <x v="37"/>
    <x v="33"/>
    <x v="0"/>
    <x v="0"/>
    <x v="0"/>
    <x v="26"/>
    <x v="0"/>
    <x v="33"/>
    <x v="27"/>
    <x v="0"/>
    <x v="0"/>
    <x v="0"/>
    <x v="19"/>
    <x v="0"/>
    <x v="32"/>
    <x v="0"/>
    <x v="37"/>
  </r>
  <r>
    <x v="38"/>
    <x v="0"/>
    <x v="38"/>
    <x v="0"/>
    <x v="0"/>
    <x v="0"/>
    <x v="36"/>
    <x v="34"/>
    <x v="38"/>
    <x v="37"/>
    <x v="0"/>
    <x v="0"/>
    <x v="0"/>
    <x v="0"/>
    <x v="35"/>
    <x v="37"/>
    <x v="38"/>
    <x v="0"/>
    <x v="0"/>
    <x v="0"/>
    <x v="30"/>
    <x v="0"/>
    <x v="38"/>
    <x v="34"/>
    <x v="0"/>
    <x v="0"/>
    <x v="0"/>
    <x v="27"/>
    <x v="0"/>
    <x v="34"/>
    <x v="25"/>
    <x v="1"/>
    <x v="1"/>
    <x v="1"/>
    <x v="1"/>
    <x v="1"/>
    <x v="30"/>
    <x v="0"/>
    <x v="38"/>
  </r>
  <r>
    <x v="39"/>
    <x v="0"/>
    <x v="39"/>
    <x v="0"/>
    <x v="0"/>
    <x v="0"/>
    <x v="37"/>
    <x v="27"/>
    <x v="39"/>
    <x v="38"/>
    <x v="0"/>
    <x v="0"/>
    <x v="0"/>
    <x v="34"/>
    <x v="28"/>
    <x v="38"/>
    <x v="39"/>
    <x v="0"/>
    <x v="0"/>
    <x v="0"/>
    <x v="31"/>
    <x v="0"/>
    <x v="0"/>
    <x v="35"/>
    <x v="0"/>
    <x v="0"/>
    <x v="0"/>
    <x v="28"/>
    <x v="0"/>
    <x v="35"/>
    <x v="28"/>
    <x v="0"/>
    <x v="0"/>
    <x v="0"/>
    <x v="19"/>
    <x v="0"/>
    <x v="33"/>
    <x v="0"/>
    <x v="39"/>
  </r>
  <r>
    <x v="40"/>
    <x v="0"/>
    <x v="40"/>
    <x v="1"/>
    <x v="1"/>
    <x v="1"/>
    <x v="38"/>
    <x v="35"/>
    <x v="40"/>
    <x v="39"/>
    <x v="1"/>
    <x v="1"/>
    <x v="1"/>
    <x v="35"/>
    <x v="36"/>
    <x v="39"/>
    <x v="40"/>
    <x v="1"/>
    <x v="1"/>
    <x v="1"/>
    <x v="32"/>
    <x v="0"/>
    <x v="39"/>
    <x v="36"/>
    <x v="1"/>
    <x v="1"/>
    <x v="1"/>
    <x v="29"/>
    <x v="0"/>
    <x v="36"/>
    <x v="29"/>
    <x v="1"/>
    <x v="1"/>
    <x v="1"/>
    <x v="1"/>
    <x v="1"/>
    <x v="34"/>
    <x v="0"/>
    <x v="40"/>
  </r>
  <r>
    <x v="41"/>
    <x v="0"/>
    <x v="41"/>
    <x v="2"/>
    <x v="2"/>
    <x v="2"/>
    <x v="39"/>
    <x v="10"/>
    <x v="41"/>
    <x v="40"/>
    <x v="2"/>
    <x v="2"/>
    <x v="2"/>
    <x v="36"/>
    <x v="10"/>
    <x v="40"/>
    <x v="41"/>
    <x v="2"/>
    <x v="2"/>
    <x v="2"/>
    <x v="33"/>
    <x v="0"/>
    <x v="40"/>
    <x v="37"/>
    <x v="1"/>
    <x v="1"/>
    <x v="2"/>
    <x v="30"/>
    <x v="0"/>
    <x v="37"/>
    <x v="30"/>
    <x v="1"/>
    <x v="1"/>
    <x v="1"/>
    <x v="1"/>
    <x v="1"/>
    <x v="35"/>
    <x v="0"/>
    <x v="41"/>
  </r>
  <r>
    <x v="42"/>
    <x v="0"/>
    <x v="42"/>
    <x v="3"/>
    <x v="3"/>
    <x v="3"/>
    <x v="40"/>
    <x v="36"/>
    <x v="42"/>
    <x v="41"/>
    <x v="3"/>
    <x v="3"/>
    <x v="2"/>
    <x v="37"/>
    <x v="37"/>
    <x v="41"/>
    <x v="42"/>
    <x v="3"/>
    <x v="3"/>
    <x v="3"/>
    <x v="34"/>
    <x v="0"/>
    <x v="41"/>
    <x v="38"/>
    <x v="1"/>
    <x v="1"/>
    <x v="3"/>
    <x v="31"/>
    <x v="0"/>
    <x v="38"/>
    <x v="31"/>
    <x v="1"/>
    <x v="1"/>
    <x v="1"/>
    <x v="1"/>
    <x v="1"/>
    <x v="36"/>
    <x v="0"/>
    <x v="42"/>
  </r>
  <r>
    <x v="43"/>
    <x v="0"/>
    <x v="43"/>
    <x v="4"/>
    <x v="4"/>
    <x v="4"/>
    <x v="41"/>
    <x v="37"/>
    <x v="43"/>
    <x v="42"/>
    <x v="4"/>
    <x v="4"/>
    <x v="1"/>
    <x v="38"/>
    <x v="38"/>
    <x v="42"/>
    <x v="43"/>
    <x v="4"/>
    <x v="4"/>
    <x v="4"/>
    <x v="35"/>
    <x v="0"/>
    <x v="42"/>
    <x v="39"/>
    <x v="1"/>
    <x v="1"/>
    <x v="4"/>
    <x v="0"/>
    <x v="0"/>
    <x v="39"/>
    <x v="29"/>
    <x v="1"/>
    <x v="1"/>
    <x v="1"/>
    <x v="1"/>
    <x v="1"/>
    <x v="34"/>
    <x v="0"/>
    <x v="43"/>
  </r>
  <r>
    <x v="44"/>
    <x v="0"/>
    <x v="16"/>
    <x v="5"/>
    <x v="5"/>
    <x v="1"/>
    <x v="30"/>
    <x v="38"/>
    <x v="44"/>
    <x v="43"/>
    <x v="5"/>
    <x v="5"/>
    <x v="3"/>
    <x v="39"/>
    <x v="39"/>
    <x v="43"/>
    <x v="44"/>
    <x v="5"/>
    <x v="5"/>
    <x v="5"/>
    <x v="36"/>
    <x v="0"/>
    <x v="43"/>
    <x v="40"/>
    <x v="1"/>
    <x v="1"/>
    <x v="5"/>
    <x v="32"/>
    <x v="0"/>
    <x v="30"/>
    <x v="29"/>
    <x v="1"/>
    <x v="1"/>
    <x v="1"/>
    <x v="1"/>
    <x v="1"/>
    <x v="34"/>
    <x v="0"/>
    <x v="44"/>
  </r>
  <r>
    <x v="45"/>
    <x v="0"/>
    <x v="44"/>
    <x v="6"/>
    <x v="6"/>
    <x v="5"/>
    <x v="42"/>
    <x v="39"/>
    <x v="45"/>
    <x v="44"/>
    <x v="6"/>
    <x v="6"/>
    <x v="2"/>
    <x v="40"/>
    <x v="20"/>
    <x v="44"/>
    <x v="45"/>
    <x v="6"/>
    <x v="6"/>
    <x v="6"/>
    <x v="2"/>
    <x v="0"/>
    <x v="44"/>
    <x v="41"/>
    <x v="1"/>
    <x v="1"/>
    <x v="6"/>
    <x v="33"/>
    <x v="0"/>
    <x v="40"/>
    <x v="9"/>
    <x v="1"/>
    <x v="1"/>
    <x v="1"/>
    <x v="1"/>
    <x v="1"/>
    <x v="26"/>
    <x v="0"/>
    <x v="45"/>
  </r>
  <r>
    <x v="46"/>
    <x v="0"/>
    <x v="45"/>
    <x v="7"/>
    <x v="7"/>
    <x v="6"/>
    <x v="43"/>
    <x v="40"/>
    <x v="46"/>
    <x v="45"/>
    <x v="7"/>
    <x v="7"/>
    <x v="4"/>
    <x v="41"/>
    <x v="22"/>
    <x v="45"/>
    <x v="46"/>
    <x v="7"/>
    <x v="7"/>
    <x v="7"/>
    <x v="37"/>
    <x v="0"/>
    <x v="45"/>
    <x v="39"/>
    <x v="2"/>
    <x v="1"/>
    <x v="7"/>
    <x v="34"/>
    <x v="0"/>
    <x v="41"/>
    <x v="9"/>
    <x v="1"/>
    <x v="1"/>
    <x v="1"/>
    <x v="1"/>
    <x v="1"/>
    <x v="26"/>
    <x v="0"/>
    <x v="46"/>
  </r>
  <r>
    <x v="47"/>
    <x v="0"/>
    <x v="46"/>
    <x v="8"/>
    <x v="8"/>
    <x v="7"/>
    <x v="44"/>
    <x v="35"/>
    <x v="47"/>
    <x v="46"/>
    <x v="8"/>
    <x v="8"/>
    <x v="5"/>
    <x v="42"/>
    <x v="36"/>
    <x v="46"/>
    <x v="47"/>
    <x v="8"/>
    <x v="8"/>
    <x v="8"/>
    <x v="38"/>
    <x v="0"/>
    <x v="46"/>
    <x v="42"/>
    <x v="1"/>
    <x v="1"/>
    <x v="8"/>
    <x v="35"/>
    <x v="0"/>
    <x v="42"/>
    <x v="9"/>
    <x v="1"/>
    <x v="1"/>
    <x v="1"/>
    <x v="1"/>
    <x v="1"/>
    <x v="26"/>
    <x v="0"/>
    <x v="47"/>
  </r>
  <r>
    <x v="48"/>
    <x v="0"/>
    <x v="47"/>
    <x v="9"/>
    <x v="9"/>
    <x v="8"/>
    <x v="45"/>
    <x v="41"/>
    <x v="48"/>
    <x v="47"/>
    <x v="9"/>
    <x v="9"/>
    <x v="1"/>
    <x v="43"/>
    <x v="40"/>
    <x v="47"/>
    <x v="48"/>
    <x v="9"/>
    <x v="8"/>
    <x v="9"/>
    <x v="39"/>
    <x v="0"/>
    <x v="47"/>
    <x v="43"/>
    <x v="3"/>
    <x v="1"/>
    <x v="9"/>
    <x v="36"/>
    <x v="0"/>
    <x v="43"/>
    <x v="9"/>
    <x v="1"/>
    <x v="1"/>
    <x v="1"/>
    <x v="1"/>
    <x v="1"/>
    <x v="26"/>
    <x v="0"/>
    <x v="48"/>
  </r>
  <r>
    <x v="49"/>
    <x v="0"/>
    <x v="48"/>
    <x v="10"/>
    <x v="10"/>
    <x v="9"/>
    <x v="46"/>
    <x v="42"/>
    <x v="49"/>
    <x v="48"/>
    <x v="10"/>
    <x v="10"/>
    <x v="1"/>
    <x v="44"/>
    <x v="41"/>
    <x v="48"/>
    <x v="49"/>
    <x v="10"/>
    <x v="9"/>
    <x v="10"/>
    <x v="40"/>
    <x v="0"/>
    <x v="48"/>
    <x v="44"/>
    <x v="1"/>
    <x v="1"/>
    <x v="10"/>
    <x v="32"/>
    <x v="0"/>
    <x v="44"/>
    <x v="9"/>
    <x v="1"/>
    <x v="1"/>
    <x v="1"/>
    <x v="1"/>
    <x v="1"/>
    <x v="26"/>
    <x v="0"/>
    <x v="49"/>
  </r>
  <r>
    <x v="50"/>
    <x v="0"/>
    <x v="49"/>
    <x v="11"/>
    <x v="11"/>
    <x v="10"/>
    <x v="47"/>
    <x v="43"/>
    <x v="50"/>
    <x v="49"/>
    <x v="11"/>
    <x v="11"/>
    <x v="6"/>
    <x v="45"/>
    <x v="42"/>
    <x v="49"/>
    <x v="50"/>
    <x v="11"/>
    <x v="10"/>
    <x v="11"/>
    <x v="41"/>
    <x v="0"/>
    <x v="9"/>
    <x v="45"/>
    <x v="1"/>
    <x v="1"/>
    <x v="1"/>
    <x v="37"/>
    <x v="0"/>
    <x v="45"/>
    <x v="9"/>
    <x v="1"/>
    <x v="1"/>
    <x v="1"/>
    <x v="1"/>
    <x v="1"/>
    <x v="26"/>
    <x v="0"/>
    <x v="50"/>
  </r>
  <r>
    <x v="51"/>
    <x v="0"/>
    <x v="50"/>
    <x v="12"/>
    <x v="12"/>
    <x v="11"/>
    <x v="48"/>
    <x v="44"/>
    <x v="51"/>
    <x v="50"/>
    <x v="12"/>
    <x v="12"/>
    <x v="7"/>
    <x v="46"/>
    <x v="43"/>
    <x v="50"/>
    <x v="51"/>
    <x v="10"/>
    <x v="11"/>
    <x v="12"/>
    <x v="42"/>
    <x v="0"/>
    <x v="49"/>
    <x v="46"/>
    <x v="1"/>
    <x v="1"/>
    <x v="1"/>
    <x v="38"/>
    <x v="0"/>
    <x v="46"/>
    <x v="9"/>
    <x v="1"/>
    <x v="1"/>
    <x v="1"/>
    <x v="1"/>
    <x v="1"/>
    <x v="26"/>
    <x v="0"/>
    <x v="51"/>
  </r>
  <r>
    <x v="52"/>
    <x v="1"/>
    <x v="51"/>
    <x v="0"/>
    <x v="0"/>
    <x v="0"/>
    <x v="49"/>
    <x v="1"/>
    <x v="52"/>
    <x v="51"/>
    <x v="13"/>
    <x v="13"/>
    <x v="1"/>
    <x v="1"/>
    <x v="15"/>
    <x v="51"/>
    <x v="52"/>
    <x v="0"/>
    <x v="0"/>
    <x v="0"/>
    <x v="43"/>
    <x v="1"/>
    <x v="50"/>
    <x v="47"/>
    <x v="1"/>
    <x v="1"/>
    <x v="1"/>
    <x v="16"/>
    <x v="0"/>
    <x v="47"/>
    <x v="9"/>
    <x v="1"/>
    <x v="1"/>
    <x v="1"/>
    <x v="1"/>
    <x v="1"/>
    <x v="26"/>
    <x v="0"/>
    <x v="52"/>
  </r>
  <r>
    <x v="53"/>
    <x v="1"/>
    <x v="52"/>
    <x v="13"/>
    <x v="13"/>
    <x v="12"/>
    <x v="50"/>
    <x v="45"/>
    <x v="53"/>
    <x v="52"/>
    <x v="14"/>
    <x v="14"/>
    <x v="2"/>
    <x v="47"/>
    <x v="44"/>
    <x v="52"/>
    <x v="53"/>
    <x v="12"/>
    <x v="12"/>
    <x v="13"/>
    <x v="44"/>
    <x v="0"/>
    <x v="51"/>
    <x v="48"/>
    <x v="1"/>
    <x v="1"/>
    <x v="1"/>
    <x v="27"/>
    <x v="0"/>
    <x v="48"/>
    <x v="26"/>
    <x v="1"/>
    <x v="1"/>
    <x v="1"/>
    <x v="1"/>
    <x v="1"/>
    <x v="31"/>
    <x v="0"/>
    <x v="1"/>
  </r>
  <r>
    <x v="54"/>
    <x v="1"/>
    <x v="53"/>
    <x v="14"/>
    <x v="14"/>
    <x v="13"/>
    <x v="51"/>
    <x v="46"/>
    <x v="54"/>
    <x v="53"/>
    <x v="15"/>
    <x v="15"/>
    <x v="2"/>
    <x v="48"/>
    <x v="43"/>
    <x v="53"/>
    <x v="54"/>
    <x v="12"/>
    <x v="13"/>
    <x v="14"/>
    <x v="45"/>
    <x v="5"/>
    <x v="52"/>
    <x v="49"/>
    <x v="1"/>
    <x v="1"/>
    <x v="1"/>
    <x v="39"/>
    <x v="5"/>
    <x v="49"/>
    <x v="32"/>
    <x v="2"/>
    <x v="1"/>
    <x v="1"/>
    <x v="20"/>
    <x v="1"/>
    <x v="37"/>
    <x v="0"/>
    <x v="2"/>
  </r>
  <r>
    <x v="55"/>
    <x v="1"/>
    <x v="54"/>
    <x v="15"/>
    <x v="15"/>
    <x v="14"/>
    <x v="24"/>
    <x v="47"/>
    <x v="53"/>
    <x v="54"/>
    <x v="16"/>
    <x v="16"/>
    <x v="8"/>
    <x v="49"/>
    <x v="45"/>
    <x v="54"/>
    <x v="55"/>
    <x v="13"/>
    <x v="14"/>
    <x v="15"/>
    <x v="46"/>
    <x v="0"/>
    <x v="53"/>
    <x v="50"/>
    <x v="4"/>
    <x v="1"/>
    <x v="11"/>
    <x v="40"/>
    <x v="0"/>
    <x v="50"/>
    <x v="33"/>
    <x v="2"/>
    <x v="1"/>
    <x v="1"/>
    <x v="21"/>
    <x v="1"/>
    <x v="38"/>
    <x v="0"/>
    <x v="3"/>
  </r>
  <r>
    <x v="56"/>
    <x v="1"/>
    <x v="55"/>
    <x v="16"/>
    <x v="16"/>
    <x v="15"/>
    <x v="52"/>
    <x v="48"/>
    <x v="55"/>
    <x v="55"/>
    <x v="17"/>
    <x v="17"/>
    <x v="9"/>
    <x v="50"/>
    <x v="46"/>
    <x v="55"/>
    <x v="41"/>
    <x v="14"/>
    <x v="2"/>
    <x v="16"/>
    <x v="47"/>
    <x v="0"/>
    <x v="54"/>
    <x v="51"/>
    <x v="5"/>
    <x v="2"/>
    <x v="9"/>
    <x v="27"/>
    <x v="0"/>
    <x v="51"/>
    <x v="20"/>
    <x v="3"/>
    <x v="1"/>
    <x v="1"/>
    <x v="22"/>
    <x v="2"/>
    <x v="39"/>
    <x v="0"/>
    <x v="4"/>
  </r>
  <r>
    <x v="57"/>
    <x v="1"/>
    <x v="56"/>
    <x v="17"/>
    <x v="17"/>
    <x v="16"/>
    <x v="53"/>
    <x v="49"/>
    <x v="56"/>
    <x v="56"/>
    <x v="18"/>
    <x v="18"/>
    <x v="1"/>
    <x v="51"/>
    <x v="45"/>
    <x v="56"/>
    <x v="56"/>
    <x v="15"/>
    <x v="11"/>
    <x v="17"/>
    <x v="48"/>
    <x v="0"/>
    <x v="55"/>
    <x v="52"/>
    <x v="6"/>
    <x v="2"/>
    <x v="12"/>
    <x v="41"/>
    <x v="0"/>
    <x v="52"/>
    <x v="34"/>
    <x v="2"/>
    <x v="2"/>
    <x v="1"/>
    <x v="23"/>
    <x v="3"/>
    <x v="40"/>
    <x v="0"/>
    <x v="5"/>
  </r>
  <r>
    <x v="58"/>
    <x v="1"/>
    <x v="57"/>
    <x v="18"/>
    <x v="18"/>
    <x v="17"/>
    <x v="54"/>
    <x v="50"/>
    <x v="57"/>
    <x v="56"/>
    <x v="19"/>
    <x v="19"/>
    <x v="10"/>
    <x v="52"/>
    <x v="47"/>
    <x v="57"/>
    <x v="57"/>
    <x v="16"/>
    <x v="15"/>
    <x v="18"/>
    <x v="19"/>
    <x v="0"/>
    <x v="56"/>
    <x v="53"/>
    <x v="7"/>
    <x v="1"/>
    <x v="13"/>
    <x v="14"/>
    <x v="0"/>
    <x v="53"/>
    <x v="35"/>
    <x v="4"/>
    <x v="3"/>
    <x v="1"/>
    <x v="24"/>
    <x v="4"/>
    <x v="41"/>
    <x v="0"/>
    <x v="6"/>
  </r>
  <r>
    <x v="59"/>
    <x v="1"/>
    <x v="58"/>
    <x v="19"/>
    <x v="19"/>
    <x v="18"/>
    <x v="55"/>
    <x v="51"/>
    <x v="58"/>
    <x v="57"/>
    <x v="20"/>
    <x v="20"/>
    <x v="11"/>
    <x v="53"/>
    <x v="48"/>
    <x v="58"/>
    <x v="58"/>
    <x v="17"/>
    <x v="16"/>
    <x v="19"/>
    <x v="49"/>
    <x v="0"/>
    <x v="57"/>
    <x v="54"/>
    <x v="8"/>
    <x v="3"/>
    <x v="14"/>
    <x v="42"/>
    <x v="0"/>
    <x v="54"/>
    <x v="20"/>
    <x v="5"/>
    <x v="4"/>
    <x v="1"/>
    <x v="25"/>
    <x v="4"/>
    <x v="42"/>
    <x v="0"/>
    <x v="7"/>
  </r>
  <r>
    <x v="60"/>
    <x v="1"/>
    <x v="59"/>
    <x v="20"/>
    <x v="20"/>
    <x v="19"/>
    <x v="56"/>
    <x v="52"/>
    <x v="59"/>
    <x v="58"/>
    <x v="21"/>
    <x v="21"/>
    <x v="12"/>
    <x v="54"/>
    <x v="49"/>
    <x v="59"/>
    <x v="59"/>
    <x v="18"/>
    <x v="17"/>
    <x v="20"/>
    <x v="50"/>
    <x v="0"/>
    <x v="58"/>
    <x v="55"/>
    <x v="9"/>
    <x v="4"/>
    <x v="15"/>
    <x v="43"/>
    <x v="0"/>
    <x v="55"/>
    <x v="36"/>
    <x v="6"/>
    <x v="5"/>
    <x v="1"/>
    <x v="26"/>
    <x v="5"/>
    <x v="43"/>
    <x v="0"/>
    <x v="8"/>
  </r>
  <r>
    <x v="61"/>
    <x v="1"/>
    <x v="60"/>
    <x v="21"/>
    <x v="21"/>
    <x v="20"/>
    <x v="57"/>
    <x v="53"/>
    <x v="60"/>
    <x v="56"/>
    <x v="22"/>
    <x v="22"/>
    <x v="13"/>
    <x v="55"/>
    <x v="50"/>
    <x v="60"/>
    <x v="60"/>
    <x v="19"/>
    <x v="18"/>
    <x v="21"/>
    <x v="51"/>
    <x v="0"/>
    <x v="59"/>
    <x v="56"/>
    <x v="10"/>
    <x v="1"/>
    <x v="1"/>
    <x v="44"/>
    <x v="0"/>
    <x v="56"/>
    <x v="37"/>
    <x v="7"/>
    <x v="6"/>
    <x v="1"/>
    <x v="27"/>
    <x v="6"/>
    <x v="44"/>
    <x v="0"/>
    <x v="9"/>
  </r>
  <r>
    <x v="62"/>
    <x v="1"/>
    <x v="61"/>
    <x v="22"/>
    <x v="22"/>
    <x v="21"/>
    <x v="58"/>
    <x v="54"/>
    <x v="61"/>
    <x v="59"/>
    <x v="23"/>
    <x v="23"/>
    <x v="14"/>
    <x v="56"/>
    <x v="51"/>
    <x v="61"/>
    <x v="61"/>
    <x v="16"/>
    <x v="19"/>
    <x v="22"/>
    <x v="52"/>
    <x v="0"/>
    <x v="60"/>
    <x v="57"/>
    <x v="11"/>
    <x v="1"/>
    <x v="1"/>
    <x v="45"/>
    <x v="0"/>
    <x v="57"/>
    <x v="38"/>
    <x v="8"/>
    <x v="1"/>
    <x v="1"/>
    <x v="28"/>
    <x v="7"/>
    <x v="45"/>
    <x v="0"/>
    <x v="10"/>
  </r>
  <r>
    <x v="63"/>
    <x v="1"/>
    <x v="62"/>
    <x v="23"/>
    <x v="23"/>
    <x v="22"/>
    <x v="59"/>
    <x v="55"/>
    <x v="62"/>
    <x v="60"/>
    <x v="24"/>
    <x v="24"/>
    <x v="2"/>
    <x v="57"/>
    <x v="52"/>
    <x v="62"/>
    <x v="62"/>
    <x v="20"/>
    <x v="20"/>
    <x v="23"/>
    <x v="53"/>
    <x v="0"/>
    <x v="61"/>
    <x v="32"/>
    <x v="12"/>
    <x v="1"/>
    <x v="1"/>
    <x v="4"/>
    <x v="0"/>
    <x v="58"/>
    <x v="39"/>
    <x v="9"/>
    <x v="1"/>
    <x v="1"/>
    <x v="29"/>
    <x v="8"/>
    <x v="46"/>
    <x v="0"/>
    <x v="11"/>
  </r>
  <r>
    <x v="64"/>
    <x v="1"/>
    <x v="63"/>
    <x v="24"/>
    <x v="24"/>
    <x v="23"/>
    <x v="60"/>
    <x v="56"/>
    <x v="63"/>
    <x v="61"/>
    <x v="25"/>
    <x v="25"/>
    <x v="15"/>
    <x v="58"/>
    <x v="53"/>
    <x v="63"/>
    <x v="63"/>
    <x v="21"/>
    <x v="21"/>
    <x v="18"/>
    <x v="54"/>
    <x v="0"/>
    <x v="62"/>
    <x v="58"/>
    <x v="13"/>
    <x v="1"/>
    <x v="16"/>
    <x v="7"/>
    <x v="0"/>
    <x v="59"/>
    <x v="40"/>
    <x v="10"/>
    <x v="1"/>
    <x v="1"/>
    <x v="30"/>
    <x v="9"/>
    <x v="47"/>
    <x v="0"/>
    <x v="12"/>
  </r>
  <r>
    <x v="65"/>
    <x v="1"/>
    <x v="64"/>
    <x v="25"/>
    <x v="0"/>
    <x v="0"/>
    <x v="61"/>
    <x v="57"/>
    <x v="64"/>
    <x v="51"/>
    <x v="13"/>
    <x v="13"/>
    <x v="1"/>
    <x v="1"/>
    <x v="54"/>
    <x v="64"/>
    <x v="64"/>
    <x v="22"/>
    <x v="2"/>
    <x v="24"/>
    <x v="13"/>
    <x v="0"/>
    <x v="63"/>
    <x v="59"/>
    <x v="5"/>
    <x v="1"/>
    <x v="1"/>
    <x v="16"/>
    <x v="0"/>
    <x v="23"/>
    <x v="1"/>
    <x v="11"/>
    <x v="1"/>
    <x v="1"/>
    <x v="31"/>
    <x v="10"/>
    <x v="48"/>
    <x v="0"/>
    <x v="13"/>
  </r>
  <r>
    <x v="66"/>
    <x v="1"/>
    <x v="65"/>
    <x v="26"/>
    <x v="25"/>
    <x v="4"/>
    <x v="62"/>
    <x v="58"/>
    <x v="65"/>
    <x v="62"/>
    <x v="26"/>
    <x v="26"/>
    <x v="16"/>
    <x v="59"/>
    <x v="55"/>
    <x v="65"/>
    <x v="65"/>
    <x v="23"/>
    <x v="22"/>
    <x v="25"/>
    <x v="55"/>
    <x v="0"/>
    <x v="64"/>
    <x v="60"/>
    <x v="8"/>
    <x v="1"/>
    <x v="17"/>
    <x v="46"/>
    <x v="0"/>
    <x v="60"/>
    <x v="41"/>
    <x v="12"/>
    <x v="1"/>
    <x v="1"/>
    <x v="32"/>
    <x v="11"/>
    <x v="49"/>
    <x v="1"/>
    <x v="14"/>
  </r>
  <r>
    <x v="67"/>
    <x v="1"/>
    <x v="14"/>
    <x v="27"/>
    <x v="26"/>
    <x v="24"/>
    <x v="63"/>
    <x v="59"/>
    <x v="66"/>
    <x v="63"/>
    <x v="27"/>
    <x v="27"/>
    <x v="17"/>
    <x v="60"/>
    <x v="56"/>
    <x v="66"/>
    <x v="66"/>
    <x v="24"/>
    <x v="23"/>
    <x v="26"/>
    <x v="56"/>
    <x v="0"/>
    <x v="65"/>
    <x v="61"/>
    <x v="14"/>
    <x v="1"/>
    <x v="18"/>
    <x v="47"/>
    <x v="0"/>
    <x v="61"/>
    <x v="42"/>
    <x v="13"/>
    <x v="7"/>
    <x v="1"/>
    <x v="1"/>
    <x v="12"/>
    <x v="50"/>
    <x v="2"/>
    <x v="15"/>
  </r>
  <r>
    <x v="68"/>
    <x v="1"/>
    <x v="66"/>
    <x v="28"/>
    <x v="27"/>
    <x v="25"/>
    <x v="19"/>
    <x v="60"/>
    <x v="67"/>
    <x v="64"/>
    <x v="28"/>
    <x v="28"/>
    <x v="18"/>
    <x v="61"/>
    <x v="57"/>
    <x v="67"/>
    <x v="67"/>
    <x v="25"/>
    <x v="24"/>
    <x v="27"/>
    <x v="9"/>
    <x v="0"/>
    <x v="66"/>
    <x v="62"/>
    <x v="15"/>
    <x v="1"/>
    <x v="19"/>
    <x v="48"/>
    <x v="0"/>
    <x v="59"/>
    <x v="34"/>
    <x v="14"/>
    <x v="8"/>
    <x v="1"/>
    <x v="2"/>
    <x v="13"/>
    <x v="51"/>
    <x v="3"/>
    <x v="16"/>
  </r>
  <r>
    <x v="69"/>
    <x v="1"/>
    <x v="67"/>
    <x v="29"/>
    <x v="28"/>
    <x v="26"/>
    <x v="64"/>
    <x v="61"/>
    <x v="68"/>
    <x v="65"/>
    <x v="29"/>
    <x v="27"/>
    <x v="19"/>
    <x v="62"/>
    <x v="58"/>
    <x v="68"/>
    <x v="66"/>
    <x v="26"/>
    <x v="25"/>
    <x v="28"/>
    <x v="57"/>
    <x v="0"/>
    <x v="67"/>
    <x v="63"/>
    <x v="1"/>
    <x v="1"/>
    <x v="20"/>
    <x v="20"/>
    <x v="0"/>
    <x v="62"/>
    <x v="34"/>
    <x v="15"/>
    <x v="9"/>
    <x v="1"/>
    <x v="33"/>
    <x v="14"/>
    <x v="52"/>
    <x v="4"/>
    <x v="17"/>
  </r>
  <r>
    <x v="70"/>
    <x v="1"/>
    <x v="68"/>
    <x v="30"/>
    <x v="29"/>
    <x v="27"/>
    <x v="65"/>
    <x v="62"/>
    <x v="69"/>
    <x v="66"/>
    <x v="30"/>
    <x v="29"/>
    <x v="20"/>
    <x v="63"/>
    <x v="59"/>
    <x v="69"/>
    <x v="68"/>
    <x v="27"/>
    <x v="26"/>
    <x v="17"/>
    <x v="18"/>
    <x v="0"/>
    <x v="68"/>
    <x v="64"/>
    <x v="1"/>
    <x v="1"/>
    <x v="7"/>
    <x v="49"/>
    <x v="0"/>
    <x v="63"/>
    <x v="43"/>
    <x v="15"/>
    <x v="1"/>
    <x v="1"/>
    <x v="34"/>
    <x v="15"/>
    <x v="47"/>
    <x v="5"/>
    <x v="18"/>
  </r>
  <r>
    <x v="71"/>
    <x v="1"/>
    <x v="68"/>
    <x v="30"/>
    <x v="29"/>
    <x v="27"/>
    <x v="65"/>
    <x v="62"/>
    <x v="69"/>
    <x v="66"/>
    <x v="30"/>
    <x v="29"/>
    <x v="20"/>
    <x v="63"/>
    <x v="59"/>
    <x v="69"/>
    <x v="68"/>
    <x v="27"/>
    <x v="26"/>
    <x v="17"/>
    <x v="18"/>
    <x v="0"/>
    <x v="68"/>
    <x v="64"/>
    <x v="1"/>
    <x v="1"/>
    <x v="7"/>
    <x v="49"/>
    <x v="0"/>
    <x v="63"/>
    <x v="43"/>
    <x v="15"/>
    <x v="1"/>
    <x v="1"/>
    <x v="34"/>
    <x v="15"/>
    <x v="47"/>
    <x v="5"/>
    <x v="19"/>
  </r>
  <r>
    <x v="72"/>
    <x v="1"/>
    <x v="69"/>
    <x v="0"/>
    <x v="30"/>
    <x v="0"/>
    <x v="49"/>
    <x v="1"/>
    <x v="70"/>
    <x v="67"/>
    <x v="13"/>
    <x v="13"/>
    <x v="1"/>
    <x v="1"/>
    <x v="15"/>
    <x v="70"/>
    <x v="69"/>
    <x v="28"/>
    <x v="27"/>
    <x v="24"/>
    <x v="13"/>
    <x v="0"/>
    <x v="69"/>
    <x v="65"/>
    <x v="1"/>
    <x v="1"/>
    <x v="1"/>
    <x v="16"/>
    <x v="0"/>
    <x v="64"/>
    <x v="44"/>
    <x v="1"/>
    <x v="1"/>
    <x v="1"/>
    <x v="1"/>
    <x v="1"/>
    <x v="53"/>
    <x v="6"/>
    <x v="20"/>
  </r>
  <r>
    <x v="73"/>
    <x v="1"/>
    <x v="70"/>
    <x v="31"/>
    <x v="27"/>
    <x v="28"/>
    <x v="52"/>
    <x v="63"/>
    <x v="71"/>
    <x v="68"/>
    <x v="27"/>
    <x v="30"/>
    <x v="21"/>
    <x v="50"/>
    <x v="60"/>
    <x v="71"/>
    <x v="70"/>
    <x v="24"/>
    <x v="28"/>
    <x v="29"/>
    <x v="58"/>
    <x v="6"/>
    <x v="70"/>
    <x v="66"/>
    <x v="14"/>
    <x v="1"/>
    <x v="21"/>
    <x v="50"/>
    <x v="6"/>
    <x v="65"/>
    <x v="40"/>
    <x v="16"/>
    <x v="10"/>
    <x v="1"/>
    <x v="9"/>
    <x v="16"/>
    <x v="54"/>
    <x v="7"/>
    <x v="21"/>
  </r>
  <r>
    <x v="74"/>
    <x v="1"/>
    <x v="71"/>
    <x v="32"/>
    <x v="31"/>
    <x v="28"/>
    <x v="66"/>
    <x v="64"/>
    <x v="72"/>
    <x v="69"/>
    <x v="31"/>
    <x v="14"/>
    <x v="21"/>
    <x v="13"/>
    <x v="61"/>
    <x v="72"/>
    <x v="71"/>
    <x v="9"/>
    <x v="29"/>
    <x v="29"/>
    <x v="59"/>
    <x v="0"/>
    <x v="71"/>
    <x v="67"/>
    <x v="16"/>
    <x v="1"/>
    <x v="21"/>
    <x v="37"/>
    <x v="6"/>
    <x v="66"/>
    <x v="33"/>
    <x v="1"/>
    <x v="11"/>
    <x v="1"/>
    <x v="3"/>
    <x v="17"/>
    <x v="55"/>
    <x v="8"/>
    <x v="22"/>
  </r>
  <r>
    <x v="75"/>
    <x v="1"/>
    <x v="72"/>
    <x v="33"/>
    <x v="32"/>
    <x v="29"/>
    <x v="67"/>
    <x v="65"/>
    <x v="73"/>
    <x v="70"/>
    <x v="32"/>
    <x v="31"/>
    <x v="1"/>
    <x v="64"/>
    <x v="62"/>
    <x v="73"/>
    <x v="72"/>
    <x v="29"/>
    <x v="2"/>
    <x v="30"/>
    <x v="60"/>
    <x v="0"/>
    <x v="72"/>
    <x v="68"/>
    <x v="17"/>
    <x v="5"/>
    <x v="1"/>
    <x v="51"/>
    <x v="5"/>
    <x v="67"/>
    <x v="42"/>
    <x v="15"/>
    <x v="12"/>
    <x v="1"/>
    <x v="34"/>
    <x v="17"/>
    <x v="56"/>
    <x v="9"/>
    <x v="23"/>
  </r>
  <r>
    <x v="76"/>
    <x v="1"/>
    <x v="73"/>
    <x v="34"/>
    <x v="33"/>
    <x v="30"/>
    <x v="68"/>
    <x v="66"/>
    <x v="74"/>
    <x v="57"/>
    <x v="33"/>
    <x v="32"/>
    <x v="1"/>
    <x v="65"/>
    <x v="63"/>
    <x v="74"/>
    <x v="73"/>
    <x v="10"/>
    <x v="30"/>
    <x v="31"/>
    <x v="61"/>
    <x v="0"/>
    <x v="73"/>
    <x v="69"/>
    <x v="18"/>
    <x v="6"/>
    <x v="1"/>
    <x v="52"/>
    <x v="5"/>
    <x v="68"/>
    <x v="45"/>
    <x v="1"/>
    <x v="1"/>
    <x v="1"/>
    <x v="30"/>
    <x v="18"/>
    <x v="57"/>
    <x v="10"/>
    <x v="24"/>
  </r>
  <r>
    <x v="77"/>
    <x v="1"/>
    <x v="74"/>
    <x v="35"/>
    <x v="34"/>
    <x v="31"/>
    <x v="69"/>
    <x v="67"/>
    <x v="75"/>
    <x v="71"/>
    <x v="34"/>
    <x v="33"/>
    <x v="1"/>
    <x v="66"/>
    <x v="64"/>
    <x v="75"/>
    <x v="74"/>
    <x v="30"/>
    <x v="31"/>
    <x v="32"/>
    <x v="62"/>
    <x v="0"/>
    <x v="74"/>
    <x v="70"/>
    <x v="18"/>
    <x v="1"/>
    <x v="1"/>
    <x v="7"/>
    <x v="0"/>
    <x v="69"/>
    <x v="33"/>
    <x v="1"/>
    <x v="1"/>
    <x v="1"/>
    <x v="16"/>
    <x v="15"/>
    <x v="58"/>
    <x v="11"/>
    <x v="25"/>
  </r>
  <r>
    <x v="78"/>
    <x v="1"/>
    <x v="65"/>
    <x v="36"/>
    <x v="35"/>
    <x v="32"/>
    <x v="70"/>
    <x v="68"/>
    <x v="76"/>
    <x v="55"/>
    <x v="35"/>
    <x v="34"/>
    <x v="1"/>
    <x v="49"/>
    <x v="65"/>
    <x v="76"/>
    <x v="75"/>
    <x v="31"/>
    <x v="32"/>
    <x v="33"/>
    <x v="63"/>
    <x v="0"/>
    <x v="75"/>
    <x v="71"/>
    <x v="19"/>
    <x v="1"/>
    <x v="1"/>
    <x v="53"/>
    <x v="0"/>
    <x v="70"/>
    <x v="42"/>
    <x v="1"/>
    <x v="13"/>
    <x v="1"/>
    <x v="1"/>
    <x v="1"/>
    <x v="59"/>
    <x v="12"/>
    <x v="26"/>
  </r>
  <r>
    <x v="79"/>
    <x v="1"/>
    <x v="75"/>
    <x v="37"/>
    <x v="36"/>
    <x v="33"/>
    <x v="71"/>
    <x v="69"/>
    <x v="77"/>
    <x v="61"/>
    <x v="36"/>
    <x v="35"/>
    <x v="22"/>
    <x v="67"/>
    <x v="66"/>
    <x v="77"/>
    <x v="76"/>
    <x v="32"/>
    <x v="33"/>
    <x v="34"/>
    <x v="64"/>
    <x v="0"/>
    <x v="76"/>
    <x v="72"/>
    <x v="20"/>
    <x v="1"/>
    <x v="1"/>
    <x v="54"/>
    <x v="0"/>
    <x v="71"/>
    <x v="46"/>
    <x v="1"/>
    <x v="13"/>
    <x v="1"/>
    <x v="1"/>
    <x v="1"/>
    <x v="25"/>
    <x v="12"/>
    <x v="27"/>
  </r>
  <r>
    <x v="80"/>
    <x v="1"/>
    <x v="76"/>
    <x v="38"/>
    <x v="37"/>
    <x v="34"/>
    <x v="72"/>
    <x v="70"/>
    <x v="78"/>
    <x v="72"/>
    <x v="12"/>
    <x v="36"/>
    <x v="12"/>
    <x v="68"/>
    <x v="67"/>
    <x v="78"/>
    <x v="77"/>
    <x v="33"/>
    <x v="34"/>
    <x v="35"/>
    <x v="65"/>
    <x v="0"/>
    <x v="77"/>
    <x v="73"/>
    <x v="21"/>
    <x v="1"/>
    <x v="22"/>
    <x v="55"/>
    <x v="0"/>
    <x v="72"/>
    <x v="47"/>
    <x v="1"/>
    <x v="1"/>
    <x v="1"/>
    <x v="1"/>
    <x v="1"/>
    <x v="60"/>
    <x v="13"/>
    <x v="28"/>
  </r>
  <r>
    <x v="81"/>
    <x v="1"/>
    <x v="77"/>
    <x v="39"/>
    <x v="38"/>
    <x v="35"/>
    <x v="73"/>
    <x v="71"/>
    <x v="79"/>
    <x v="71"/>
    <x v="37"/>
    <x v="37"/>
    <x v="23"/>
    <x v="69"/>
    <x v="68"/>
    <x v="79"/>
    <x v="78"/>
    <x v="11"/>
    <x v="35"/>
    <x v="36"/>
    <x v="66"/>
    <x v="0"/>
    <x v="78"/>
    <x v="52"/>
    <x v="22"/>
    <x v="1"/>
    <x v="23"/>
    <x v="56"/>
    <x v="0"/>
    <x v="73"/>
    <x v="48"/>
    <x v="17"/>
    <x v="13"/>
    <x v="1"/>
    <x v="26"/>
    <x v="1"/>
    <x v="61"/>
    <x v="14"/>
    <x v="29"/>
  </r>
  <r>
    <x v="82"/>
    <x v="1"/>
    <x v="78"/>
    <x v="40"/>
    <x v="39"/>
    <x v="36"/>
    <x v="74"/>
    <x v="72"/>
    <x v="80"/>
    <x v="73"/>
    <x v="38"/>
    <x v="38"/>
    <x v="1"/>
    <x v="70"/>
    <x v="69"/>
    <x v="80"/>
    <x v="79"/>
    <x v="28"/>
    <x v="36"/>
    <x v="37"/>
    <x v="67"/>
    <x v="1"/>
    <x v="79"/>
    <x v="74"/>
    <x v="23"/>
    <x v="7"/>
    <x v="24"/>
    <x v="57"/>
    <x v="7"/>
    <x v="74"/>
    <x v="49"/>
    <x v="18"/>
    <x v="1"/>
    <x v="1"/>
    <x v="1"/>
    <x v="1"/>
    <x v="62"/>
    <x v="15"/>
    <x v="30"/>
  </r>
  <r>
    <x v="83"/>
    <x v="1"/>
    <x v="79"/>
    <x v="41"/>
    <x v="40"/>
    <x v="37"/>
    <x v="1"/>
    <x v="73"/>
    <x v="81"/>
    <x v="74"/>
    <x v="39"/>
    <x v="13"/>
    <x v="1"/>
    <x v="71"/>
    <x v="70"/>
    <x v="81"/>
    <x v="49"/>
    <x v="28"/>
    <x v="37"/>
    <x v="24"/>
    <x v="1"/>
    <x v="0"/>
    <x v="80"/>
    <x v="1"/>
    <x v="1"/>
    <x v="1"/>
    <x v="25"/>
    <x v="16"/>
    <x v="0"/>
    <x v="75"/>
    <x v="1"/>
    <x v="1"/>
    <x v="1"/>
    <x v="1"/>
    <x v="1"/>
    <x v="1"/>
    <x v="1"/>
    <x v="16"/>
    <x v="31"/>
  </r>
  <r>
    <x v="84"/>
    <x v="1"/>
    <x v="80"/>
    <x v="42"/>
    <x v="41"/>
    <x v="38"/>
    <x v="75"/>
    <x v="74"/>
    <x v="82"/>
    <x v="57"/>
    <x v="40"/>
    <x v="39"/>
    <x v="1"/>
    <x v="72"/>
    <x v="71"/>
    <x v="82"/>
    <x v="80"/>
    <x v="10"/>
    <x v="38"/>
    <x v="20"/>
    <x v="68"/>
    <x v="0"/>
    <x v="81"/>
    <x v="69"/>
    <x v="5"/>
    <x v="1"/>
    <x v="15"/>
    <x v="58"/>
    <x v="8"/>
    <x v="76"/>
    <x v="50"/>
    <x v="18"/>
    <x v="14"/>
    <x v="1"/>
    <x v="1"/>
    <x v="1"/>
    <x v="63"/>
    <x v="17"/>
    <x v="32"/>
  </r>
  <r>
    <x v="85"/>
    <x v="1"/>
    <x v="81"/>
    <x v="43"/>
    <x v="42"/>
    <x v="39"/>
    <x v="42"/>
    <x v="75"/>
    <x v="83"/>
    <x v="75"/>
    <x v="41"/>
    <x v="40"/>
    <x v="9"/>
    <x v="73"/>
    <x v="72"/>
    <x v="83"/>
    <x v="52"/>
    <x v="11"/>
    <x v="39"/>
    <x v="38"/>
    <x v="39"/>
    <x v="0"/>
    <x v="82"/>
    <x v="75"/>
    <x v="24"/>
    <x v="2"/>
    <x v="26"/>
    <x v="59"/>
    <x v="8"/>
    <x v="77"/>
    <x v="39"/>
    <x v="19"/>
    <x v="1"/>
    <x v="1"/>
    <x v="1"/>
    <x v="1"/>
    <x v="64"/>
    <x v="18"/>
    <x v="33"/>
  </r>
  <r>
    <x v="86"/>
    <x v="1"/>
    <x v="82"/>
    <x v="44"/>
    <x v="43"/>
    <x v="40"/>
    <x v="76"/>
    <x v="76"/>
    <x v="84"/>
    <x v="76"/>
    <x v="42"/>
    <x v="41"/>
    <x v="24"/>
    <x v="74"/>
    <x v="73"/>
    <x v="84"/>
    <x v="40"/>
    <x v="34"/>
    <x v="40"/>
    <x v="39"/>
    <x v="39"/>
    <x v="0"/>
    <x v="83"/>
    <x v="36"/>
    <x v="25"/>
    <x v="8"/>
    <x v="27"/>
    <x v="60"/>
    <x v="8"/>
    <x v="78"/>
    <x v="24"/>
    <x v="18"/>
    <x v="11"/>
    <x v="1"/>
    <x v="1"/>
    <x v="1"/>
    <x v="65"/>
    <x v="19"/>
    <x v="34"/>
  </r>
  <r>
    <x v="87"/>
    <x v="1"/>
    <x v="83"/>
    <x v="45"/>
    <x v="44"/>
    <x v="41"/>
    <x v="77"/>
    <x v="77"/>
    <x v="85"/>
    <x v="77"/>
    <x v="43"/>
    <x v="42"/>
    <x v="25"/>
    <x v="75"/>
    <x v="74"/>
    <x v="85"/>
    <x v="81"/>
    <x v="12"/>
    <x v="41"/>
    <x v="40"/>
    <x v="69"/>
    <x v="0"/>
    <x v="84"/>
    <x v="76"/>
    <x v="26"/>
    <x v="1"/>
    <x v="28"/>
    <x v="61"/>
    <x v="8"/>
    <x v="79"/>
    <x v="51"/>
    <x v="1"/>
    <x v="11"/>
    <x v="1"/>
    <x v="1"/>
    <x v="1"/>
    <x v="66"/>
    <x v="20"/>
    <x v="35"/>
  </r>
  <r>
    <x v="88"/>
    <x v="1"/>
    <x v="84"/>
    <x v="46"/>
    <x v="45"/>
    <x v="42"/>
    <x v="78"/>
    <x v="78"/>
    <x v="86"/>
    <x v="78"/>
    <x v="20"/>
    <x v="43"/>
    <x v="26"/>
    <x v="70"/>
    <x v="75"/>
    <x v="86"/>
    <x v="42"/>
    <x v="35"/>
    <x v="42"/>
    <x v="13"/>
    <x v="70"/>
    <x v="0"/>
    <x v="85"/>
    <x v="55"/>
    <x v="4"/>
    <x v="1"/>
    <x v="29"/>
    <x v="62"/>
    <x v="8"/>
    <x v="80"/>
    <x v="51"/>
    <x v="15"/>
    <x v="1"/>
    <x v="1"/>
    <x v="1"/>
    <x v="1"/>
    <x v="67"/>
    <x v="21"/>
    <x v="36"/>
  </r>
  <r>
    <x v="89"/>
    <x v="1"/>
    <x v="85"/>
    <x v="47"/>
    <x v="46"/>
    <x v="43"/>
    <x v="79"/>
    <x v="79"/>
    <x v="87"/>
    <x v="79"/>
    <x v="44"/>
    <x v="44"/>
    <x v="5"/>
    <x v="76"/>
    <x v="76"/>
    <x v="87"/>
    <x v="82"/>
    <x v="36"/>
    <x v="43"/>
    <x v="13"/>
    <x v="71"/>
    <x v="0"/>
    <x v="86"/>
    <x v="77"/>
    <x v="1"/>
    <x v="9"/>
    <x v="7"/>
    <x v="63"/>
    <x v="0"/>
    <x v="81"/>
    <x v="52"/>
    <x v="1"/>
    <x v="1"/>
    <x v="1"/>
    <x v="1"/>
    <x v="1"/>
    <x v="68"/>
    <x v="22"/>
    <x v="37"/>
  </r>
  <r>
    <x v="90"/>
    <x v="1"/>
    <x v="86"/>
    <x v="48"/>
    <x v="47"/>
    <x v="44"/>
    <x v="80"/>
    <x v="80"/>
    <x v="88"/>
    <x v="80"/>
    <x v="45"/>
    <x v="45"/>
    <x v="5"/>
    <x v="74"/>
    <x v="77"/>
    <x v="88"/>
    <x v="83"/>
    <x v="36"/>
    <x v="44"/>
    <x v="41"/>
    <x v="72"/>
    <x v="0"/>
    <x v="87"/>
    <x v="64"/>
    <x v="27"/>
    <x v="9"/>
    <x v="30"/>
    <x v="55"/>
    <x v="9"/>
    <x v="82"/>
    <x v="53"/>
    <x v="20"/>
    <x v="1"/>
    <x v="1"/>
    <x v="1"/>
    <x v="19"/>
    <x v="69"/>
    <x v="23"/>
    <x v="38"/>
  </r>
  <r>
    <x v="91"/>
    <x v="1"/>
    <x v="87"/>
    <x v="49"/>
    <x v="48"/>
    <x v="45"/>
    <x v="23"/>
    <x v="81"/>
    <x v="89"/>
    <x v="81"/>
    <x v="46"/>
    <x v="46"/>
    <x v="1"/>
    <x v="77"/>
    <x v="78"/>
    <x v="89"/>
    <x v="84"/>
    <x v="37"/>
    <x v="45"/>
    <x v="42"/>
    <x v="73"/>
    <x v="0"/>
    <x v="88"/>
    <x v="78"/>
    <x v="6"/>
    <x v="1"/>
    <x v="31"/>
    <x v="42"/>
    <x v="0"/>
    <x v="83"/>
    <x v="54"/>
    <x v="21"/>
    <x v="15"/>
    <x v="1"/>
    <x v="1"/>
    <x v="1"/>
    <x v="70"/>
    <x v="20"/>
    <x v="39"/>
  </r>
  <r>
    <x v="92"/>
    <x v="1"/>
    <x v="88"/>
    <x v="50"/>
    <x v="49"/>
    <x v="46"/>
    <x v="81"/>
    <x v="82"/>
    <x v="90"/>
    <x v="47"/>
    <x v="47"/>
    <x v="47"/>
    <x v="1"/>
    <x v="78"/>
    <x v="79"/>
    <x v="90"/>
    <x v="47"/>
    <x v="38"/>
    <x v="46"/>
    <x v="43"/>
    <x v="74"/>
    <x v="0"/>
    <x v="89"/>
    <x v="77"/>
    <x v="1"/>
    <x v="1"/>
    <x v="15"/>
    <x v="12"/>
    <x v="0"/>
    <x v="84"/>
    <x v="55"/>
    <x v="15"/>
    <x v="16"/>
    <x v="1"/>
    <x v="1"/>
    <x v="1"/>
    <x v="71"/>
    <x v="24"/>
    <x v="40"/>
  </r>
  <r>
    <x v="93"/>
    <x v="1"/>
    <x v="89"/>
    <x v="51"/>
    <x v="50"/>
    <x v="47"/>
    <x v="82"/>
    <x v="83"/>
    <x v="91"/>
    <x v="82"/>
    <x v="48"/>
    <x v="48"/>
    <x v="1"/>
    <x v="79"/>
    <x v="80"/>
    <x v="91"/>
    <x v="85"/>
    <x v="39"/>
    <x v="47"/>
    <x v="44"/>
    <x v="75"/>
    <x v="0"/>
    <x v="90"/>
    <x v="73"/>
    <x v="28"/>
    <x v="1"/>
    <x v="1"/>
    <x v="26"/>
    <x v="0"/>
    <x v="85"/>
    <x v="1"/>
    <x v="1"/>
    <x v="6"/>
    <x v="1"/>
    <x v="1"/>
    <x v="1"/>
    <x v="72"/>
    <x v="2"/>
    <x v="41"/>
  </r>
  <r>
    <x v="94"/>
    <x v="1"/>
    <x v="90"/>
    <x v="26"/>
    <x v="51"/>
    <x v="48"/>
    <x v="83"/>
    <x v="84"/>
    <x v="92"/>
    <x v="83"/>
    <x v="46"/>
    <x v="30"/>
    <x v="1"/>
    <x v="80"/>
    <x v="81"/>
    <x v="92"/>
    <x v="86"/>
    <x v="40"/>
    <x v="48"/>
    <x v="45"/>
    <x v="35"/>
    <x v="0"/>
    <x v="91"/>
    <x v="79"/>
    <x v="29"/>
    <x v="1"/>
    <x v="1"/>
    <x v="64"/>
    <x v="0"/>
    <x v="86"/>
    <x v="56"/>
    <x v="22"/>
    <x v="1"/>
    <x v="1"/>
    <x v="35"/>
    <x v="1"/>
    <x v="73"/>
    <x v="25"/>
    <x v="42"/>
  </r>
  <r>
    <x v="95"/>
    <x v="1"/>
    <x v="91"/>
    <x v="52"/>
    <x v="52"/>
    <x v="49"/>
    <x v="84"/>
    <x v="85"/>
    <x v="93"/>
    <x v="84"/>
    <x v="49"/>
    <x v="49"/>
    <x v="1"/>
    <x v="81"/>
    <x v="82"/>
    <x v="93"/>
    <x v="81"/>
    <x v="41"/>
    <x v="49"/>
    <x v="46"/>
    <x v="76"/>
    <x v="0"/>
    <x v="92"/>
    <x v="80"/>
    <x v="30"/>
    <x v="1"/>
    <x v="31"/>
    <x v="30"/>
    <x v="0"/>
    <x v="87"/>
    <x v="33"/>
    <x v="23"/>
    <x v="1"/>
    <x v="1"/>
    <x v="11"/>
    <x v="1"/>
    <x v="74"/>
    <x v="26"/>
    <x v="43"/>
  </r>
  <r>
    <x v="96"/>
    <x v="1"/>
    <x v="92"/>
    <x v="53"/>
    <x v="53"/>
    <x v="50"/>
    <x v="85"/>
    <x v="86"/>
    <x v="94"/>
    <x v="58"/>
    <x v="50"/>
    <x v="50"/>
    <x v="1"/>
    <x v="82"/>
    <x v="83"/>
    <x v="94"/>
    <x v="45"/>
    <x v="42"/>
    <x v="50"/>
    <x v="47"/>
    <x v="77"/>
    <x v="0"/>
    <x v="93"/>
    <x v="80"/>
    <x v="31"/>
    <x v="1"/>
    <x v="29"/>
    <x v="0"/>
    <x v="0"/>
    <x v="88"/>
    <x v="41"/>
    <x v="24"/>
    <x v="1"/>
    <x v="1"/>
    <x v="29"/>
    <x v="1"/>
    <x v="75"/>
    <x v="27"/>
    <x v="44"/>
  </r>
  <r>
    <x v="97"/>
    <x v="1"/>
    <x v="93"/>
    <x v="54"/>
    <x v="54"/>
    <x v="51"/>
    <x v="86"/>
    <x v="87"/>
    <x v="95"/>
    <x v="85"/>
    <x v="51"/>
    <x v="51"/>
    <x v="1"/>
    <x v="83"/>
    <x v="84"/>
    <x v="95"/>
    <x v="87"/>
    <x v="43"/>
    <x v="51"/>
    <x v="24"/>
    <x v="78"/>
    <x v="0"/>
    <x v="94"/>
    <x v="81"/>
    <x v="13"/>
    <x v="1"/>
    <x v="32"/>
    <x v="65"/>
    <x v="0"/>
    <x v="89"/>
    <x v="57"/>
    <x v="25"/>
    <x v="1"/>
    <x v="1"/>
    <x v="36"/>
    <x v="1"/>
    <x v="76"/>
    <x v="28"/>
    <x v="45"/>
  </r>
  <r>
    <x v="98"/>
    <x v="1"/>
    <x v="94"/>
    <x v="55"/>
    <x v="55"/>
    <x v="52"/>
    <x v="87"/>
    <x v="88"/>
    <x v="96"/>
    <x v="61"/>
    <x v="52"/>
    <x v="49"/>
    <x v="1"/>
    <x v="84"/>
    <x v="85"/>
    <x v="96"/>
    <x v="88"/>
    <x v="17"/>
    <x v="52"/>
    <x v="48"/>
    <x v="79"/>
    <x v="0"/>
    <x v="95"/>
    <x v="67"/>
    <x v="32"/>
    <x v="1"/>
    <x v="33"/>
    <x v="66"/>
    <x v="0"/>
    <x v="90"/>
    <x v="25"/>
    <x v="26"/>
    <x v="1"/>
    <x v="1"/>
    <x v="37"/>
    <x v="1"/>
    <x v="77"/>
    <x v="29"/>
    <x v="46"/>
  </r>
  <r>
    <x v="99"/>
    <x v="1"/>
    <x v="95"/>
    <x v="56"/>
    <x v="56"/>
    <x v="53"/>
    <x v="88"/>
    <x v="89"/>
    <x v="97"/>
    <x v="68"/>
    <x v="53"/>
    <x v="52"/>
    <x v="1"/>
    <x v="85"/>
    <x v="86"/>
    <x v="97"/>
    <x v="89"/>
    <x v="10"/>
    <x v="53"/>
    <x v="24"/>
    <x v="40"/>
    <x v="0"/>
    <x v="96"/>
    <x v="82"/>
    <x v="33"/>
    <x v="1"/>
    <x v="34"/>
    <x v="49"/>
    <x v="0"/>
    <x v="91"/>
    <x v="44"/>
    <x v="27"/>
    <x v="1"/>
    <x v="1"/>
    <x v="38"/>
    <x v="1"/>
    <x v="78"/>
    <x v="30"/>
    <x v="47"/>
  </r>
  <r>
    <x v="100"/>
    <x v="1"/>
    <x v="96"/>
    <x v="57"/>
    <x v="57"/>
    <x v="54"/>
    <x v="29"/>
    <x v="90"/>
    <x v="98"/>
    <x v="86"/>
    <x v="54"/>
    <x v="53"/>
    <x v="1"/>
    <x v="26"/>
    <x v="87"/>
    <x v="98"/>
    <x v="90"/>
    <x v="44"/>
    <x v="54"/>
    <x v="49"/>
    <x v="80"/>
    <x v="0"/>
    <x v="97"/>
    <x v="83"/>
    <x v="34"/>
    <x v="1"/>
    <x v="35"/>
    <x v="67"/>
    <x v="0"/>
    <x v="92"/>
    <x v="33"/>
    <x v="28"/>
    <x v="1"/>
    <x v="1"/>
    <x v="39"/>
    <x v="1"/>
    <x v="79"/>
    <x v="31"/>
    <x v="48"/>
  </r>
  <r>
    <x v="101"/>
    <x v="1"/>
    <x v="95"/>
    <x v="58"/>
    <x v="58"/>
    <x v="55"/>
    <x v="89"/>
    <x v="91"/>
    <x v="99"/>
    <x v="87"/>
    <x v="55"/>
    <x v="54"/>
    <x v="1"/>
    <x v="86"/>
    <x v="88"/>
    <x v="99"/>
    <x v="91"/>
    <x v="28"/>
    <x v="55"/>
    <x v="24"/>
    <x v="81"/>
    <x v="0"/>
    <x v="98"/>
    <x v="84"/>
    <x v="35"/>
    <x v="1"/>
    <x v="36"/>
    <x v="68"/>
    <x v="0"/>
    <x v="93"/>
    <x v="58"/>
    <x v="29"/>
    <x v="1"/>
    <x v="1"/>
    <x v="36"/>
    <x v="1"/>
    <x v="80"/>
    <x v="32"/>
    <x v="49"/>
  </r>
  <r>
    <x v="102"/>
    <x v="1"/>
    <x v="97"/>
    <x v="59"/>
    <x v="18"/>
    <x v="56"/>
    <x v="90"/>
    <x v="92"/>
    <x v="100"/>
    <x v="88"/>
    <x v="56"/>
    <x v="55"/>
    <x v="1"/>
    <x v="87"/>
    <x v="89"/>
    <x v="100"/>
    <x v="49"/>
    <x v="28"/>
    <x v="56"/>
    <x v="24"/>
    <x v="13"/>
    <x v="0"/>
    <x v="99"/>
    <x v="54"/>
    <x v="36"/>
    <x v="1"/>
    <x v="37"/>
    <x v="69"/>
    <x v="0"/>
    <x v="94"/>
    <x v="57"/>
    <x v="30"/>
    <x v="1"/>
    <x v="1"/>
    <x v="14"/>
    <x v="1"/>
    <x v="81"/>
    <x v="33"/>
    <x v="50"/>
  </r>
  <r>
    <x v="103"/>
    <x v="1"/>
    <x v="98"/>
    <x v="60"/>
    <x v="59"/>
    <x v="56"/>
    <x v="91"/>
    <x v="93"/>
    <x v="101"/>
    <x v="89"/>
    <x v="57"/>
    <x v="56"/>
    <x v="1"/>
    <x v="88"/>
    <x v="90"/>
    <x v="101"/>
    <x v="92"/>
    <x v="45"/>
    <x v="57"/>
    <x v="24"/>
    <x v="13"/>
    <x v="0"/>
    <x v="100"/>
    <x v="85"/>
    <x v="37"/>
    <x v="1"/>
    <x v="37"/>
    <x v="70"/>
    <x v="0"/>
    <x v="95"/>
    <x v="59"/>
    <x v="22"/>
    <x v="1"/>
    <x v="1"/>
    <x v="14"/>
    <x v="1"/>
    <x v="82"/>
    <x v="34"/>
    <x v="51"/>
  </r>
  <r>
    <x v="104"/>
    <x v="1"/>
    <x v="99"/>
    <x v="61"/>
    <x v="60"/>
    <x v="57"/>
    <x v="92"/>
    <x v="94"/>
    <x v="102"/>
    <x v="90"/>
    <x v="58"/>
    <x v="57"/>
    <x v="1"/>
    <x v="69"/>
    <x v="91"/>
    <x v="102"/>
    <x v="92"/>
    <x v="46"/>
    <x v="58"/>
    <x v="24"/>
    <x v="82"/>
    <x v="0"/>
    <x v="101"/>
    <x v="56"/>
    <x v="38"/>
    <x v="1"/>
    <x v="38"/>
    <x v="71"/>
    <x v="0"/>
    <x v="96"/>
    <x v="23"/>
    <x v="31"/>
    <x v="1"/>
    <x v="1"/>
    <x v="40"/>
    <x v="1"/>
    <x v="83"/>
    <x v="35"/>
    <x v="52"/>
  </r>
  <r>
    <x v="105"/>
    <x v="2"/>
    <x v="100"/>
    <x v="62"/>
    <x v="61"/>
    <x v="58"/>
    <x v="93"/>
    <x v="95"/>
    <x v="103"/>
    <x v="91"/>
    <x v="59"/>
    <x v="58"/>
    <x v="1"/>
    <x v="89"/>
    <x v="92"/>
    <x v="103"/>
    <x v="93"/>
    <x v="47"/>
    <x v="2"/>
    <x v="50"/>
    <x v="13"/>
    <x v="0"/>
    <x v="102"/>
    <x v="86"/>
    <x v="39"/>
    <x v="1"/>
    <x v="39"/>
    <x v="0"/>
    <x v="0"/>
    <x v="97"/>
    <x v="60"/>
    <x v="32"/>
    <x v="1"/>
    <x v="1"/>
    <x v="1"/>
    <x v="1"/>
    <x v="84"/>
    <x v="0"/>
    <x v="1"/>
  </r>
  <r>
    <x v="106"/>
    <x v="2"/>
    <x v="101"/>
    <x v="63"/>
    <x v="61"/>
    <x v="39"/>
    <x v="94"/>
    <x v="96"/>
    <x v="104"/>
    <x v="92"/>
    <x v="60"/>
    <x v="58"/>
    <x v="1"/>
    <x v="90"/>
    <x v="93"/>
    <x v="104"/>
    <x v="94"/>
    <x v="42"/>
    <x v="2"/>
    <x v="37"/>
    <x v="13"/>
    <x v="0"/>
    <x v="103"/>
    <x v="87"/>
    <x v="26"/>
    <x v="1"/>
    <x v="40"/>
    <x v="9"/>
    <x v="0"/>
    <x v="98"/>
    <x v="27"/>
    <x v="33"/>
    <x v="1"/>
    <x v="1"/>
    <x v="1"/>
    <x v="1"/>
    <x v="85"/>
    <x v="0"/>
    <x v="2"/>
  </r>
  <r>
    <x v="107"/>
    <x v="2"/>
    <x v="102"/>
    <x v="64"/>
    <x v="62"/>
    <x v="59"/>
    <x v="95"/>
    <x v="97"/>
    <x v="105"/>
    <x v="93"/>
    <x v="61"/>
    <x v="59"/>
    <x v="1"/>
    <x v="75"/>
    <x v="94"/>
    <x v="105"/>
    <x v="94"/>
    <x v="48"/>
    <x v="2"/>
    <x v="37"/>
    <x v="13"/>
    <x v="0"/>
    <x v="104"/>
    <x v="88"/>
    <x v="12"/>
    <x v="1"/>
    <x v="41"/>
    <x v="72"/>
    <x v="0"/>
    <x v="87"/>
    <x v="61"/>
    <x v="1"/>
    <x v="1"/>
    <x v="1"/>
    <x v="38"/>
    <x v="1"/>
    <x v="31"/>
    <x v="0"/>
    <x v="3"/>
  </r>
  <r>
    <x v="108"/>
    <x v="2"/>
    <x v="103"/>
    <x v="65"/>
    <x v="63"/>
    <x v="0"/>
    <x v="96"/>
    <x v="98"/>
    <x v="106"/>
    <x v="94"/>
    <x v="62"/>
    <x v="60"/>
    <x v="1"/>
    <x v="26"/>
    <x v="95"/>
    <x v="106"/>
    <x v="95"/>
    <x v="49"/>
    <x v="2"/>
    <x v="24"/>
    <x v="13"/>
    <x v="0"/>
    <x v="105"/>
    <x v="89"/>
    <x v="1"/>
    <x v="1"/>
    <x v="1"/>
    <x v="73"/>
    <x v="0"/>
    <x v="99"/>
    <x v="62"/>
    <x v="1"/>
    <x v="1"/>
    <x v="1"/>
    <x v="1"/>
    <x v="1"/>
    <x v="86"/>
    <x v="0"/>
    <x v="4"/>
  </r>
  <r>
    <x v="109"/>
    <x v="2"/>
    <x v="104"/>
    <x v="66"/>
    <x v="64"/>
    <x v="60"/>
    <x v="65"/>
    <x v="99"/>
    <x v="107"/>
    <x v="95"/>
    <x v="63"/>
    <x v="61"/>
    <x v="1"/>
    <x v="91"/>
    <x v="96"/>
    <x v="107"/>
    <x v="93"/>
    <x v="50"/>
    <x v="2"/>
    <x v="51"/>
    <x v="13"/>
    <x v="0"/>
    <x v="106"/>
    <x v="90"/>
    <x v="1"/>
    <x v="1"/>
    <x v="1"/>
    <x v="71"/>
    <x v="0"/>
    <x v="100"/>
    <x v="63"/>
    <x v="1"/>
    <x v="1"/>
    <x v="1"/>
    <x v="1"/>
    <x v="1"/>
    <x v="87"/>
    <x v="0"/>
    <x v="5"/>
  </r>
  <r>
    <x v="110"/>
    <x v="2"/>
    <x v="105"/>
    <x v="67"/>
    <x v="65"/>
    <x v="61"/>
    <x v="97"/>
    <x v="100"/>
    <x v="108"/>
    <x v="96"/>
    <x v="64"/>
    <x v="62"/>
    <x v="1"/>
    <x v="92"/>
    <x v="97"/>
    <x v="108"/>
    <x v="96"/>
    <x v="28"/>
    <x v="2"/>
    <x v="50"/>
    <x v="13"/>
    <x v="0"/>
    <x v="107"/>
    <x v="62"/>
    <x v="1"/>
    <x v="1"/>
    <x v="42"/>
    <x v="64"/>
    <x v="0"/>
    <x v="101"/>
    <x v="64"/>
    <x v="1"/>
    <x v="1"/>
    <x v="1"/>
    <x v="1"/>
    <x v="1"/>
    <x v="88"/>
    <x v="0"/>
    <x v="6"/>
  </r>
  <r>
    <x v="111"/>
    <x v="2"/>
    <x v="106"/>
    <x v="68"/>
    <x v="66"/>
    <x v="61"/>
    <x v="77"/>
    <x v="101"/>
    <x v="109"/>
    <x v="97"/>
    <x v="65"/>
    <x v="63"/>
    <x v="1"/>
    <x v="93"/>
    <x v="98"/>
    <x v="109"/>
    <x v="96"/>
    <x v="28"/>
    <x v="2"/>
    <x v="50"/>
    <x v="13"/>
    <x v="0"/>
    <x v="107"/>
    <x v="91"/>
    <x v="1"/>
    <x v="1"/>
    <x v="42"/>
    <x v="49"/>
    <x v="0"/>
    <x v="102"/>
    <x v="9"/>
    <x v="1"/>
    <x v="1"/>
    <x v="1"/>
    <x v="1"/>
    <x v="1"/>
    <x v="26"/>
    <x v="0"/>
    <x v="7"/>
  </r>
  <r>
    <x v="112"/>
    <x v="2"/>
    <x v="107"/>
    <x v="69"/>
    <x v="67"/>
    <x v="62"/>
    <x v="98"/>
    <x v="102"/>
    <x v="110"/>
    <x v="98"/>
    <x v="66"/>
    <x v="64"/>
    <x v="27"/>
    <x v="94"/>
    <x v="99"/>
    <x v="110"/>
    <x v="94"/>
    <x v="28"/>
    <x v="2"/>
    <x v="52"/>
    <x v="13"/>
    <x v="0"/>
    <x v="108"/>
    <x v="92"/>
    <x v="5"/>
    <x v="1"/>
    <x v="43"/>
    <x v="55"/>
    <x v="0"/>
    <x v="103"/>
    <x v="9"/>
    <x v="1"/>
    <x v="1"/>
    <x v="1"/>
    <x v="1"/>
    <x v="1"/>
    <x v="26"/>
    <x v="0"/>
    <x v="8"/>
  </r>
  <r>
    <x v="113"/>
    <x v="2"/>
    <x v="108"/>
    <x v="70"/>
    <x v="68"/>
    <x v="61"/>
    <x v="99"/>
    <x v="103"/>
    <x v="111"/>
    <x v="99"/>
    <x v="67"/>
    <x v="65"/>
    <x v="28"/>
    <x v="20"/>
    <x v="53"/>
    <x v="111"/>
    <x v="97"/>
    <x v="28"/>
    <x v="2"/>
    <x v="53"/>
    <x v="13"/>
    <x v="0"/>
    <x v="109"/>
    <x v="70"/>
    <x v="18"/>
    <x v="1"/>
    <x v="44"/>
    <x v="74"/>
    <x v="0"/>
    <x v="104"/>
    <x v="9"/>
    <x v="1"/>
    <x v="1"/>
    <x v="1"/>
    <x v="1"/>
    <x v="1"/>
    <x v="26"/>
    <x v="0"/>
    <x v="9"/>
  </r>
  <r>
    <x v="114"/>
    <x v="2"/>
    <x v="77"/>
    <x v="71"/>
    <x v="69"/>
    <x v="63"/>
    <x v="100"/>
    <x v="104"/>
    <x v="112"/>
    <x v="100"/>
    <x v="68"/>
    <x v="66"/>
    <x v="1"/>
    <x v="93"/>
    <x v="100"/>
    <x v="112"/>
    <x v="95"/>
    <x v="28"/>
    <x v="2"/>
    <x v="24"/>
    <x v="13"/>
    <x v="0"/>
    <x v="110"/>
    <x v="93"/>
    <x v="40"/>
    <x v="1"/>
    <x v="9"/>
    <x v="15"/>
    <x v="0"/>
    <x v="105"/>
    <x v="9"/>
    <x v="1"/>
    <x v="1"/>
    <x v="1"/>
    <x v="1"/>
    <x v="1"/>
    <x v="26"/>
    <x v="0"/>
    <x v="10"/>
  </r>
  <r>
    <x v="115"/>
    <x v="2"/>
    <x v="81"/>
    <x v="72"/>
    <x v="70"/>
    <x v="63"/>
    <x v="101"/>
    <x v="105"/>
    <x v="113"/>
    <x v="101"/>
    <x v="69"/>
    <x v="67"/>
    <x v="1"/>
    <x v="95"/>
    <x v="101"/>
    <x v="113"/>
    <x v="98"/>
    <x v="28"/>
    <x v="2"/>
    <x v="24"/>
    <x v="13"/>
    <x v="0"/>
    <x v="111"/>
    <x v="94"/>
    <x v="5"/>
    <x v="1"/>
    <x v="9"/>
    <x v="75"/>
    <x v="0"/>
    <x v="106"/>
    <x v="9"/>
    <x v="1"/>
    <x v="1"/>
    <x v="1"/>
    <x v="1"/>
    <x v="1"/>
    <x v="26"/>
    <x v="0"/>
    <x v="11"/>
  </r>
  <r>
    <x v="116"/>
    <x v="2"/>
    <x v="109"/>
    <x v="73"/>
    <x v="71"/>
    <x v="64"/>
    <x v="99"/>
    <x v="106"/>
    <x v="114"/>
    <x v="102"/>
    <x v="70"/>
    <x v="68"/>
    <x v="29"/>
    <x v="96"/>
    <x v="102"/>
    <x v="114"/>
    <x v="98"/>
    <x v="28"/>
    <x v="2"/>
    <x v="24"/>
    <x v="13"/>
    <x v="0"/>
    <x v="111"/>
    <x v="95"/>
    <x v="5"/>
    <x v="1"/>
    <x v="1"/>
    <x v="16"/>
    <x v="0"/>
    <x v="107"/>
    <x v="9"/>
    <x v="1"/>
    <x v="1"/>
    <x v="1"/>
    <x v="1"/>
    <x v="1"/>
    <x v="26"/>
    <x v="0"/>
    <x v="12"/>
  </r>
  <r>
    <x v="117"/>
    <x v="2"/>
    <x v="110"/>
    <x v="74"/>
    <x v="72"/>
    <x v="65"/>
    <x v="32"/>
    <x v="95"/>
    <x v="115"/>
    <x v="103"/>
    <x v="71"/>
    <x v="69"/>
    <x v="10"/>
    <x v="97"/>
    <x v="92"/>
    <x v="115"/>
    <x v="94"/>
    <x v="28"/>
    <x v="2"/>
    <x v="24"/>
    <x v="13"/>
    <x v="0"/>
    <x v="112"/>
    <x v="66"/>
    <x v="41"/>
    <x v="1"/>
    <x v="1"/>
    <x v="16"/>
    <x v="0"/>
    <x v="108"/>
    <x v="9"/>
    <x v="1"/>
    <x v="1"/>
    <x v="1"/>
    <x v="1"/>
    <x v="1"/>
    <x v="26"/>
    <x v="0"/>
    <x v="13"/>
  </r>
  <r>
    <x v="118"/>
    <x v="2"/>
    <x v="111"/>
    <x v="75"/>
    <x v="73"/>
    <x v="66"/>
    <x v="102"/>
    <x v="39"/>
    <x v="116"/>
    <x v="104"/>
    <x v="72"/>
    <x v="70"/>
    <x v="30"/>
    <x v="98"/>
    <x v="20"/>
    <x v="116"/>
    <x v="94"/>
    <x v="28"/>
    <x v="2"/>
    <x v="24"/>
    <x v="13"/>
    <x v="0"/>
    <x v="112"/>
    <x v="96"/>
    <x v="41"/>
    <x v="1"/>
    <x v="1"/>
    <x v="16"/>
    <x v="0"/>
    <x v="109"/>
    <x v="9"/>
    <x v="1"/>
    <x v="1"/>
    <x v="1"/>
    <x v="1"/>
    <x v="1"/>
    <x v="26"/>
    <x v="0"/>
    <x v="14"/>
  </r>
  <r>
    <x v="119"/>
    <x v="2"/>
    <x v="112"/>
    <x v="76"/>
    <x v="74"/>
    <x v="67"/>
    <x v="103"/>
    <x v="107"/>
    <x v="117"/>
    <x v="105"/>
    <x v="73"/>
    <x v="71"/>
    <x v="31"/>
    <x v="99"/>
    <x v="103"/>
    <x v="117"/>
    <x v="94"/>
    <x v="28"/>
    <x v="2"/>
    <x v="24"/>
    <x v="13"/>
    <x v="0"/>
    <x v="112"/>
    <x v="50"/>
    <x v="6"/>
    <x v="1"/>
    <x v="1"/>
    <x v="16"/>
    <x v="0"/>
    <x v="52"/>
    <x v="9"/>
    <x v="1"/>
    <x v="1"/>
    <x v="1"/>
    <x v="1"/>
    <x v="1"/>
    <x v="26"/>
    <x v="0"/>
    <x v="15"/>
  </r>
  <r>
    <x v="120"/>
    <x v="2"/>
    <x v="113"/>
    <x v="77"/>
    <x v="75"/>
    <x v="68"/>
    <x v="104"/>
    <x v="108"/>
    <x v="118"/>
    <x v="106"/>
    <x v="74"/>
    <x v="72"/>
    <x v="22"/>
    <x v="100"/>
    <x v="104"/>
    <x v="118"/>
    <x v="99"/>
    <x v="28"/>
    <x v="2"/>
    <x v="24"/>
    <x v="13"/>
    <x v="0"/>
    <x v="113"/>
    <x v="97"/>
    <x v="6"/>
    <x v="1"/>
    <x v="1"/>
    <x v="16"/>
    <x v="0"/>
    <x v="110"/>
    <x v="9"/>
    <x v="1"/>
    <x v="1"/>
    <x v="1"/>
    <x v="1"/>
    <x v="1"/>
    <x v="26"/>
    <x v="0"/>
    <x v="16"/>
  </r>
  <r>
    <x v="121"/>
    <x v="2"/>
    <x v="114"/>
    <x v="78"/>
    <x v="30"/>
    <x v="68"/>
    <x v="105"/>
    <x v="38"/>
    <x v="119"/>
    <x v="107"/>
    <x v="75"/>
    <x v="11"/>
    <x v="22"/>
    <x v="101"/>
    <x v="39"/>
    <x v="119"/>
    <x v="99"/>
    <x v="28"/>
    <x v="2"/>
    <x v="24"/>
    <x v="13"/>
    <x v="0"/>
    <x v="113"/>
    <x v="98"/>
    <x v="6"/>
    <x v="1"/>
    <x v="1"/>
    <x v="16"/>
    <x v="0"/>
    <x v="111"/>
    <x v="9"/>
    <x v="1"/>
    <x v="1"/>
    <x v="1"/>
    <x v="1"/>
    <x v="1"/>
    <x v="26"/>
    <x v="0"/>
    <x v="17"/>
  </r>
  <r>
    <x v="122"/>
    <x v="2"/>
    <x v="115"/>
    <x v="79"/>
    <x v="76"/>
    <x v="69"/>
    <x v="106"/>
    <x v="109"/>
    <x v="120"/>
    <x v="108"/>
    <x v="76"/>
    <x v="73"/>
    <x v="32"/>
    <x v="102"/>
    <x v="105"/>
    <x v="120"/>
    <x v="100"/>
    <x v="28"/>
    <x v="37"/>
    <x v="24"/>
    <x v="13"/>
    <x v="0"/>
    <x v="114"/>
    <x v="99"/>
    <x v="42"/>
    <x v="1"/>
    <x v="1"/>
    <x v="16"/>
    <x v="0"/>
    <x v="112"/>
    <x v="9"/>
    <x v="1"/>
    <x v="1"/>
    <x v="1"/>
    <x v="1"/>
    <x v="1"/>
    <x v="26"/>
    <x v="0"/>
    <x v="18"/>
  </r>
  <r>
    <x v="123"/>
    <x v="2"/>
    <x v="116"/>
    <x v="80"/>
    <x v="77"/>
    <x v="70"/>
    <x v="107"/>
    <x v="110"/>
    <x v="121"/>
    <x v="109"/>
    <x v="77"/>
    <x v="74"/>
    <x v="33"/>
    <x v="66"/>
    <x v="106"/>
    <x v="121"/>
    <x v="100"/>
    <x v="28"/>
    <x v="37"/>
    <x v="24"/>
    <x v="13"/>
    <x v="0"/>
    <x v="114"/>
    <x v="53"/>
    <x v="42"/>
    <x v="1"/>
    <x v="1"/>
    <x v="16"/>
    <x v="0"/>
    <x v="113"/>
    <x v="9"/>
    <x v="1"/>
    <x v="1"/>
    <x v="1"/>
    <x v="1"/>
    <x v="1"/>
    <x v="26"/>
    <x v="0"/>
    <x v="19"/>
  </r>
  <r>
    <x v="124"/>
    <x v="2"/>
    <x v="117"/>
    <x v="81"/>
    <x v="78"/>
    <x v="65"/>
    <x v="108"/>
    <x v="111"/>
    <x v="122"/>
    <x v="110"/>
    <x v="78"/>
    <x v="75"/>
    <x v="10"/>
    <x v="103"/>
    <x v="107"/>
    <x v="122"/>
    <x v="98"/>
    <x v="28"/>
    <x v="59"/>
    <x v="24"/>
    <x v="13"/>
    <x v="0"/>
    <x v="114"/>
    <x v="100"/>
    <x v="43"/>
    <x v="1"/>
    <x v="1"/>
    <x v="16"/>
    <x v="0"/>
    <x v="114"/>
    <x v="9"/>
    <x v="1"/>
    <x v="1"/>
    <x v="1"/>
    <x v="1"/>
    <x v="1"/>
    <x v="26"/>
    <x v="0"/>
    <x v="20"/>
  </r>
  <r>
    <x v="125"/>
    <x v="2"/>
    <x v="118"/>
    <x v="82"/>
    <x v="0"/>
    <x v="0"/>
    <x v="109"/>
    <x v="112"/>
    <x v="123"/>
    <x v="111"/>
    <x v="79"/>
    <x v="13"/>
    <x v="1"/>
    <x v="104"/>
    <x v="21"/>
    <x v="123"/>
    <x v="69"/>
    <x v="28"/>
    <x v="2"/>
    <x v="24"/>
    <x v="13"/>
    <x v="0"/>
    <x v="1"/>
    <x v="101"/>
    <x v="1"/>
    <x v="1"/>
    <x v="1"/>
    <x v="16"/>
    <x v="0"/>
    <x v="115"/>
    <x v="9"/>
    <x v="1"/>
    <x v="1"/>
    <x v="1"/>
    <x v="1"/>
    <x v="1"/>
    <x v="26"/>
    <x v="0"/>
    <x v="21"/>
  </r>
  <r>
    <x v="126"/>
    <x v="2"/>
    <x v="119"/>
    <x v="83"/>
    <x v="79"/>
    <x v="71"/>
    <x v="110"/>
    <x v="113"/>
    <x v="124"/>
    <x v="112"/>
    <x v="80"/>
    <x v="76"/>
    <x v="34"/>
    <x v="105"/>
    <x v="108"/>
    <x v="124"/>
    <x v="100"/>
    <x v="28"/>
    <x v="2"/>
    <x v="24"/>
    <x v="13"/>
    <x v="0"/>
    <x v="115"/>
    <x v="55"/>
    <x v="43"/>
    <x v="1"/>
    <x v="45"/>
    <x v="16"/>
    <x v="0"/>
    <x v="55"/>
    <x v="9"/>
    <x v="1"/>
    <x v="1"/>
    <x v="1"/>
    <x v="1"/>
    <x v="1"/>
    <x v="26"/>
    <x v="0"/>
    <x v="22"/>
  </r>
  <r>
    <x v="127"/>
    <x v="2"/>
    <x v="120"/>
    <x v="84"/>
    <x v="80"/>
    <x v="72"/>
    <x v="111"/>
    <x v="114"/>
    <x v="125"/>
    <x v="113"/>
    <x v="81"/>
    <x v="77"/>
    <x v="35"/>
    <x v="106"/>
    <x v="109"/>
    <x v="125"/>
    <x v="100"/>
    <x v="28"/>
    <x v="60"/>
    <x v="24"/>
    <x v="13"/>
    <x v="0"/>
    <x v="111"/>
    <x v="102"/>
    <x v="43"/>
    <x v="1"/>
    <x v="46"/>
    <x v="16"/>
    <x v="0"/>
    <x v="116"/>
    <x v="9"/>
    <x v="1"/>
    <x v="1"/>
    <x v="1"/>
    <x v="1"/>
    <x v="1"/>
    <x v="26"/>
    <x v="0"/>
    <x v="23"/>
  </r>
  <r>
    <x v="128"/>
    <x v="2"/>
    <x v="121"/>
    <x v="85"/>
    <x v="81"/>
    <x v="73"/>
    <x v="112"/>
    <x v="115"/>
    <x v="126"/>
    <x v="114"/>
    <x v="82"/>
    <x v="78"/>
    <x v="36"/>
    <x v="107"/>
    <x v="110"/>
    <x v="126"/>
    <x v="98"/>
    <x v="28"/>
    <x v="60"/>
    <x v="24"/>
    <x v="13"/>
    <x v="0"/>
    <x v="116"/>
    <x v="103"/>
    <x v="1"/>
    <x v="1"/>
    <x v="10"/>
    <x v="16"/>
    <x v="0"/>
    <x v="117"/>
    <x v="9"/>
    <x v="1"/>
    <x v="1"/>
    <x v="1"/>
    <x v="1"/>
    <x v="1"/>
    <x v="26"/>
    <x v="0"/>
    <x v="24"/>
  </r>
  <r>
    <x v="129"/>
    <x v="2"/>
    <x v="122"/>
    <x v="86"/>
    <x v="82"/>
    <x v="74"/>
    <x v="113"/>
    <x v="116"/>
    <x v="127"/>
    <x v="115"/>
    <x v="83"/>
    <x v="79"/>
    <x v="37"/>
    <x v="108"/>
    <x v="111"/>
    <x v="127"/>
    <x v="101"/>
    <x v="28"/>
    <x v="2"/>
    <x v="24"/>
    <x v="13"/>
    <x v="7"/>
    <x v="117"/>
    <x v="58"/>
    <x v="1"/>
    <x v="1"/>
    <x v="47"/>
    <x v="16"/>
    <x v="0"/>
    <x v="118"/>
    <x v="9"/>
    <x v="1"/>
    <x v="1"/>
    <x v="1"/>
    <x v="1"/>
    <x v="1"/>
    <x v="26"/>
    <x v="0"/>
    <x v="25"/>
  </r>
  <r>
    <x v="130"/>
    <x v="3"/>
    <x v="123"/>
    <x v="87"/>
    <x v="83"/>
    <x v="75"/>
    <x v="114"/>
    <x v="117"/>
    <x v="128"/>
    <x v="116"/>
    <x v="0"/>
    <x v="0"/>
    <x v="0"/>
    <x v="109"/>
    <x v="1"/>
    <x v="128"/>
    <x v="102"/>
    <x v="0"/>
    <x v="0"/>
    <x v="0"/>
    <x v="43"/>
    <x v="1"/>
    <x v="118"/>
    <x v="104"/>
    <x v="0"/>
    <x v="0"/>
    <x v="0"/>
    <x v="76"/>
    <x v="1"/>
    <x v="119"/>
    <x v="65"/>
    <x v="0"/>
    <x v="0"/>
    <x v="0"/>
    <x v="19"/>
    <x v="0"/>
    <x v="27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x v="0"/>
    <n v="257.16000000000003"/>
    <n v="8.3000000000000007"/>
    <n v="5.24"/>
    <n v="0"/>
    <n v="14.81"/>
    <n v="1.27"/>
    <n v="286.78000000000003"/>
    <n v="28.7"/>
    <n v="8.3000000000000007"/>
    <n v="5.24"/>
    <n v="0"/>
    <n v="1.2"/>
    <n v="1.27"/>
    <n v="44.710000000000008"/>
    <n v="109.89"/>
    <m/>
    <m/>
    <m/>
    <n v="9.0500000000000007"/>
    <m/>
    <n v="118.94"/>
    <n v="99.84"/>
    <m/>
    <m/>
    <m/>
    <n v="2.56"/>
    <m/>
    <n v="102.4"/>
    <n v="18.73"/>
    <m/>
    <m/>
    <m/>
    <n v="2"/>
    <n v="0"/>
    <n v="20.73"/>
    <x v="0"/>
    <x v="0"/>
  </r>
  <r>
    <x v="1"/>
    <n v="261.48999999999995"/>
    <n v="11.35"/>
    <n v="2.46"/>
    <n v="0"/>
    <n v="22.48"/>
    <n v="1.27"/>
    <n v="299.04999999999995"/>
    <n v="40.799999999999997"/>
    <n v="11.35"/>
    <n v="2.46"/>
    <n v="0"/>
    <n v="4.7300000000000004"/>
    <n v="1.27"/>
    <n v="60.610000000000007"/>
    <n v="100.28"/>
    <m/>
    <m/>
    <m/>
    <n v="11.06"/>
    <m/>
    <n v="111.34"/>
    <n v="102.51"/>
    <m/>
    <m/>
    <m/>
    <n v="4.8899999999999997"/>
    <m/>
    <n v="107.4"/>
    <n v="17.899999999999999"/>
    <m/>
    <m/>
    <m/>
    <n v="1.8"/>
    <n v="0"/>
    <n v="19.7"/>
    <x v="1"/>
    <x v="1"/>
  </r>
  <r>
    <x v="2"/>
    <n v="261.48999999999995"/>
    <n v="11.35"/>
    <n v="2.46"/>
    <n v="0"/>
    <n v="22.48"/>
    <n v="1.27"/>
    <n v="299.04999999999995"/>
    <n v="40.799999999999997"/>
    <n v="11.35"/>
    <n v="2.46"/>
    <n v="0"/>
    <n v="4.7300000000000004"/>
    <n v="1.27"/>
    <n v="60.610000000000007"/>
    <n v="100.28"/>
    <m/>
    <m/>
    <m/>
    <n v="11.06"/>
    <m/>
    <n v="111.34"/>
    <n v="102.51"/>
    <m/>
    <m/>
    <m/>
    <n v="4.8899999999999997"/>
    <m/>
    <n v="107.4"/>
    <n v="17.899999999999999"/>
    <m/>
    <m/>
    <m/>
    <n v="1.8"/>
    <n v="0"/>
    <n v="19.7"/>
    <x v="2"/>
    <x v="1"/>
  </r>
  <r>
    <x v="3"/>
    <n v="250.57"/>
    <n v="10.46"/>
    <n v="1.4"/>
    <n v="0"/>
    <n v="11.78"/>
    <n v="1.37"/>
    <n v="275.57999999999993"/>
    <n v="40.9"/>
    <n v="10.46"/>
    <n v="1.4"/>
    <n v="0"/>
    <n v="4.99"/>
    <n v="1.37"/>
    <n v="59.12"/>
    <n v="84.78"/>
    <m/>
    <m/>
    <m/>
    <n v="0.93"/>
    <m/>
    <n v="85.710000000000008"/>
    <n v="100.1"/>
    <m/>
    <m/>
    <m/>
    <n v="4.46"/>
    <m/>
    <n v="104.55999999999999"/>
    <n v="24.79"/>
    <m/>
    <m/>
    <m/>
    <n v="1.4"/>
    <n v="0"/>
    <n v="26.189999999999998"/>
    <x v="3"/>
    <x v="1"/>
  </r>
  <r>
    <x v="4"/>
    <n v="224.15"/>
    <n v="10.8"/>
    <n v="1.4"/>
    <n v="0.65"/>
    <n v="20.340000000000003"/>
    <n v="0.85"/>
    <n v="258.19000000000005"/>
    <n v="42.9"/>
    <n v="10.8"/>
    <n v="1.4"/>
    <n v="0.65"/>
    <n v="6.86"/>
    <n v="0.85"/>
    <n v="63.46"/>
    <n v="64.67"/>
    <m/>
    <m/>
    <m/>
    <n v="7.37"/>
    <m/>
    <n v="72.040000000000006"/>
    <n v="93.04"/>
    <m/>
    <m/>
    <m/>
    <n v="3.87"/>
    <m/>
    <n v="96.910000000000011"/>
    <n v="23.54"/>
    <m/>
    <m/>
    <m/>
    <n v="2.2400000000000002"/>
    <n v="0"/>
    <n v="25.78"/>
    <x v="4"/>
    <x v="1"/>
  </r>
  <r>
    <x v="5"/>
    <n v="211.81"/>
    <n v="9"/>
    <n v="0.4"/>
    <n v="1.8"/>
    <n v="18.47"/>
    <n v="0.39"/>
    <n v="241.87"/>
    <n v="48.4"/>
    <n v="9"/>
    <n v="0.4"/>
    <n v="1.8"/>
    <n v="7.76"/>
    <n v="0.39"/>
    <n v="67.75"/>
    <n v="50.15"/>
    <m/>
    <m/>
    <m/>
    <n v="5.78"/>
    <m/>
    <n v="55.93"/>
    <n v="87.01"/>
    <m/>
    <m/>
    <m/>
    <n v="3.63"/>
    <m/>
    <n v="90.64"/>
    <n v="26.25"/>
    <m/>
    <m/>
    <m/>
    <n v="1.3"/>
    <n v="0"/>
    <n v="27.55"/>
    <x v="5"/>
    <x v="1"/>
  </r>
  <r>
    <x v="6"/>
    <n v="223.17999999999998"/>
    <n v="12.8"/>
    <n v="2.35"/>
    <n v="1.4"/>
    <n v="17.790000000000003"/>
    <n v="2.46"/>
    <n v="259.97999999999996"/>
    <n v="50.2"/>
    <n v="12.8"/>
    <n v="2.35"/>
    <n v="1.4"/>
    <n v="5.14"/>
    <n v="2.46"/>
    <n v="74.349999999999994"/>
    <n v="58.89"/>
    <m/>
    <m/>
    <m/>
    <n v="9.0500000000000007"/>
    <m/>
    <n v="67.94"/>
    <n v="90.05"/>
    <m/>
    <m/>
    <m/>
    <n v="2.46"/>
    <m/>
    <n v="92.509999999999991"/>
    <n v="24.04"/>
    <m/>
    <m/>
    <m/>
    <n v="1.1399999999999999"/>
    <n v="0"/>
    <n v="25.18"/>
    <x v="6"/>
    <x v="1"/>
  </r>
  <r>
    <x v="7"/>
    <n v="218.85"/>
    <n v="22.3"/>
    <n v="2.1"/>
    <n v="2.15"/>
    <n v="11.65"/>
    <n v="1.79"/>
    <n v="258.84000000000003"/>
    <n v="32.299999999999997"/>
    <n v="22.3"/>
    <n v="2.1"/>
    <n v="2.15"/>
    <n v="1.93"/>
    <n v="1.79"/>
    <n v="62.569999999999993"/>
    <n v="76.62"/>
    <m/>
    <m/>
    <m/>
    <n v="7.34"/>
    <m/>
    <n v="83.960000000000008"/>
    <n v="77.33"/>
    <m/>
    <m/>
    <m/>
    <n v="1.58"/>
    <m/>
    <n v="78.91"/>
    <n v="32.6"/>
    <m/>
    <m/>
    <m/>
    <n v="0.8"/>
    <n v="0"/>
    <n v="33.4"/>
    <x v="7"/>
    <x v="1"/>
  </r>
  <r>
    <x v="8"/>
    <n v="196.47"/>
    <n v="17.7"/>
    <n v="1"/>
    <n v="1.42"/>
    <n v="16.11"/>
    <n v="1.89"/>
    <n v="234.58999999999997"/>
    <n v="34.799999999999997"/>
    <n v="17.7"/>
    <n v="1"/>
    <n v="1.42"/>
    <n v="3.18"/>
    <n v="1.89"/>
    <n v="59.99"/>
    <n v="66.09"/>
    <m/>
    <m/>
    <m/>
    <n v="7.34"/>
    <m/>
    <n v="73.430000000000007"/>
    <n v="69.37"/>
    <m/>
    <m/>
    <m/>
    <n v="5.14"/>
    <m/>
    <n v="74.510000000000005"/>
    <n v="26.21"/>
    <m/>
    <m/>
    <m/>
    <n v="0.45"/>
    <n v="0"/>
    <n v="26.66"/>
    <x v="8"/>
    <x v="1"/>
  </r>
  <r>
    <x v="9"/>
    <n v="179.065"/>
    <n v="9.6999999999999993"/>
    <n v="1.7"/>
    <n v="3.69"/>
    <n v="21.389999999999997"/>
    <n v="2.34"/>
    <n v="217.88499999999996"/>
    <n v="25.3"/>
    <n v="9.6999999999999993"/>
    <n v="1.7"/>
    <n v="3.69"/>
    <n v="5.72"/>
    <n v="2.34"/>
    <n v="48.45"/>
    <n v="67.125"/>
    <m/>
    <m/>
    <m/>
    <n v="10.7"/>
    <m/>
    <n v="77.825000000000003"/>
    <n v="60.185000000000002"/>
    <m/>
    <m/>
    <m/>
    <n v="4.72"/>
    <m/>
    <n v="64.905000000000001"/>
    <n v="26.454999999999998"/>
    <m/>
    <m/>
    <m/>
    <n v="0.25"/>
    <n v="0"/>
    <n v="26.704999999999998"/>
    <x v="9"/>
    <x v="1"/>
  </r>
  <r>
    <x v="10"/>
    <n v="174.95999999999998"/>
    <n v="9.5"/>
    <n v="2"/>
    <n v="4.72"/>
    <n v="23.77"/>
    <n v="4.74"/>
    <n v="219.69"/>
    <n v="29.1"/>
    <n v="9.5"/>
    <n v="2"/>
    <n v="4.72"/>
    <n v="5.31"/>
    <n v="4.74"/>
    <n v="55.370000000000005"/>
    <n v="68.16"/>
    <m/>
    <m/>
    <m/>
    <n v="14"/>
    <m/>
    <n v="82.16"/>
    <n v="51"/>
    <m/>
    <m/>
    <m/>
    <n v="4.43"/>
    <m/>
    <n v="55.43"/>
    <n v="26.7"/>
    <m/>
    <m/>
    <m/>
    <n v="0.03"/>
    <n v="0"/>
    <n v="26.73"/>
    <x v="10"/>
    <x v="1"/>
  </r>
  <r>
    <x v="11"/>
    <n v="160.42000000000002"/>
    <n v="18.600000000000001"/>
    <n v="6.55"/>
    <n v="7"/>
    <n v="26.57"/>
    <n v="2.92"/>
    <n v="222.06"/>
    <n v="33.799999999999997"/>
    <n v="18.600000000000001"/>
    <n v="6.55"/>
    <n v="7"/>
    <n v="8.39"/>
    <n v="2.92"/>
    <n v="77.259999999999991"/>
    <n v="63.5"/>
    <m/>
    <m/>
    <m/>
    <n v="12.61"/>
    <m/>
    <n v="76.11"/>
    <n v="42.85"/>
    <m/>
    <m/>
    <m/>
    <n v="4.16"/>
    <m/>
    <n v="47.010000000000005"/>
    <n v="20.27"/>
    <m/>
    <m/>
    <m/>
    <n v="1.41"/>
    <n v="0"/>
    <n v="21.68"/>
    <x v="11"/>
    <x v="1"/>
  </r>
  <r>
    <x v="12"/>
    <n v="161.26000000000002"/>
    <n v="14.54"/>
    <n v="5.0999999999999996"/>
    <n v="7.9"/>
    <n v="23.45"/>
    <n v="4.0199999999999996"/>
    <n v="216.27"/>
    <n v="46.2"/>
    <n v="14.54"/>
    <n v="5.0999999999999996"/>
    <n v="7.9"/>
    <n v="7.69"/>
    <n v="4.0199999999999996"/>
    <n v="85.45"/>
    <n v="59.6"/>
    <m/>
    <m/>
    <m/>
    <n v="11.28"/>
    <m/>
    <n v="70.88"/>
    <n v="33.4"/>
    <m/>
    <m/>
    <m/>
    <n v="3.53"/>
    <m/>
    <n v="36.93"/>
    <n v="22.06"/>
    <m/>
    <m/>
    <m/>
    <n v="0.95"/>
    <n v="0"/>
    <n v="23.009999999999998"/>
    <x v="12"/>
    <x v="1"/>
  </r>
  <r>
    <x v="13"/>
    <n v="171.01"/>
    <n v="9.1"/>
    <n v="4.0999999999999996"/>
    <n v="7.4"/>
    <n v="21.740000000000002"/>
    <n v="3.77"/>
    <n v="217.12"/>
    <n v="52.9"/>
    <n v="9.1"/>
    <n v="4.0999999999999996"/>
    <n v="7.4"/>
    <n v="7.69"/>
    <n v="3.77"/>
    <n v="84.96"/>
    <n v="63.8"/>
    <m/>
    <m/>
    <m/>
    <n v="9.82"/>
    <m/>
    <n v="73.62"/>
    <n v="32.1"/>
    <m/>
    <m/>
    <m/>
    <n v="2.79"/>
    <m/>
    <n v="34.89"/>
    <n v="22.21"/>
    <m/>
    <m/>
    <m/>
    <n v="1.44"/>
    <n v="0"/>
    <n v="23.650000000000002"/>
    <x v="13"/>
    <x v="1"/>
  </r>
  <r>
    <x v="14"/>
    <n v="153.41"/>
    <n v="12.1"/>
    <n v="3.83"/>
    <n v="7"/>
    <n v="24.27"/>
    <n v="2.17"/>
    <n v="202.78"/>
    <n v="35.5"/>
    <n v="12.1"/>
    <n v="3.83"/>
    <n v="7"/>
    <n v="7.23"/>
    <n v="2.17"/>
    <n v="67.83"/>
    <n v="74.349999999999994"/>
    <m/>
    <m/>
    <m/>
    <n v="13.18"/>
    <m/>
    <n v="87.53"/>
    <n v="25.3"/>
    <m/>
    <m/>
    <m/>
    <n v="2.42"/>
    <m/>
    <n v="27.72"/>
    <n v="18.260000000000002"/>
    <m/>
    <m/>
    <m/>
    <n v="1.44"/>
    <n v="0"/>
    <n v="19.700000000000003"/>
    <x v="14"/>
    <x v="1"/>
  </r>
  <r>
    <x v="15"/>
    <n v="153.92000000000002"/>
    <n v="9.0500000000000007"/>
    <n v="4.13"/>
    <n v="3.47"/>
    <n v="24.47"/>
    <n v="2.2400000000000002"/>
    <n v="197.28000000000003"/>
    <n v="25.6"/>
    <n v="9.0500000000000007"/>
    <n v="4.13"/>
    <n v="3.47"/>
    <n v="5.52"/>
    <n v="2.2400000000000002"/>
    <n v="50.010000000000012"/>
    <n v="85.96"/>
    <m/>
    <m/>
    <m/>
    <n v="16.079999999999998"/>
    <m/>
    <n v="102.03999999999999"/>
    <n v="18.399999999999999"/>
    <m/>
    <m/>
    <m/>
    <n v="2.21"/>
    <m/>
    <n v="20.61"/>
    <n v="23.96"/>
    <m/>
    <m/>
    <m/>
    <n v="0.66"/>
    <n v="0"/>
    <n v="24.62"/>
    <x v="15"/>
    <x v="1"/>
  </r>
  <r>
    <x v="16"/>
    <n v="233.79999999999998"/>
    <n v="10.85"/>
    <n v="5.77"/>
    <n v="3"/>
    <n v="24.38"/>
    <n v="0.64"/>
    <n v="278.44"/>
    <n v="28.9"/>
    <n v="10.85"/>
    <n v="5.77"/>
    <n v="3"/>
    <n v="8.76"/>
    <n v="0.64"/>
    <n v="57.919999999999995"/>
    <n v="170.6"/>
    <m/>
    <m/>
    <m/>
    <n v="13.46"/>
    <m/>
    <n v="184.06"/>
    <n v="13.6"/>
    <m/>
    <m/>
    <m/>
    <n v="1.42"/>
    <m/>
    <n v="15.02"/>
    <n v="20.7"/>
    <m/>
    <m/>
    <m/>
    <n v="0.74"/>
    <n v="0"/>
    <n v="21.439999999999998"/>
    <x v="16"/>
    <x v="1"/>
  </r>
  <r>
    <x v="17"/>
    <n v="233.79999999999998"/>
    <n v="10.85"/>
    <n v="5.77"/>
    <n v="3"/>
    <n v="24.38"/>
    <n v="0.64"/>
    <n v="278.44"/>
    <n v="28.9"/>
    <n v="10.85"/>
    <n v="5.77"/>
    <n v="3"/>
    <n v="8.76"/>
    <n v="0.64"/>
    <n v="57.919999999999995"/>
    <n v="170.6"/>
    <m/>
    <m/>
    <m/>
    <n v="13.46"/>
    <m/>
    <n v="184.06"/>
    <n v="13.6"/>
    <m/>
    <m/>
    <m/>
    <n v="1.42"/>
    <m/>
    <n v="15.02"/>
    <n v="20.7"/>
    <m/>
    <m/>
    <m/>
    <n v="0.74"/>
    <n v="0"/>
    <n v="21.439999999999998"/>
    <x v="17"/>
    <x v="1"/>
  </r>
  <r>
    <x v="18"/>
    <n v="271.82"/>
    <n v="14.6"/>
    <n v="4.7"/>
    <n v="1.9"/>
    <n v="32.800000000000004"/>
    <n v="2.76"/>
    <n v="328.58"/>
    <n v="31.1"/>
    <n v="14.6"/>
    <n v="4.7"/>
    <n v="1.9"/>
    <n v="10.1"/>
    <n v="2.76"/>
    <n v="65.160000000000011"/>
    <n v="196.62"/>
    <m/>
    <m/>
    <m/>
    <n v="20.72"/>
    <m/>
    <n v="217.34"/>
    <n v="18.399999999999999"/>
    <m/>
    <m/>
    <m/>
    <n v="1.42"/>
    <m/>
    <n v="19.82"/>
    <n v="25.7"/>
    <m/>
    <m/>
    <m/>
    <n v="0.56000000000000005"/>
    <n v="0"/>
    <n v="26.259999999999998"/>
    <x v="18"/>
    <x v="1"/>
  </r>
  <r>
    <x v="19"/>
    <n v="260.35000000000002"/>
    <n v="9.1"/>
    <n v="2.7"/>
    <n v="1.5"/>
    <n v="27.49"/>
    <n v="3.08"/>
    <n v="304.22000000000003"/>
    <n v="29.5"/>
    <n v="9.1"/>
    <n v="2.7"/>
    <n v="1.5"/>
    <n v="6.31"/>
    <n v="3.08"/>
    <n v="52.190000000000005"/>
    <n v="197.15"/>
    <m/>
    <m/>
    <m/>
    <n v="19.2"/>
    <m/>
    <n v="216.35"/>
    <n v="14.6"/>
    <m/>
    <m/>
    <m/>
    <n v="1.42"/>
    <m/>
    <n v="16.02"/>
    <n v="19.100000000000001"/>
    <m/>
    <m/>
    <m/>
    <n v="0.56000000000000005"/>
    <n v="0"/>
    <n v="19.66"/>
    <x v="19"/>
    <x v="1"/>
  </r>
  <r>
    <x v="20"/>
    <n v="275.15000000000003"/>
    <n v="13.25"/>
    <n v="5.3"/>
    <n v="1.22"/>
    <n v="24.78"/>
    <n v="2.74"/>
    <n v="322.44000000000005"/>
    <n v="34.299999999999997"/>
    <n v="13.25"/>
    <n v="5.3"/>
    <n v="1.22"/>
    <n v="7.23"/>
    <n v="2.74"/>
    <n v="64.039999999999992"/>
    <n v="215.45"/>
    <m/>
    <m/>
    <m/>
    <n v="16.420000000000002"/>
    <m/>
    <n v="231.87"/>
    <n v="11.3"/>
    <m/>
    <m/>
    <m/>
    <n v="0.56999999999999995"/>
    <m/>
    <n v="11.870000000000001"/>
    <n v="14.1"/>
    <m/>
    <m/>
    <m/>
    <n v="0.56000000000000005"/>
    <n v="0"/>
    <n v="14.66"/>
    <x v="20"/>
    <x v="1"/>
  </r>
  <r>
    <x v="21"/>
    <n v="273.26000000000005"/>
    <n v="10.210000000000001"/>
    <n v="5.0999999999999996"/>
    <n v="0.53"/>
    <n v="25.67"/>
    <n v="6.12"/>
    <n v="320.89000000000004"/>
    <n v="37.700000000000003"/>
    <n v="10.210000000000001"/>
    <n v="5.0999999999999996"/>
    <n v="0.53"/>
    <n v="3.85"/>
    <n v="3.06"/>
    <n v="60.45000000000001"/>
    <n v="212.96"/>
    <m/>
    <m/>
    <m/>
    <n v="21.23"/>
    <m/>
    <n v="234.19"/>
    <n v="8"/>
    <m/>
    <m/>
    <m/>
    <n v="0.55000000000000004"/>
    <m/>
    <n v="8.5500000000000007"/>
    <n v="14.6"/>
    <m/>
    <m/>
    <m/>
    <n v="0.04"/>
    <n v="3.06"/>
    <n v="17.7"/>
    <x v="21"/>
    <x v="1"/>
  </r>
  <r>
    <x v="22"/>
    <n v="266.33000000000004"/>
    <n v="14.9"/>
    <n v="5.47"/>
    <n v="1.07"/>
    <n v="29.779999999999998"/>
    <n v="2.37"/>
    <n v="319.92"/>
    <n v="40.4"/>
    <n v="14.9"/>
    <n v="5.47"/>
    <n v="1.07"/>
    <n v="11.03"/>
    <n v="2.37"/>
    <n v="75.239999999999995"/>
    <n v="199.93"/>
    <m/>
    <m/>
    <m/>
    <n v="18.329999999999998"/>
    <m/>
    <n v="218.26"/>
    <n v="11"/>
    <m/>
    <m/>
    <m/>
    <n v="0.4"/>
    <m/>
    <n v="11.4"/>
    <n v="15"/>
    <m/>
    <m/>
    <m/>
    <n v="0.02"/>
    <n v="0"/>
    <n v="15.02"/>
    <x v="22"/>
    <x v="1"/>
  </r>
  <r>
    <x v="23"/>
    <n v="202.3"/>
    <n v="46"/>
    <n v="3.8"/>
    <n v="31.509999999999998"/>
    <n v="23.040000000000003"/>
    <n v="2.11"/>
    <n v="308.76000000000005"/>
    <n v="48"/>
    <n v="10.4"/>
    <n v="3.8"/>
    <n v="0.57999999999999996"/>
    <n v="6.94"/>
    <n v="2.11"/>
    <n v="71.83"/>
    <n v="121.3"/>
    <n v="35.6"/>
    <m/>
    <n v="30.93"/>
    <n v="15.96"/>
    <m/>
    <n v="203.79000000000002"/>
    <n v="20.6"/>
    <m/>
    <m/>
    <m/>
    <n v="0.14000000000000001"/>
    <m/>
    <n v="20.740000000000002"/>
    <n v="12.4"/>
    <m/>
    <m/>
    <m/>
    <m/>
    <m/>
    <n v="12.4"/>
    <x v="23"/>
    <x v="1"/>
  </r>
  <r>
    <x v="24"/>
    <n v="275.41000000000003"/>
    <n v="11.65"/>
    <n v="4.4000000000000004"/>
    <n v="2.11"/>
    <n v="22.009999999999998"/>
    <n v="6.52"/>
    <n v="322.09999999999997"/>
    <n v="45.8"/>
    <n v="11.65"/>
    <n v="4.4000000000000004"/>
    <n v="2.11"/>
    <n v="8.33"/>
    <n v="6.52"/>
    <n v="78.809999999999988"/>
    <n v="192.81"/>
    <m/>
    <m/>
    <m/>
    <n v="13.64"/>
    <m/>
    <n v="206.45"/>
    <n v="26.3"/>
    <m/>
    <m/>
    <m/>
    <n v="0.04"/>
    <m/>
    <n v="26.34"/>
    <n v="10.5"/>
    <m/>
    <m/>
    <m/>
    <n v="0"/>
    <n v="0"/>
    <n v="10.5"/>
    <x v="24"/>
    <x v="1"/>
  </r>
  <r>
    <x v="25"/>
    <n v="259.32000000000005"/>
    <n v="10.27"/>
    <n v="5.0999999999999996"/>
    <n v="2.8"/>
    <n v="29.4"/>
    <n v="5.01"/>
    <n v="311.90000000000003"/>
    <n v="50.3"/>
    <n v="10.27"/>
    <n v="5.0999999999999996"/>
    <n v="2.8"/>
    <n v="11.11"/>
    <n v="5.01"/>
    <n v="84.589999999999989"/>
    <n v="177.12"/>
    <m/>
    <m/>
    <m/>
    <n v="18.29"/>
    <m/>
    <n v="195.41"/>
    <n v="21.9"/>
    <m/>
    <m/>
    <m/>
    <n v="0"/>
    <m/>
    <n v="21.9"/>
    <n v="10"/>
    <m/>
    <m/>
    <m/>
    <n v="0"/>
    <n v="0"/>
    <n v="10"/>
    <x v="25"/>
    <x v="1"/>
  </r>
  <r>
    <x v="26"/>
    <n v="248.36999999999998"/>
    <n v="13.63"/>
    <n v="6.77"/>
    <n v="1.98"/>
    <n v="27.18"/>
    <n v="4.4000000000000004"/>
    <n v="302.33"/>
    <n v="54.2"/>
    <n v="13.63"/>
    <n v="6.77"/>
    <n v="1.98"/>
    <n v="10.83"/>
    <n v="4.4000000000000004"/>
    <n v="91.81"/>
    <n v="161.57"/>
    <m/>
    <m/>
    <m/>
    <n v="16.350000000000001"/>
    <m/>
    <n v="177.92"/>
    <n v="23.1"/>
    <m/>
    <m/>
    <m/>
    <n v="0"/>
    <m/>
    <n v="23.1"/>
    <n v="9.5"/>
    <m/>
    <m/>
    <m/>
    <n v="0"/>
    <n v="0"/>
    <n v="9.5"/>
    <x v="26"/>
    <x v="1"/>
  </r>
  <r>
    <x v="27"/>
    <n v="214.67"/>
    <n v="13.25"/>
    <n v="7.6"/>
    <n v="3.02"/>
    <n v="23.240000000000002"/>
    <n v="3.04"/>
    <n v="264.82"/>
    <n v="47.7"/>
    <n v="13.25"/>
    <n v="7.6"/>
    <n v="3.02"/>
    <n v="8.84"/>
    <n v="3.04"/>
    <n v="83.45"/>
    <n v="126.57"/>
    <m/>
    <m/>
    <m/>
    <n v="14.4"/>
    <m/>
    <n v="140.97"/>
    <n v="31.4"/>
    <m/>
    <m/>
    <m/>
    <n v="0"/>
    <m/>
    <n v="31.4"/>
    <n v="9"/>
    <m/>
    <m/>
    <m/>
    <n v="0"/>
    <n v="0"/>
    <n v="9"/>
    <x v="27"/>
    <x v="1"/>
  </r>
  <r>
    <x v="28"/>
    <n v="263"/>
    <n v="0"/>
    <n v="0"/>
    <n v="0"/>
    <n v="0"/>
    <n v="0"/>
    <n v="263"/>
    <n v="76"/>
    <m/>
    <m/>
    <m/>
    <m/>
    <m/>
    <n v="76"/>
    <n v="119"/>
    <m/>
    <m/>
    <m/>
    <m/>
    <m/>
    <n v="119"/>
    <n v="59"/>
    <m/>
    <m/>
    <m/>
    <m/>
    <m/>
    <n v="59"/>
    <n v="9"/>
    <m/>
    <m/>
    <m/>
    <m/>
    <m/>
    <n v="9"/>
    <x v="28"/>
    <x v="1"/>
  </r>
  <r>
    <x v="29"/>
    <n v="211.32"/>
    <n v="12.69"/>
    <n v="13.5"/>
    <n v="2.46"/>
    <n v="19.97"/>
    <n v="2.19"/>
    <n v="262.13"/>
    <n v="46"/>
    <n v="12.69"/>
    <n v="13.5"/>
    <n v="2.46"/>
    <n v="8.09"/>
    <n v="2.19"/>
    <n v="84.929999999999993"/>
    <n v="95.72"/>
    <m/>
    <m/>
    <m/>
    <n v="11.88"/>
    <m/>
    <n v="107.6"/>
    <n v="63.9"/>
    <m/>
    <m/>
    <m/>
    <n v="0"/>
    <m/>
    <n v="63.9"/>
    <n v="5.7"/>
    <m/>
    <m/>
    <m/>
    <n v="0"/>
    <n v="0"/>
    <n v="5.7"/>
    <x v="29"/>
    <x v="1"/>
  </r>
  <r>
    <x v="30"/>
    <n v="255.29500000000002"/>
    <n v="0"/>
    <n v="0"/>
    <n v="0"/>
    <n v="0"/>
    <n v="0"/>
    <n v="255.29500000000002"/>
    <n v="80.655000000000001"/>
    <m/>
    <m/>
    <m/>
    <m/>
    <m/>
    <n v="80.655000000000001"/>
    <n v="100.35"/>
    <m/>
    <m/>
    <m/>
    <m/>
    <m/>
    <n v="100.35"/>
    <n v="68.989999999999995"/>
    <m/>
    <m/>
    <m/>
    <m/>
    <m/>
    <n v="68.989999999999995"/>
    <n v="5.3"/>
    <m/>
    <m/>
    <m/>
    <m/>
    <m/>
    <n v="5.3"/>
    <x v="30"/>
    <x v="1"/>
  </r>
  <r>
    <x v="31"/>
    <n v="197.38000000000002"/>
    <n v="14.61"/>
    <n v="13.44"/>
    <n v="1.19"/>
    <n v="17.7"/>
    <n v="4.1399999999999997"/>
    <n v="248.45999999999998"/>
    <n v="37.4"/>
    <n v="14.61"/>
    <n v="13.44"/>
    <n v="1.19"/>
    <n v="5.6"/>
    <n v="4.1399999999999997"/>
    <n v="76.38"/>
    <n v="84.9"/>
    <m/>
    <m/>
    <m/>
    <n v="8.1999999999999993"/>
    <m/>
    <n v="93.100000000000009"/>
    <n v="70.180000000000007"/>
    <m/>
    <m/>
    <m/>
    <n v="3.9"/>
    <m/>
    <n v="74.080000000000013"/>
    <n v="4.9000000000000004"/>
    <m/>
    <m/>
    <m/>
    <n v="0"/>
    <n v="0"/>
    <n v="4.9000000000000004"/>
    <x v="31"/>
    <x v="1"/>
  </r>
  <r>
    <x v="32"/>
    <n v="210.24"/>
    <n v="14.41"/>
    <n v="10.41"/>
    <n v="1"/>
    <n v="20.41"/>
    <n v="3.54"/>
    <n v="260.01000000000005"/>
    <n v="42.9"/>
    <n v="14.41"/>
    <n v="10.41"/>
    <n v="1"/>
    <n v="4.8499999999999996"/>
    <n v="3.54"/>
    <n v="77.11"/>
    <n v="94.66"/>
    <m/>
    <m/>
    <m/>
    <n v="7.56"/>
    <m/>
    <n v="102.22"/>
    <n v="70.180000000000007"/>
    <m/>
    <m/>
    <m/>
    <n v="8"/>
    <m/>
    <n v="78.180000000000007"/>
    <n v="2.5"/>
    <m/>
    <m/>
    <m/>
    <n v="0"/>
    <n v="0"/>
    <n v="2.5"/>
    <x v="32"/>
    <x v="1"/>
  </r>
  <r>
    <x v="33"/>
    <n v="195.25"/>
    <n v="11.34"/>
    <n v="8.58"/>
    <n v="0.81"/>
    <n v="17.05"/>
    <n v="4.21"/>
    <n v="237.24000000000004"/>
    <n v="27.8"/>
    <n v="11.34"/>
    <n v="8.58"/>
    <n v="0.81"/>
    <n v="2.85"/>
    <n v="4.21"/>
    <n v="55.59"/>
    <n v="89.05"/>
    <m/>
    <m/>
    <m/>
    <n v="6.7"/>
    <m/>
    <n v="95.75"/>
    <n v="75.599999999999994"/>
    <m/>
    <m/>
    <m/>
    <n v="7.5"/>
    <m/>
    <n v="83.1"/>
    <n v="2.8"/>
    <m/>
    <m/>
    <m/>
    <n v="0"/>
    <n v="0"/>
    <n v="2.8"/>
    <x v="33"/>
    <x v="1"/>
  </r>
  <r>
    <x v="34"/>
    <n v="184.84"/>
    <n v="10.55"/>
    <n v="8.14"/>
    <n v="1.3"/>
    <n v="17.41"/>
    <n v="3.35"/>
    <n v="225.59000000000003"/>
    <n v="22.3"/>
    <n v="10.55"/>
    <n v="8.14"/>
    <n v="1.3"/>
    <n v="4.4400000000000004"/>
    <n v="3.35"/>
    <n v="50.08"/>
    <n v="82.94"/>
    <m/>
    <m/>
    <m/>
    <n v="5.75"/>
    <m/>
    <n v="88.69"/>
    <n v="77.8"/>
    <m/>
    <m/>
    <m/>
    <n v="7.22"/>
    <m/>
    <n v="85.02"/>
    <n v="1.8"/>
    <m/>
    <m/>
    <m/>
    <n v="0"/>
    <n v="0"/>
    <n v="1.8"/>
    <x v="34"/>
    <x v="1"/>
  </r>
  <r>
    <x v="35"/>
    <n v="167.74"/>
    <n v="8.83"/>
    <n v="5.52"/>
    <n v="2.02"/>
    <n v="22.44"/>
    <n v="1.32"/>
    <n v="207.87000000000003"/>
    <n v="24.4"/>
    <n v="8.83"/>
    <n v="5.52"/>
    <n v="2.02"/>
    <n v="4.7300000000000004"/>
    <n v="1.32"/>
    <n v="46.82"/>
    <n v="63.44"/>
    <m/>
    <m/>
    <m/>
    <n v="11.65"/>
    <m/>
    <n v="75.09"/>
    <n v="78"/>
    <m/>
    <m/>
    <m/>
    <n v="6.06"/>
    <m/>
    <n v="84.06"/>
    <n v="1.9"/>
    <m/>
    <m/>
    <m/>
    <n v="0"/>
    <n v="0"/>
    <n v="1.9"/>
    <x v="35"/>
    <x v="1"/>
  </r>
  <r>
    <x v="36"/>
    <n v="194.48"/>
    <n v="7.92"/>
    <n v="2.67"/>
    <n v="1.59"/>
    <n v="19.61"/>
    <n v="2.11"/>
    <n v="228.38"/>
    <n v="25.5"/>
    <n v="7.92"/>
    <n v="2.67"/>
    <n v="1.59"/>
    <n v="3.54"/>
    <n v="2.11"/>
    <n v="43.330000000000005"/>
    <n v="76.38"/>
    <m/>
    <m/>
    <m/>
    <n v="11"/>
    <m/>
    <n v="87.38"/>
    <n v="90.7"/>
    <m/>
    <m/>
    <m/>
    <n v="5.07"/>
    <m/>
    <n v="95.77000000000001"/>
    <n v="1.9"/>
    <m/>
    <m/>
    <m/>
    <n v="0"/>
    <n v="0"/>
    <n v="1.9"/>
    <x v="36"/>
    <x v="1"/>
  </r>
  <r>
    <x v="37"/>
    <n v="191.82"/>
    <n v="9.43"/>
    <n v="4.3"/>
    <n v="1.2"/>
    <n v="29.08"/>
    <n v="2.73"/>
    <n v="238.55999999999997"/>
    <n v="22"/>
    <n v="9.43"/>
    <n v="4.3"/>
    <n v="1.2"/>
    <n v="5.54"/>
    <n v="2.73"/>
    <n v="45.199999999999996"/>
    <n v="82.72"/>
    <m/>
    <m/>
    <m/>
    <n v="17.32"/>
    <m/>
    <n v="100.03999999999999"/>
    <n v="85.4"/>
    <m/>
    <m/>
    <m/>
    <n v="6.22"/>
    <m/>
    <n v="91.62"/>
    <n v="1.7"/>
    <m/>
    <m/>
    <m/>
    <n v="0"/>
    <n v="0"/>
    <n v="1.7"/>
    <x v="37"/>
    <x v="1"/>
  </r>
  <r>
    <x v="38"/>
    <n v="187.19"/>
    <n v="11.86"/>
    <n v="4.04"/>
    <n v="0.35"/>
    <n v="27.57"/>
    <n v="3.37"/>
    <n v="234.38"/>
    <n v="27.6"/>
    <n v="11.86"/>
    <n v="4.04"/>
    <n v="0.35"/>
    <n v="4.82"/>
    <n v="3.37"/>
    <n v="52.04"/>
    <n v="75.790000000000006"/>
    <m/>
    <m/>
    <m/>
    <n v="16.98"/>
    <m/>
    <n v="92.77000000000001"/>
    <n v="82.1"/>
    <m/>
    <m/>
    <m/>
    <n v="5.77"/>
    <m/>
    <n v="87.86999999999999"/>
    <n v="1.7"/>
    <m/>
    <m/>
    <m/>
    <n v="0"/>
    <n v="0"/>
    <n v="1.7"/>
    <x v="38"/>
    <x v="1"/>
  </r>
  <r>
    <x v="39"/>
    <n v="188.53"/>
    <n v="11.85"/>
    <n v="6.68"/>
    <n v="0"/>
    <n v="25.34"/>
    <n v="1.89"/>
    <n v="234.29"/>
    <n v="22.9"/>
    <n v="11.85"/>
    <n v="6.68"/>
    <n v="0"/>
    <n v="3.86"/>
    <n v="1.89"/>
    <n v="47.18"/>
    <n v="76.930000000000007"/>
    <m/>
    <m/>
    <m/>
    <n v="15.94"/>
    <m/>
    <n v="92.87"/>
    <n v="88.1"/>
    <m/>
    <m/>
    <m/>
    <n v="5.54"/>
    <m/>
    <n v="93.64"/>
    <n v="0.6"/>
    <m/>
    <m/>
    <m/>
    <n v="0"/>
    <n v="0"/>
    <n v="0.6"/>
    <x v="39"/>
    <x v="1"/>
  </r>
  <r>
    <x v="40"/>
    <n v="197.65"/>
    <n v="11.3"/>
    <n v="2.76"/>
    <n v="1.5"/>
    <n v="22.96"/>
    <n v="3.23"/>
    <n v="239.4"/>
    <n v="23.1"/>
    <n v="11.3"/>
    <n v="2.76"/>
    <n v="1.5"/>
    <n v="3.64"/>
    <n v="3.23"/>
    <n v="45.53"/>
    <n v="76.05"/>
    <m/>
    <m/>
    <m/>
    <n v="14.39"/>
    <m/>
    <n v="90.44"/>
    <n v="98"/>
    <m/>
    <m/>
    <m/>
    <n v="4.93"/>
    <m/>
    <n v="102.93"/>
    <n v="0.5"/>
    <m/>
    <m/>
    <m/>
    <n v="0"/>
    <n v="0"/>
    <n v="0.5"/>
    <x v="40"/>
    <x v="1"/>
  </r>
  <r>
    <x v="41"/>
    <n v="201.63"/>
    <n v="6.68"/>
    <n v="2.59"/>
    <n v="1.25"/>
    <n v="19.61"/>
    <n v="3.71"/>
    <n v="235.47"/>
    <n v="20.3"/>
    <n v="6.68"/>
    <n v="2.59"/>
    <n v="1.25"/>
    <n v="2.23"/>
    <n v="3.71"/>
    <n v="36.76"/>
    <n v="88.43"/>
    <m/>
    <m/>
    <m/>
    <n v="11.24"/>
    <m/>
    <n v="99.67"/>
    <n v="92.6"/>
    <m/>
    <m/>
    <m/>
    <n v="6.14"/>
    <m/>
    <n v="98.74"/>
    <n v="0.3"/>
    <m/>
    <m/>
    <m/>
    <n v="0"/>
    <n v="0"/>
    <n v="0.3"/>
    <x v="41"/>
    <x v="1"/>
  </r>
  <r>
    <x v="42"/>
    <n v="211.73999999999998"/>
    <n v="9.6300000000000008"/>
    <n v="5.26"/>
    <n v="1"/>
    <n v="17"/>
    <n v="4.01"/>
    <n v="248.63999999999996"/>
    <n v="29.1"/>
    <n v="9.6300000000000008"/>
    <n v="5.26"/>
    <n v="1"/>
    <n v="3.31"/>
    <n v="4.01"/>
    <n v="52.31"/>
    <n v="83.34"/>
    <m/>
    <m/>
    <m/>
    <n v="8.77"/>
    <m/>
    <n v="92.11"/>
    <n v="99.1"/>
    <m/>
    <m/>
    <m/>
    <n v="4.92"/>
    <m/>
    <n v="104.02"/>
    <n v="0.2"/>
    <m/>
    <m/>
    <m/>
    <n v="0"/>
    <n v="0"/>
    <n v="0.2"/>
    <x v="42"/>
    <x v="1"/>
  </r>
  <r>
    <x v="43"/>
    <n v="199.35"/>
    <n v="8.31"/>
    <n v="6.69"/>
    <n v="1"/>
    <n v="18.88"/>
    <n v="4.28"/>
    <n v="238.51"/>
    <n v="27.5"/>
    <n v="8.31"/>
    <n v="6.69"/>
    <n v="1"/>
    <n v="4.24"/>
    <n v="4.28"/>
    <n v="52.02"/>
    <n v="80.45"/>
    <m/>
    <m/>
    <m/>
    <n v="7.28"/>
    <m/>
    <n v="87.73"/>
    <n v="91.3"/>
    <m/>
    <m/>
    <m/>
    <n v="7.36"/>
    <m/>
    <n v="98.66"/>
    <n v="0.1"/>
    <m/>
    <m/>
    <m/>
    <n v="0"/>
    <n v="0"/>
    <n v="0.1"/>
    <x v="43"/>
    <x v="1"/>
  </r>
  <r>
    <x v="44"/>
    <n v="133.5"/>
    <n v="30.810000000000002"/>
    <n v="17.28"/>
    <n v="16.990000000000002"/>
    <n v="16.93"/>
    <n v="3.91"/>
    <n v="219.42000000000002"/>
    <n v="31.3"/>
    <n v="10.68"/>
    <n v="3.99"/>
    <n v="0.51"/>
    <n v="4.67"/>
    <n v="3.91"/>
    <n v="55.06"/>
    <n v="24.7"/>
    <n v="15.13"/>
    <n v="13.29"/>
    <n v="15.84"/>
    <n v="5.62"/>
    <n v="0"/>
    <n v="74.58"/>
    <n v="77.5"/>
    <n v="5"/>
    <n v="0"/>
    <n v="0.64"/>
    <n v="6.64"/>
    <n v="0"/>
    <n v="89.78"/>
    <n v="0"/>
    <n v="0"/>
    <n v="0"/>
    <n v="0"/>
    <n v="0"/>
    <n v="0"/>
    <n v="0"/>
    <x v="44"/>
    <x v="1"/>
  </r>
  <r>
    <x v="45"/>
    <n v="122.7"/>
    <n v="27.25"/>
    <n v="16.009999999999998"/>
    <n v="13.84"/>
    <n v="12.52"/>
    <n v="3.33"/>
    <n v="195.65"/>
    <n v="31.2"/>
    <n v="8.98"/>
    <n v="1.64"/>
    <n v="0.26"/>
    <n v="3.1"/>
    <n v="3.33"/>
    <n v="48.51"/>
    <n v="25.6"/>
    <n v="13.27"/>
    <n v="14.37"/>
    <n v="13.19"/>
    <n v="3.88"/>
    <n v="0"/>
    <n v="70.31"/>
    <n v="65.900000000000006"/>
    <n v="5"/>
    <n v="0"/>
    <n v="0.39"/>
    <n v="5.54"/>
    <n v="0"/>
    <n v="76.830000000000013"/>
    <n v="0"/>
    <n v="0"/>
    <n v="0"/>
    <n v="0"/>
    <n v="0"/>
    <n v="0"/>
    <n v="0"/>
    <x v="45"/>
    <x v="1"/>
  </r>
  <r>
    <x v="46"/>
    <n v="121.4"/>
    <n v="20.86"/>
    <n v="15.540000000000001"/>
    <n v="10.829999999999998"/>
    <n v="11.270000000000001"/>
    <n v="1.1200000000000001"/>
    <n v="181.02"/>
    <n v="23"/>
    <n v="9.81"/>
    <n v="1.74"/>
    <n v="0.03"/>
    <n v="4.32"/>
    <n v="1.1200000000000001"/>
    <n v="40.020000000000003"/>
    <n v="26.2"/>
    <n v="9.6300000000000008"/>
    <n v="13.8"/>
    <n v="10.45"/>
    <n v="2.72"/>
    <n v="0"/>
    <n v="62.8"/>
    <n v="72.2"/>
    <n v="1.42"/>
    <n v="0"/>
    <n v="0.35"/>
    <n v="4.2300000000000004"/>
    <n v="0"/>
    <n v="78.2"/>
    <n v="0"/>
    <n v="0"/>
    <n v="0"/>
    <n v="0"/>
    <n v="0"/>
    <n v="0"/>
    <n v="0"/>
    <x v="46"/>
    <x v="1"/>
  </r>
  <r>
    <x v="47"/>
    <n v="117.7"/>
    <n v="20.72"/>
    <n v="18.38"/>
    <n v="7.52"/>
    <n v="12.72"/>
    <n v="1.26"/>
    <n v="178.3"/>
    <n v="18.3"/>
    <n v="12"/>
    <n v="3.98"/>
    <n v="0"/>
    <n v="3"/>
    <n v="1.26"/>
    <n v="38.54"/>
    <n v="19"/>
    <n v="7.3"/>
    <n v="14.4"/>
    <n v="7.38"/>
    <n v="6.07"/>
    <n v="0"/>
    <n v="54.150000000000006"/>
    <n v="80.400000000000006"/>
    <n v="1.42"/>
    <n v="0"/>
    <n v="0.14000000000000001"/>
    <n v="3.65"/>
    <n v="0"/>
    <n v="85.610000000000014"/>
    <n v="0"/>
    <n v="0"/>
    <n v="0"/>
    <n v="0"/>
    <n v="0"/>
    <n v="0"/>
    <n v="0"/>
    <x v="47"/>
    <x v="1"/>
  </r>
  <r>
    <x v="48"/>
    <n v="139.9"/>
    <n v="15.260000000000002"/>
    <n v="17.52"/>
    <n v="5.57"/>
    <n v="12.26"/>
    <n v="0.51"/>
    <n v="191.01999999999998"/>
    <n v="14"/>
    <n v="10.06"/>
    <n v="2.52"/>
    <n v="0"/>
    <n v="3.92"/>
    <n v="0.51"/>
    <n v="31.01"/>
    <n v="21.9"/>
    <n v="5.2"/>
    <n v="15"/>
    <n v="5.49"/>
    <n v="5.66"/>
    <n v="0"/>
    <n v="53.25"/>
    <n v="104"/>
    <n v="0"/>
    <n v="0"/>
    <n v="0.08"/>
    <n v="2.68"/>
    <n v="0"/>
    <n v="106.76"/>
    <n v="0"/>
    <n v="0"/>
    <n v="0"/>
    <n v="0"/>
    <n v="0"/>
    <n v="0"/>
    <n v="0"/>
    <x v="48"/>
    <x v="1"/>
  </r>
  <r>
    <x v="49"/>
    <n v="169.3"/>
    <n v="13.23"/>
    <n v="13.91"/>
    <n v="5.13"/>
    <n v="10.71"/>
    <n v="2.0299999999999998"/>
    <n v="214.31"/>
    <n v="14.9"/>
    <n v="8.93"/>
    <n v="0.71"/>
    <n v="1.6"/>
    <n v="3.57"/>
    <n v="2.0299999999999998"/>
    <n v="31.740000000000002"/>
    <n v="39.9"/>
    <n v="4.3"/>
    <n v="13.2"/>
    <n v="3.53"/>
    <n v="5.18"/>
    <n v="0"/>
    <n v="66.109999999999985"/>
    <n v="114.5"/>
    <n v="0"/>
    <n v="0"/>
    <n v="0"/>
    <n v="1.96"/>
    <n v="0"/>
    <n v="116.46"/>
    <n v="0"/>
    <n v="0"/>
    <n v="0"/>
    <n v="0"/>
    <n v="0"/>
    <n v="0"/>
    <n v="0"/>
    <x v="49"/>
    <x v="1"/>
  </r>
  <r>
    <x v="50"/>
    <n v="161.80000000000001"/>
    <n v="7.0600000000000005"/>
    <n v="13.110000000000001"/>
    <n v="3.03"/>
    <n v="10.02"/>
    <n v="3.71"/>
    <n v="198.73000000000005"/>
    <n v="21.2"/>
    <n v="4.16"/>
    <n v="3.31"/>
    <n v="0.75"/>
    <n v="1.37"/>
    <n v="3.71"/>
    <n v="34.5"/>
    <n v="42.2"/>
    <n v="2.9"/>
    <n v="9.8000000000000007"/>
    <n v="2.2799999999999998"/>
    <n v="4.91"/>
    <n v="0"/>
    <n v="62.09"/>
    <n v="98.4"/>
    <n v="0"/>
    <n v="0"/>
    <n v="0"/>
    <n v="3.74"/>
    <n v="0"/>
    <n v="102.14"/>
    <n v="0"/>
    <n v="0"/>
    <n v="0"/>
    <n v="0"/>
    <n v="0"/>
    <n v="0"/>
    <n v="0"/>
    <x v="50"/>
    <x v="1"/>
  </r>
  <r>
    <x v="51"/>
    <n v="195.3"/>
    <n v="5.0999999999999996"/>
    <n v="7.8999999999999995"/>
    <n v="5.75"/>
    <n v="10.37"/>
    <n v="2.21"/>
    <n v="226.63000000000002"/>
    <n v="14.9"/>
    <n v="3.1"/>
    <n v="2.2999999999999998"/>
    <n v="0.35"/>
    <n v="2.48"/>
    <n v="2.21"/>
    <n v="25.340000000000003"/>
    <n v="81"/>
    <n v="2"/>
    <n v="5.6"/>
    <n v="5.4"/>
    <n v="4.38"/>
    <n v="0"/>
    <n v="98.38"/>
    <n v="99.4"/>
    <n v="0"/>
    <n v="0"/>
    <n v="0"/>
    <n v="3.51"/>
    <n v="0"/>
    <n v="102.91000000000001"/>
    <n v="0"/>
    <n v="0"/>
    <n v="0"/>
    <n v="0"/>
    <n v="0"/>
    <n v="0"/>
    <n v="0"/>
    <x v="51"/>
    <x v="1"/>
  </r>
  <r>
    <x v="52"/>
    <n v="223.5"/>
    <n v="28.15"/>
    <n v="22.36"/>
    <n v="22.14"/>
    <n v="32.010000000000005"/>
    <n v="3.8600000000000003"/>
    <n v="332.02"/>
    <n v="20"/>
    <n v="8.4"/>
    <n v="4.0599999999999996"/>
    <n v="0"/>
    <n v="7.42"/>
    <n v="2.27"/>
    <n v="42.150000000000006"/>
    <n v="72.400000000000006"/>
    <n v="15.6"/>
    <n v="14"/>
    <n v="19.399999999999999"/>
    <n v="15.72"/>
    <n v="0"/>
    <n v="137.12"/>
    <n v="123.6"/>
    <n v="2.9"/>
    <n v="0"/>
    <n v="2.74"/>
    <n v="6.42"/>
    <n v="0"/>
    <n v="135.66"/>
    <n v="7.5"/>
    <n v="1.25"/>
    <n v="4.3"/>
    <n v="0"/>
    <n v="2.4500000000000002"/>
    <n v="1.59"/>
    <n v="17.09"/>
    <x v="52"/>
    <x v="1"/>
  </r>
  <r>
    <x v="53"/>
    <n v="187.60000000000002"/>
    <n v="22.73"/>
    <n v="4.1500000000000004"/>
    <n v="8.6999999999999993"/>
    <n v="14.620000000000001"/>
    <n v="3.02"/>
    <n v="240.82000000000002"/>
    <n v="10.4"/>
    <n v="7.93"/>
    <n v="3.35"/>
    <n v="1.1000000000000001"/>
    <n v="4.82"/>
    <n v="3.02"/>
    <n v="30.62"/>
    <n v="69.3"/>
    <n v="14.8"/>
    <n v="0.8"/>
    <n v="4.8"/>
    <n v="4.1399999999999997"/>
    <n v="0"/>
    <n v="93.839999999999989"/>
    <n v="102.1"/>
    <n v="0"/>
    <n v="0"/>
    <n v="2.8"/>
    <n v="5.66"/>
    <n v="0"/>
    <n v="110.55999999999999"/>
    <n v="5.8"/>
    <n v="0"/>
    <n v="0"/>
    <n v="0"/>
    <n v="0"/>
    <n v="0"/>
    <n v="5.8"/>
    <x v="1"/>
    <x v="2"/>
  </r>
  <r>
    <x v="54"/>
    <n v="205"/>
    <n v="20.85"/>
    <n v="10.72"/>
    <n v="23.79"/>
    <n v="36.120000000000005"/>
    <n v="2.2000000000000002"/>
    <n v="298.68"/>
    <n v="15.5"/>
    <n v="5.08"/>
    <n v="3.6"/>
    <n v="1.49"/>
    <n v="8.3800000000000008"/>
    <n v="2.2000000000000002"/>
    <n v="36.25"/>
    <n v="61.4"/>
    <n v="13.8"/>
    <n v="7.12"/>
    <n v="19.5"/>
    <n v="17.649999999999999"/>
    <n v="0"/>
    <n v="119.47"/>
    <n v="119.6"/>
    <n v="0"/>
    <n v="0"/>
    <n v="2.8"/>
    <n v="8.09"/>
    <n v="0"/>
    <n v="130.48999999999998"/>
    <n v="8.5"/>
    <n v="1.97"/>
    <n v="0"/>
    <n v="0"/>
    <n v="2"/>
    <n v="0"/>
    <n v="12.47"/>
    <x v="2"/>
    <x v="2"/>
  </r>
  <r>
    <x v="55"/>
    <n v="230.1"/>
    <n v="28.819999999999997"/>
    <n v="22.37"/>
    <n v="18.07"/>
    <n v="33.61"/>
    <n v="1.44"/>
    <n v="334.41"/>
    <n v="19.899999999999999"/>
    <n v="7.33"/>
    <n v="8.17"/>
    <n v="0.2"/>
    <n v="7.54"/>
    <n v="1.44"/>
    <n v="44.58"/>
    <n v="62.6"/>
    <n v="12.75"/>
    <n v="14"/>
    <n v="15.07"/>
    <n v="17.59"/>
    <n v="0"/>
    <n v="122.00999999999999"/>
    <n v="138.5"/>
    <n v="3.9"/>
    <n v="0.2"/>
    <n v="2.8"/>
    <n v="6.87"/>
    <n v="0"/>
    <n v="152.27000000000001"/>
    <n v="9.1"/>
    <n v="4.84"/>
    <n v="0"/>
    <n v="0"/>
    <n v="1.61"/>
    <n v="0"/>
    <n v="15.549999999999999"/>
    <x v="3"/>
    <x v="2"/>
  </r>
  <r>
    <x v="56"/>
    <n v="246.3"/>
    <n v="28.15"/>
    <n v="22.36"/>
    <n v="22.14"/>
    <n v="32.010000000000005"/>
    <n v="3.8600000000000003"/>
    <n v="354.82"/>
    <n v="20"/>
    <n v="8.4"/>
    <n v="4.0599999999999996"/>
    <n v="0"/>
    <n v="7.42"/>
    <n v="2.27"/>
    <n v="42.150000000000006"/>
    <n v="72.400000000000006"/>
    <n v="15.6"/>
    <n v="14"/>
    <n v="19.399999999999999"/>
    <n v="15.72"/>
    <n v="0"/>
    <n v="137.12"/>
    <n v="146.4"/>
    <n v="2.9"/>
    <n v="0"/>
    <n v="2.74"/>
    <n v="6.42"/>
    <n v="0"/>
    <n v="158.46"/>
    <n v="7.5"/>
    <n v="1.25"/>
    <n v="4.3"/>
    <n v="0"/>
    <n v="2.4500000000000002"/>
    <n v="1.59"/>
    <n v="17.09"/>
    <x v="4"/>
    <x v="2"/>
  </r>
  <r>
    <x v="57"/>
    <n v="201.50000000000003"/>
    <n v="31.970000000000002"/>
    <n v="19.57"/>
    <n v="18.399999999999999"/>
    <n v="31.36"/>
    <n v="4.26"/>
    <n v="307.06"/>
    <n v="15.4"/>
    <n v="8.7899999999999991"/>
    <n v="5.94"/>
    <n v="1.5"/>
    <n v="7.77"/>
    <n v="2.77"/>
    <n v="42.17"/>
    <n v="83.9"/>
    <n v="19.100000000000001"/>
    <n v="9.8000000000000007"/>
    <n v="15.4"/>
    <n v="14.51"/>
    <n v="0"/>
    <n v="142.70999999999998"/>
    <n v="91.3"/>
    <n v="2.1"/>
    <n v="0"/>
    <n v="1.5"/>
    <n v="7.16"/>
    <n v="0"/>
    <n v="102.05999999999999"/>
    <n v="10.9"/>
    <n v="1.98"/>
    <n v="3.83"/>
    <n v="0"/>
    <n v="1.92"/>
    <n v="1.49"/>
    <n v="20.12"/>
    <x v="5"/>
    <x v="2"/>
  </r>
  <r>
    <x v="58"/>
    <n v="235.2"/>
    <n v="36.090000000000003"/>
    <n v="20.760000000000005"/>
    <n v="14.12"/>
    <n v="26.810000000000002"/>
    <n v="3.9499999999999997"/>
    <n v="336.92999999999995"/>
    <n v="25.9"/>
    <n v="9.91"/>
    <n v="5.33"/>
    <n v="2.1"/>
    <n v="6.74"/>
    <n v="2.3199999999999998"/>
    <n v="52.300000000000004"/>
    <n v="90.6"/>
    <n v="23.3"/>
    <n v="13.3"/>
    <n v="11.6"/>
    <n v="11.61"/>
    <n v="0"/>
    <n v="150.40999999999997"/>
    <n v="104.1"/>
    <n v="1.2"/>
    <n v="0.3"/>
    <n v="0.42"/>
    <n v="6.79"/>
    <n v="0"/>
    <n v="112.81"/>
    <n v="14.6"/>
    <n v="1.68"/>
    <n v="1.83"/>
    <n v="0"/>
    <n v="1.67"/>
    <n v="1.63"/>
    <n v="21.41"/>
    <x v="6"/>
    <x v="2"/>
  </r>
  <r>
    <x v="59"/>
    <n v="200.1"/>
    <n v="32.559999999999995"/>
    <n v="20.62"/>
    <n v="10.53"/>
    <n v="28.35"/>
    <n v="3.74"/>
    <n v="295.90000000000003"/>
    <n v="10.3"/>
    <n v="8.92"/>
    <n v="6.87"/>
    <n v="1.2"/>
    <n v="5.87"/>
    <n v="1.97"/>
    <n v="35.129999999999995"/>
    <n v="88"/>
    <n v="22.7"/>
    <n v="12.77"/>
    <n v="9.3000000000000007"/>
    <n v="14.98"/>
    <n v="0"/>
    <n v="147.75"/>
    <n v="84.4"/>
    <n v="0.66"/>
    <n v="0.18"/>
    <n v="0.03"/>
    <n v="6.27"/>
    <n v="0"/>
    <n v="91.54"/>
    <n v="17.399999999999999"/>
    <n v="0.28000000000000003"/>
    <n v="0.8"/>
    <n v="0"/>
    <n v="1.23"/>
    <n v="1.77"/>
    <n v="21.48"/>
    <x v="7"/>
    <x v="2"/>
  </r>
  <r>
    <x v="60"/>
    <n v="200.79999999999998"/>
    <n v="31.82"/>
    <n v="24.31"/>
    <n v="20.010000000000002"/>
    <n v="25.16"/>
    <n v="4.0199999999999996"/>
    <n v="306.11999999999995"/>
    <n v="19.600000000000001"/>
    <n v="9.61"/>
    <n v="3.16"/>
    <n v="0.5"/>
    <n v="8.4"/>
    <n v="2.81"/>
    <n v="44.080000000000005"/>
    <n v="86.1"/>
    <n v="19.600000000000001"/>
    <n v="20.9"/>
    <n v="15.6"/>
    <n v="11.11"/>
    <n v="0"/>
    <n v="153.31"/>
    <n v="79.7"/>
    <n v="0.45"/>
    <n v="0"/>
    <n v="3.91"/>
    <n v="4.74"/>
    <n v="0"/>
    <n v="88.8"/>
    <n v="15.4"/>
    <n v="2.16"/>
    <n v="0.25"/>
    <n v="0"/>
    <n v="0.91"/>
    <n v="1.21"/>
    <n v="19.930000000000003"/>
    <x v="8"/>
    <x v="2"/>
  </r>
  <r>
    <x v="61"/>
    <n v="207.39999999999998"/>
    <n v="32.31"/>
    <n v="21.84"/>
    <n v="18.380000000000003"/>
    <n v="22.619999999999997"/>
    <n v="5.66"/>
    <n v="308.20999999999998"/>
    <n v="18.899999999999999"/>
    <n v="8.3000000000000007"/>
    <n v="5.97"/>
    <n v="0.97"/>
    <n v="7"/>
    <n v="4.55"/>
    <n v="45.69"/>
    <n v="105.2"/>
    <n v="18.600000000000001"/>
    <n v="15.87"/>
    <n v="13.5"/>
    <n v="11.4"/>
    <n v="0"/>
    <n v="164.57000000000002"/>
    <n v="66.8"/>
    <n v="3.27"/>
    <n v="0"/>
    <n v="3.91"/>
    <n v="3.59"/>
    <n v="0"/>
    <n v="77.569999999999993"/>
    <n v="16.5"/>
    <n v="2.14"/>
    <n v="0"/>
    <n v="0"/>
    <n v="0.63"/>
    <n v="1.1100000000000001"/>
    <n v="20.38"/>
    <x v="9"/>
    <x v="2"/>
  </r>
  <r>
    <x v="62"/>
    <n v="206.5"/>
    <n v="34.669999999999995"/>
    <n v="14.8"/>
    <n v="24.37"/>
    <n v="22.68"/>
    <n v="5.26"/>
    <n v="308.27999999999997"/>
    <n v="24.9"/>
    <n v="11.17"/>
    <n v="5.3"/>
    <n v="0.26"/>
    <n v="7.44"/>
    <n v="4.5"/>
    <n v="53.569999999999993"/>
    <n v="105.7"/>
    <n v="19.3"/>
    <n v="9.5"/>
    <n v="20.2"/>
    <n v="9.7799999999999994"/>
    <n v="0"/>
    <n v="164.48"/>
    <n v="65.2"/>
    <n v="3.15"/>
    <n v="0"/>
    <n v="3.91"/>
    <n v="5.09"/>
    <n v="0"/>
    <n v="77.350000000000009"/>
    <n v="10.7"/>
    <n v="1.05"/>
    <n v="0"/>
    <n v="0"/>
    <n v="0.37"/>
    <n v="0.76"/>
    <n v="12.879999999999999"/>
    <x v="10"/>
    <x v="2"/>
  </r>
  <r>
    <x v="63"/>
    <n v="211.50000000000003"/>
    <n v="30.57"/>
    <n v="8.33"/>
    <n v="24.67"/>
    <n v="22.21"/>
    <n v="4.8199999999999994"/>
    <n v="302.10000000000002"/>
    <n v="22.3"/>
    <n v="11.37"/>
    <n v="4.6100000000000003"/>
    <n v="0.01"/>
    <n v="10.14"/>
    <n v="4.72"/>
    <n v="53.15"/>
    <n v="115.4"/>
    <n v="15.9"/>
    <n v="3.72"/>
    <n v="17.2"/>
    <n v="7.3"/>
    <n v="0"/>
    <n v="159.52000000000001"/>
    <n v="65.900000000000006"/>
    <n v="3.1"/>
    <n v="0"/>
    <n v="7.46"/>
    <n v="4.5"/>
    <n v="0"/>
    <n v="80.959999999999994"/>
    <n v="7.9"/>
    <n v="0.2"/>
    <n v="0"/>
    <n v="0"/>
    <n v="0.27"/>
    <n v="0.1"/>
    <n v="8.4699999999999989"/>
    <x v="11"/>
    <x v="2"/>
  </r>
  <r>
    <x v="64"/>
    <n v="189.7"/>
    <n v="25.98"/>
    <n v="11.79"/>
    <n v="21.9"/>
    <n v="22.76"/>
    <n v="2.6150000000000002"/>
    <n v="274.745"/>
    <n v="13"/>
    <n v="10.61"/>
    <n v="4.79"/>
    <n v="1.45"/>
    <n v="6.84"/>
    <n v="2.48"/>
    <n v="39.169999999999995"/>
    <n v="108.4"/>
    <n v="12.24"/>
    <n v="7"/>
    <n v="13.4"/>
    <n v="12.07"/>
    <n v="0"/>
    <n v="153.10999999999999"/>
    <n v="62.3"/>
    <n v="2"/>
    <n v="0"/>
    <n v="7.05"/>
    <n v="3.62"/>
    <n v="0"/>
    <n v="74.97"/>
    <n v="6"/>
    <n v="1.1299999999999999"/>
    <n v="0"/>
    <n v="0"/>
    <n v="0.23"/>
    <n v="0.13500000000000001"/>
    <n v="7.4950000000000001"/>
    <x v="12"/>
    <x v="2"/>
  </r>
  <r>
    <x v="65"/>
    <n v="193.2"/>
    <n v="22.409999999999997"/>
    <n v="17.68"/>
    <n v="24.200000000000003"/>
    <n v="26.419999999999998"/>
    <n v="2.38"/>
    <n v="286.29000000000002"/>
    <n v="21"/>
    <n v="11.28"/>
    <n v="3.08"/>
    <n v="1"/>
    <n v="9.2200000000000006"/>
    <n v="1.85"/>
    <n v="47.43"/>
    <n v="107.4"/>
    <n v="8.5299999999999994"/>
    <n v="14.6"/>
    <n v="18.3"/>
    <n v="12.39"/>
    <n v="0"/>
    <n v="161.22000000000003"/>
    <n v="60.6"/>
    <n v="1.2"/>
    <n v="0"/>
    <n v="4.9000000000000004"/>
    <n v="4.3600000000000003"/>
    <m/>
    <n v="71.06"/>
    <n v="4.2"/>
    <n v="1.4"/>
    <n v="0"/>
    <n v="0"/>
    <n v="0.45"/>
    <n v="0.53"/>
    <n v="6.58"/>
    <x v="13"/>
    <x v="2"/>
  </r>
  <r>
    <x v="66"/>
    <n v="184.2"/>
    <n v="29.89"/>
    <n v="19.8"/>
    <n v="26.32"/>
    <n v="26.289999999999996"/>
    <n v="2.9"/>
    <n v="289.39999999999998"/>
    <n v="13.8"/>
    <n v="6.72"/>
    <n v="5.0999999999999996"/>
    <n v="0.62"/>
    <n v="6.1"/>
    <n v="2.63"/>
    <n v="34.97"/>
    <n v="110.8"/>
    <n v="21.21"/>
    <n v="13.1"/>
    <n v="22.45"/>
    <n v="16.38"/>
    <n v="0"/>
    <n v="183.93999999999997"/>
    <n v="56.5"/>
    <n v="0.66"/>
    <n v="0"/>
    <n v="3.25"/>
    <n v="3.4"/>
    <n v="0"/>
    <n v="63.809999999999995"/>
    <n v="3.1"/>
    <n v="1.3"/>
    <n v="1.6"/>
    <n v="0"/>
    <n v="0.41"/>
    <n v="0.27"/>
    <n v="6.68"/>
    <x v="14"/>
    <x v="2"/>
  </r>
  <r>
    <x v="67"/>
    <n v="191"/>
    <n v="33.300000000000004"/>
    <n v="21.47"/>
    <n v="25.39"/>
    <n v="22.040000000000003"/>
    <n v="2.2399999999999998"/>
    <n v="295.44000000000005"/>
    <n v="11.6"/>
    <n v="7.7"/>
    <n v="3.34"/>
    <n v="0.04"/>
    <n v="3.45"/>
    <n v="2.11"/>
    <n v="28.24"/>
    <n v="90.5"/>
    <n v="25.4"/>
    <n v="18"/>
    <n v="24.75"/>
    <n v="12.44"/>
    <n v="0"/>
    <n v="171.09"/>
    <n v="80.900000000000006"/>
    <n v="0"/>
    <n v="0"/>
    <n v="0.6"/>
    <n v="5.94"/>
    <n v="0"/>
    <n v="87.44"/>
    <n v="8"/>
    <n v="0.2"/>
    <n v="0.13"/>
    <n v="0"/>
    <n v="0.21"/>
    <n v="0.13"/>
    <n v="8.6700000000000017"/>
    <x v="15"/>
    <x v="2"/>
  </r>
  <r>
    <x v="68"/>
    <n v="196.4"/>
    <n v="38.020000000000003"/>
    <n v="18.2"/>
    <n v="21.590000000000003"/>
    <n v="27.650000000000002"/>
    <n v="0.91"/>
    <n v="302.77000000000004"/>
    <n v="8"/>
    <n v="4.62"/>
    <n v="3.04"/>
    <n v="0.35"/>
    <n v="6.25"/>
    <n v="0.67"/>
    <n v="22.930000000000003"/>
    <n v="103.9"/>
    <n v="32.1"/>
    <n v="14.2"/>
    <n v="19.850000000000001"/>
    <n v="16.690000000000001"/>
    <n v="0"/>
    <n v="186.73999999999998"/>
    <n v="78.900000000000006"/>
    <n v="0.13"/>
    <n v="0"/>
    <n v="1.39"/>
    <n v="4.5"/>
    <n v="0"/>
    <n v="84.92"/>
    <n v="5.6"/>
    <n v="1.17"/>
    <n v="0.96"/>
    <n v="0"/>
    <n v="0.21"/>
    <n v="0.24"/>
    <n v="8.18"/>
    <x v="16"/>
    <x v="2"/>
  </r>
  <r>
    <x v="69"/>
    <n v="203.79999999999998"/>
    <n v="30.71"/>
    <n v="15.54"/>
    <n v="22.650000000000002"/>
    <n v="21.35"/>
    <n v="2.09"/>
    <n v="296.14"/>
    <n v="16.5"/>
    <n v="8.11"/>
    <n v="3.34"/>
    <n v="1.1000000000000001"/>
    <n v="4.66"/>
    <n v="2"/>
    <n v="35.71"/>
    <n v="83.4"/>
    <n v="22.6"/>
    <n v="12.2"/>
    <n v="21.35"/>
    <n v="10.42"/>
    <n v="0"/>
    <n v="149.97"/>
    <n v="93.8"/>
    <n v="0"/>
    <n v="0"/>
    <n v="0.2"/>
    <n v="5.79"/>
    <n v="0"/>
    <n v="99.79"/>
    <n v="10.1"/>
    <n v="0"/>
    <n v="0"/>
    <n v="0"/>
    <n v="0.48"/>
    <n v="0.09"/>
    <n v="10.67"/>
    <x v="17"/>
    <x v="2"/>
  </r>
  <r>
    <x v="70"/>
    <n v="207.7"/>
    <n v="28.07"/>
    <n v="17.82"/>
    <n v="17.66"/>
    <n v="20.83"/>
    <n v="3.38"/>
    <n v="295.45999999999998"/>
    <n v="14.9"/>
    <n v="9.9700000000000006"/>
    <n v="6.22"/>
    <n v="0.15"/>
    <n v="7.29"/>
    <n v="3.34"/>
    <n v="41.870000000000005"/>
    <n v="69.599999999999994"/>
    <n v="18.100000000000001"/>
    <n v="11.6"/>
    <n v="17.350000000000001"/>
    <n v="7.73"/>
    <n v="0"/>
    <n v="124.37999999999998"/>
    <n v="109.2"/>
    <n v="0"/>
    <n v="0"/>
    <n v="0.16"/>
    <n v="5.38"/>
    <n v="0"/>
    <n v="114.74"/>
    <n v="14"/>
    <n v="0"/>
    <n v="0"/>
    <n v="0"/>
    <n v="0.43"/>
    <n v="0.04"/>
    <n v="14.469999999999999"/>
    <x v="18"/>
    <x v="2"/>
  </r>
  <r>
    <x v="71"/>
    <n v="223"/>
    <n v="28"/>
    <n v="20"/>
    <n v="18.510000000000002"/>
    <n v="23.16"/>
    <n v="4.04"/>
    <n v="316.71000000000004"/>
    <n v="19"/>
    <n v="11"/>
    <n v="7"/>
    <n v="1"/>
    <n v="8"/>
    <n v="4"/>
    <n v="50"/>
    <n v="67"/>
    <n v="17"/>
    <n v="13"/>
    <n v="17.350000000000001"/>
    <n v="7.73"/>
    <n v="0"/>
    <n v="122.08"/>
    <n v="120"/>
    <n v="0"/>
    <n v="0"/>
    <n v="0.16"/>
    <n v="7"/>
    <n v="0"/>
    <n v="127.16"/>
    <n v="17"/>
    <n v="0"/>
    <n v="0"/>
    <n v="0"/>
    <n v="0.43"/>
    <n v="0.04"/>
    <n v="17.47"/>
    <x v="19"/>
    <x v="2"/>
  </r>
  <r>
    <x v="72"/>
    <n v="218"/>
    <n v="30"/>
    <n v="16"/>
    <n v="15.06"/>
    <n v="23.43"/>
    <n v="3.04"/>
    <n v="305.53000000000003"/>
    <n v="21"/>
    <n v="10"/>
    <n v="6"/>
    <n v="0"/>
    <n v="7"/>
    <n v="3"/>
    <n v="47"/>
    <n v="57"/>
    <n v="20"/>
    <n v="10"/>
    <n v="14.9"/>
    <n v="9"/>
    <n v="0"/>
    <n v="110.9"/>
    <n v="124"/>
    <n v="0"/>
    <n v="0"/>
    <n v="0.16"/>
    <n v="7"/>
    <n v="0"/>
    <n v="131.16"/>
    <n v="16"/>
    <n v="0"/>
    <n v="0"/>
    <n v="0"/>
    <n v="0.43"/>
    <n v="0.04"/>
    <n v="16.47"/>
    <x v="20"/>
    <x v="2"/>
  </r>
  <r>
    <x v="73"/>
    <n v="241.2"/>
    <n v="33.300000000000004"/>
    <n v="16.32"/>
    <n v="16.09"/>
    <n v="26.480000000000004"/>
    <n v="2.8"/>
    <n v="336.19"/>
    <n v="28.7"/>
    <n v="7.7"/>
    <n v="4.42"/>
    <n v="1.1599999999999999"/>
    <n v="12.38"/>
    <n v="2.8"/>
    <n v="57.16"/>
    <n v="56.4"/>
    <n v="25.4"/>
    <n v="10.6"/>
    <n v="14.9"/>
    <n v="10.69"/>
    <n v="0"/>
    <n v="117.99"/>
    <n v="138.69999999999999"/>
    <n v="0"/>
    <n v="0"/>
    <n v="0.03"/>
    <n v="2.99"/>
    <n v="0"/>
    <n v="141.72"/>
    <n v="17.399999999999999"/>
    <n v="0.2"/>
    <n v="1.3"/>
    <n v="0"/>
    <n v="0.42"/>
    <n v="0"/>
    <n v="19.32"/>
    <x v="21"/>
    <x v="2"/>
  </r>
  <r>
    <x v="74"/>
    <n v="208.7"/>
    <n v="31.150000000000002"/>
    <n v="11.540000000000001"/>
    <n v="15.36"/>
    <n v="28.13"/>
    <n v="1.5449999999999999"/>
    <n v="296.42500000000001"/>
    <n v="24.2"/>
    <n v="7.65"/>
    <n v="2.37"/>
    <n v="0.2"/>
    <n v="8.82"/>
    <n v="1.49"/>
    <n v="44.730000000000004"/>
    <n v="45.9"/>
    <n v="23.3"/>
    <n v="7.5"/>
    <n v="15.25"/>
    <n v="9.68"/>
    <n v="0"/>
    <n v="101.63"/>
    <n v="123.9"/>
    <n v="0"/>
    <n v="0.77"/>
    <n v="-0.09"/>
    <n v="9.61"/>
    <n v="0"/>
    <n v="134.19"/>
    <n v="14.7"/>
    <n v="0.2"/>
    <n v="0.9"/>
    <n v="0"/>
    <n v="0.02"/>
    <n v="5.5E-2"/>
    <n v="15.874999999999998"/>
    <x v="22"/>
    <x v="2"/>
  </r>
  <r>
    <x v="75"/>
    <n v="219.59999999999997"/>
    <n v="26.96"/>
    <n v="15.700000000000001"/>
    <n v="12.34"/>
    <n v="28.590000000000003"/>
    <n v="3.7720000000000002"/>
    <n v="306.96199999999993"/>
    <n v="30.3"/>
    <n v="13.36"/>
    <n v="0.98"/>
    <n v="0.2"/>
    <n v="9.99"/>
    <n v="2.54"/>
    <n v="57.37"/>
    <n v="43.4"/>
    <n v="8.3000000000000007"/>
    <n v="13.9"/>
    <n v="12.14"/>
    <n v="7.57"/>
    <n v="0"/>
    <n v="85.31"/>
    <n v="133.69999999999999"/>
    <n v="5.3"/>
    <n v="0.52"/>
    <n v="0"/>
    <n v="10.66"/>
    <n v="0"/>
    <n v="150.18"/>
    <n v="12.2"/>
    <n v="0"/>
    <n v="0.3"/>
    <n v="0"/>
    <n v="0.37"/>
    <n v="1.232"/>
    <n v="14.101999999999999"/>
    <x v="23"/>
    <x v="2"/>
  </r>
  <r>
    <x v="76"/>
    <n v="194.6"/>
    <n v="28.28"/>
    <n v="19.670000000000002"/>
    <n v="18"/>
    <n v="27.089999999999996"/>
    <n v="4.51"/>
    <n v="292.14999999999998"/>
    <n v="22.8"/>
    <n v="10.18"/>
    <n v="2.1800000000000002"/>
    <n v="0.2"/>
    <n v="9.4600000000000009"/>
    <n v="4.46"/>
    <n v="49.280000000000008"/>
    <n v="35.5"/>
    <n v="12.2"/>
    <n v="17.190000000000001"/>
    <n v="17.8"/>
    <n v="5.26"/>
    <n v="0"/>
    <n v="87.95"/>
    <n v="124.8"/>
    <n v="5.9"/>
    <n v="0"/>
    <n v="0"/>
    <n v="12.04"/>
    <n v="0"/>
    <n v="142.73999999999998"/>
    <n v="11.5"/>
    <n v="0"/>
    <n v="0.3"/>
    <n v="0"/>
    <n v="0.33"/>
    <n v="0.05"/>
    <n v="12.180000000000001"/>
    <x v="24"/>
    <x v="2"/>
  </r>
  <r>
    <x v="77"/>
    <n v="202.8"/>
    <n v="28.419999999999998"/>
    <n v="23.06"/>
    <n v="15.45"/>
    <n v="26.49"/>
    <n v="5.09"/>
    <n v="301.31"/>
    <n v="39"/>
    <n v="14.1"/>
    <n v="9.19"/>
    <n v="0.2"/>
    <n v="9.0399999999999991"/>
    <n v="5.09"/>
    <n v="76.62"/>
    <n v="37.200000000000003"/>
    <n v="9.8000000000000007"/>
    <n v="13.57"/>
    <n v="15.25"/>
    <n v="5.97"/>
    <n v="0"/>
    <n v="81.789999999999992"/>
    <n v="116.8"/>
    <n v="4.5199999999999996"/>
    <n v="0"/>
    <n v="0"/>
    <n v="11.16"/>
    <n v="0"/>
    <n v="132.47999999999999"/>
    <n v="9.8000000000000007"/>
    <n v="0"/>
    <n v="0.3"/>
    <n v="0"/>
    <n v="0.32"/>
    <n v="0"/>
    <n v="10.420000000000002"/>
    <x v="25"/>
    <x v="2"/>
  </r>
  <r>
    <x v="78"/>
    <n v="203.8"/>
    <n v="34.29"/>
    <n v="27.470000000000002"/>
    <n v="16.2"/>
    <n v="34.36"/>
    <n v="4.84"/>
    <n v="320.95999999999998"/>
    <n v="41.2"/>
    <n v="20.84"/>
    <n v="9.2200000000000006"/>
    <n v="0.2"/>
    <n v="12.22"/>
    <n v="4.84"/>
    <n v="88.52000000000001"/>
    <n v="31.7"/>
    <n v="8"/>
    <n v="18.05"/>
    <n v="12.4"/>
    <n v="11.47"/>
    <n v="0"/>
    <n v="81.62"/>
    <n v="124.6"/>
    <n v="5.45"/>
    <n v="0"/>
    <n v="3.6"/>
    <n v="10.35"/>
    <n v="0"/>
    <n v="143.99999999999997"/>
    <n v="6.3"/>
    <n v="0"/>
    <n v="0.2"/>
    <n v="0"/>
    <n v="0.32"/>
    <n v="0"/>
    <n v="6.82"/>
    <x v="26"/>
    <x v="2"/>
  </r>
  <r>
    <x v="79"/>
    <n v="224.9"/>
    <n v="29.94"/>
    <n v="22.48"/>
    <n v="16.900000000000002"/>
    <n v="36.770000000000003"/>
    <n v="4.84"/>
    <n v="335.82999999999993"/>
    <n v="47.6"/>
    <n v="18.34"/>
    <n v="6.72"/>
    <n v="2.2999999999999998"/>
    <n v="13.42"/>
    <n v="4.84"/>
    <n v="93.22"/>
    <n v="34.9"/>
    <n v="6.8"/>
    <n v="15.66"/>
    <n v="11"/>
    <n v="13.63"/>
    <n v="0"/>
    <n v="81.99"/>
    <n v="135.6"/>
    <n v="4.8"/>
    <n v="0"/>
    <n v="3.6"/>
    <n v="9.4"/>
    <n v="0"/>
    <n v="153.4"/>
    <n v="6.8"/>
    <n v="0"/>
    <n v="0.1"/>
    <n v="0"/>
    <n v="0.32"/>
    <n v="0"/>
    <n v="7.22"/>
    <x v="27"/>
    <x v="2"/>
  </r>
  <r>
    <x v="80"/>
    <n v="234.6"/>
    <n v="32.33"/>
    <n v="16.900000000000002"/>
    <n v="13.9"/>
    <n v="36.89"/>
    <n v="5.41"/>
    <n v="340.03"/>
    <n v="54"/>
    <n v="23.38"/>
    <n v="6.75"/>
    <n v="1.6"/>
    <n v="14.7"/>
    <n v="5.41"/>
    <n v="105.83999999999999"/>
    <n v="30"/>
    <n v="4.5"/>
    <n v="10.050000000000001"/>
    <n v="9.5500000000000007"/>
    <n v="13.2"/>
    <n v="0"/>
    <n v="67.3"/>
    <n v="137.4"/>
    <n v="4.45"/>
    <n v="0"/>
    <n v="2.75"/>
    <n v="8.67"/>
    <n v="0"/>
    <n v="153.26999999999998"/>
    <n v="13.2"/>
    <n v="0"/>
    <n v="0.1"/>
    <n v="0"/>
    <n v="0.32"/>
    <n v="0"/>
    <n v="13.62"/>
    <x v="28"/>
    <x v="2"/>
  </r>
  <r>
    <x v="81"/>
    <n v="230.3"/>
    <n v="37.6"/>
    <n v="20.41"/>
    <n v="15.46"/>
    <n v="33.32"/>
    <n v="4.82"/>
    <n v="341.91"/>
    <n v="54.1"/>
    <n v="23.5"/>
    <n v="8.58"/>
    <n v="1.5"/>
    <n v="13.97"/>
    <n v="4.82"/>
    <n v="106.47"/>
    <n v="33.6"/>
    <n v="9.6"/>
    <n v="11.83"/>
    <n v="8.7200000000000006"/>
    <n v="12.82"/>
    <n v="0"/>
    <n v="76.569999999999993"/>
    <n v="133.1"/>
    <n v="3.9"/>
    <n v="0"/>
    <n v="5.24"/>
    <n v="6.53"/>
    <n v="0"/>
    <n v="148.77000000000001"/>
    <n v="9.5"/>
    <n v="0.6"/>
    <n v="0"/>
    <n v="0"/>
    <n v="0"/>
    <n v="0"/>
    <n v="10.1"/>
    <x v="29"/>
    <x v="2"/>
  </r>
  <r>
    <x v="82"/>
    <n v="251.4"/>
    <n v="26.070000000000004"/>
    <n v="31.56"/>
    <n v="8.0500000000000007"/>
    <n v="30.72"/>
    <n v="2.9"/>
    <n v="350.70000000000005"/>
    <n v="61.5"/>
    <n v="20.420000000000002"/>
    <n v="10"/>
    <n v="3.2"/>
    <n v="16.059999999999999"/>
    <n v="2.9"/>
    <n v="114.08000000000001"/>
    <n v="37.6"/>
    <n v="3.1"/>
    <n v="21.56"/>
    <n v="0.77"/>
    <n v="12.26"/>
    <n v="0"/>
    <n v="75.290000000000006"/>
    <n v="143.5"/>
    <n v="2.5499999999999998"/>
    <n v="0"/>
    <n v="4.08"/>
    <n v="2.4"/>
    <n v="0"/>
    <n v="152.53000000000003"/>
    <n v="8.8000000000000007"/>
    <n v="0"/>
    <m/>
    <m/>
    <n v="0"/>
    <n v="0"/>
    <n v="8.8000000000000007"/>
    <x v="30"/>
    <x v="2"/>
  </r>
  <r>
    <x v="83"/>
    <n v="255"/>
    <n v="25"/>
    <n v="26"/>
    <n v="11.4"/>
    <n v="20"/>
    <n v="2.8102"/>
    <n v="340.21019999999999"/>
    <n v="69"/>
    <n v="18"/>
    <n v="9"/>
    <n v="3.4"/>
    <n v="11"/>
    <n v="2.8102"/>
    <n v="113.2102"/>
    <n v="35"/>
    <n v="6"/>
    <n v="17"/>
    <n v="6"/>
    <n v="5"/>
    <n v="0"/>
    <n v="69"/>
    <n v="144"/>
    <n v="1"/>
    <n v="0"/>
    <n v="2"/>
    <n v="4"/>
    <n v="0"/>
    <n v="151"/>
    <n v="7"/>
    <n v="0"/>
    <n v="0"/>
    <n v="0"/>
    <n v="0"/>
    <n v="0"/>
    <n v="7"/>
    <x v="31"/>
    <x v="2"/>
  </r>
  <r>
    <x v="84"/>
    <n v="260"/>
    <n v="31.060000000000002"/>
    <n v="23.46"/>
    <n v="14.919999999999998"/>
    <n v="30.83"/>
    <n v="2.8102"/>
    <n v="363.08019999999999"/>
    <n v="70.5"/>
    <n v="18.16"/>
    <n v="7.26"/>
    <n v="3.4"/>
    <n v="12.47"/>
    <n v="2.8102"/>
    <n v="114.6002"/>
    <n v="34.700000000000003"/>
    <n v="10.8"/>
    <n v="15.4"/>
    <n v="7.47"/>
    <n v="10.08"/>
    <n v="0"/>
    <n v="78.45"/>
    <n v="148.4"/>
    <n v="1"/>
    <n v="0"/>
    <n v="4.05"/>
    <n v="8.2799999999999994"/>
    <n v="0"/>
    <n v="161.73000000000002"/>
    <n v="6.4"/>
    <n v="1.1000000000000001"/>
    <n v="0.8"/>
    <n v="0"/>
    <n v="0"/>
    <n v="0"/>
    <n v="8.3000000000000007"/>
    <x v="32"/>
    <x v="2"/>
  </r>
  <r>
    <x v="85"/>
    <n v="248.7"/>
    <n v="39.799999999999997"/>
    <n v="28.62"/>
    <n v="13.57"/>
    <n v="31.480000000000004"/>
    <n v="3.83"/>
    <n v="366"/>
    <n v="65.599999999999994"/>
    <n v="18.14"/>
    <n v="6.35"/>
    <n v="3.2"/>
    <n v="9.81"/>
    <n v="3.83"/>
    <n v="106.92999999999999"/>
    <n v="41.7"/>
    <n v="15.4"/>
    <n v="21.3"/>
    <n v="6.97"/>
    <n v="13.39"/>
    <n v="0"/>
    <n v="98.76"/>
    <n v="133.6"/>
    <n v="5.76"/>
    <n v="0.17"/>
    <n v="3.4"/>
    <n v="8.2799999999999994"/>
    <n v="0"/>
    <n v="151.20999999999998"/>
    <n v="7.8"/>
    <n v="0.5"/>
    <n v="0.8"/>
    <n v="0"/>
    <n v="0"/>
    <n v="0"/>
    <n v="9.1000000000000014"/>
    <x v="33"/>
    <x v="2"/>
  </r>
  <r>
    <x v="86"/>
    <n v="239.6"/>
    <n v="34.190000000000005"/>
    <n v="30.83"/>
    <n v="15.09"/>
    <n v="26.97"/>
    <n v="2.77"/>
    <n v="349.44999999999993"/>
    <n v="63.2"/>
    <n v="14.57"/>
    <n v="11.73"/>
    <n v="1.85"/>
    <n v="8.42"/>
    <n v="2.77"/>
    <n v="102.54"/>
    <n v="36.299999999999997"/>
    <n v="14.1"/>
    <n v="18.7"/>
    <n v="11.68"/>
    <n v="12.98"/>
    <n v="0"/>
    <n v="93.76"/>
    <n v="128.6"/>
    <n v="5.32"/>
    <n v="0"/>
    <n v="1.56"/>
    <n v="5.57"/>
    <n v="0"/>
    <n v="141.04999999999998"/>
    <n v="11.5"/>
    <n v="0.2"/>
    <n v="0.4"/>
    <n v="0"/>
    <n v="0"/>
    <n v="0"/>
    <n v="12.1"/>
    <x v="34"/>
    <x v="2"/>
  </r>
  <r>
    <x v="87"/>
    <n v="241.4"/>
    <n v="29.38"/>
    <n v="22.4"/>
    <n v="10.37"/>
    <n v="28.07"/>
    <n v="1.29"/>
    <n v="332.91"/>
    <n v="65.5"/>
    <n v="10.78"/>
    <n v="9.2799999999999994"/>
    <n v="0.62"/>
    <n v="6.98"/>
    <n v="1.29"/>
    <n v="94.450000000000017"/>
    <n v="42"/>
    <n v="13.1"/>
    <n v="13.12"/>
    <n v="9.42"/>
    <n v="15.25"/>
    <n v="0"/>
    <n v="92.89"/>
    <n v="122"/>
    <n v="5.3"/>
    <n v="0"/>
    <n v="0.33"/>
    <n v="5.84"/>
    <n v="0"/>
    <n v="133.47"/>
    <n v="11.9"/>
    <n v="0.2"/>
    <n v="0"/>
    <n v="0"/>
    <n v="0"/>
    <n v="0"/>
    <n v="12.1"/>
    <x v="35"/>
    <x v="2"/>
  </r>
  <r>
    <x v="88"/>
    <n v="232.20000000000002"/>
    <n v="34.090000000000003"/>
    <n v="16.61"/>
    <n v="9.07"/>
    <n v="28"/>
    <n v="1.02"/>
    <n v="320.99"/>
    <n v="67.599999999999994"/>
    <n v="14.99"/>
    <n v="7.01"/>
    <n v="5.9999999999999901E-2"/>
    <n v="8.9"/>
    <n v="1.02"/>
    <n v="99.58"/>
    <n v="35.4"/>
    <n v="13.9"/>
    <n v="9.6"/>
    <n v="8.82"/>
    <n v="14.27"/>
    <n v="0"/>
    <n v="81.99"/>
    <n v="116.9"/>
    <n v="5.2"/>
    <n v="0"/>
    <n v="0.19"/>
    <n v="4.83"/>
    <n v="0"/>
    <n v="127.12"/>
    <n v="12.3"/>
    <n v="0"/>
    <n v="0"/>
    <n v="0"/>
    <n v="0"/>
    <n v="0"/>
    <n v="12.3"/>
    <x v="36"/>
    <x v="2"/>
  </r>
  <r>
    <x v="89"/>
    <n v="234.5"/>
    <n v="40.220000000000006"/>
    <n v="14.41"/>
    <n v="8.4"/>
    <n v="27.87"/>
    <n v="2.5"/>
    <n v="327.90000000000003"/>
    <n v="72.2"/>
    <n v="13.92"/>
    <n v="7.81"/>
    <n v="0.03"/>
    <n v="10.72"/>
    <n v="2.5"/>
    <n v="107.18"/>
    <n v="29.8"/>
    <n v="16.899999999999999"/>
    <n v="5.9"/>
    <n v="8.2200000000000006"/>
    <n v="12.96"/>
    <n v="0"/>
    <n v="73.78"/>
    <n v="122.9"/>
    <n v="7.2"/>
    <n v="0.7"/>
    <n v="0.15"/>
    <n v="4.1900000000000004"/>
    <n v="0"/>
    <n v="135.13999999999999"/>
    <n v="9.6"/>
    <n v="2.2000000000000002"/>
    <n v="0"/>
    <n v="0"/>
    <n v="0"/>
    <n v="0"/>
    <n v="11.8"/>
    <x v="37"/>
    <x v="2"/>
  </r>
  <r>
    <x v="90"/>
    <n v="236.1"/>
    <n v="33.54"/>
    <n v="9.9499999999999993"/>
    <n v="7.2959999999999994"/>
    <n v="26.62"/>
    <n v="2.6420000000000003"/>
    <n v="316.14799999999997"/>
    <n v="66.900000000000006"/>
    <n v="12.29"/>
    <n v="4.92"/>
    <n v="0"/>
    <n v="9.33"/>
    <n v="1.8420000000000001"/>
    <n v="95.281999999999996"/>
    <n v="43.9"/>
    <n v="13.9"/>
    <n v="3.03"/>
    <n v="7.27"/>
    <n v="11.95"/>
    <n v="0"/>
    <n v="80.05"/>
    <n v="119.6"/>
    <n v="6.35"/>
    <n v="0.4"/>
    <n v="2.5999999999999999E-2"/>
    <n v="5.34"/>
    <n v="0"/>
    <n v="131.71599999999998"/>
    <n v="5.7"/>
    <n v="1"/>
    <n v="1.6"/>
    <n v="0"/>
    <n v="0"/>
    <n v="0.8"/>
    <n v="9.1000000000000014"/>
    <x v="38"/>
    <x v="2"/>
  </r>
  <r>
    <x v="91"/>
    <n v="252.60000000000002"/>
    <n v="26.79"/>
    <n v="9.44"/>
    <n v="6.84"/>
    <n v="25.23"/>
    <n v="2.2400000000000002"/>
    <n v="323.14000000000004"/>
    <n v="62.1"/>
    <n v="9.84"/>
    <n v="6.41"/>
    <n v="0"/>
    <n v="10.42"/>
    <n v="2.2400000000000002"/>
    <n v="91.009999999999991"/>
    <n v="47.4"/>
    <n v="11.2"/>
    <n v="1.86"/>
    <n v="6.82"/>
    <n v="9.99"/>
    <n v="0"/>
    <n v="77.27"/>
    <n v="141.80000000000001"/>
    <n v="5.55"/>
    <n v="0"/>
    <n v="0.02"/>
    <n v="4.82"/>
    <n v="0"/>
    <n v="152.19000000000003"/>
    <n v="1.3"/>
    <n v="0.2"/>
    <n v="1.17"/>
    <n v="0"/>
    <n v="0"/>
    <n v="0"/>
    <n v="2.67"/>
    <x v="39"/>
    <x v="2"/>
  </r>
  <r>
    <x v="92"/>
    <n v="245.9"/>
    <n v="27.05"/>
    <n v="6.91"/>
    <n v="4.2"/>
    <n v="24.029999999999998"/>
    <n v="2.67"/>
    <n v="310.76"/>
    <n v="60.3"/>
    <n v="13.5"/>
    <n v="6.4"/>
    <n v="0"/>
    <n v="11.41"/>
    <n v="2.67"/>
    <n v="94.28"/>
    <n v="46.2"/>
    <n v="8"/>
    <n v="0.25"/>
    <n v="4.2"/>
    <n v="8.42"/>
    <n v="0"/>
    <n v="67.070000000000007"/>
    <n v="138.80000000000001"/>
    <n v="5.55"/>
    <n v="0"/>
    <n v="0"/>
    <n v="4.2"/>
    <n v="0"/>
    <n v="148.55000000000001"/>
    <n v="0.6"/>
    <n v="0"/>
    <n v="0.26"/>
    <n v="0"/>
    <n v="0"/>
    <n v="0"/>
    <n v="0.86"/>
    <x v="40"/>
    <x v="2"/>
  </r>
  <r>
    <x v="93"/>
    <n v="243.6"/>
    <n v="27.58"/>
    <n v="12.89"/>
    <n v="3"/>
    <n v="20.520000000000003"/>
    <n v="2.84"/>
    <n v="310.42999999999995"/>
    <n v="59.2"/>
    <n v="11.83"/>
    <n v="4.9400000000000004"/>
    <n v="0"/>
    <n v="10.48"/>
    <n v="2.84"/>
    <n v="89.29"/>
    <n v="54.9"/>
    <n v="6.8"/>
    <n v="7.94"/>
    <n v="3"/>
    <n v="6.69"/>
    <n v="0"/>
    <n v="79.33"/>
    <n v="129.5"/>
    <n v="8.9499999999999993"/>
    <n v="0"/>
    <n v="0"/>
    <n v="3.35"/>
    <n v="0"/>
    <n v="141.79999999999998"/>
    <n v="0"/>
    <n v="0"/>
    <n v="0.01"/>
    <n v="0"/>
    <n v="0"/>
    <n v="0"/>
    <n v="0.01"/>
    <x v="41"/>
    <x v="2"/>
  </r>
  <r>
    <x v="94"/>
    <n v="260.3"/>
    <n v="31.680000000000003"/>
    <n v="11.68"/>
    <n v="8.57"/>
    <n v="20.100000000000001"/>
    <n v="3.04"/>
    <n v="335.37000000000006"/>
    <n v="63.3"/>
    <n v="14.78"/>
    <n v="5.04"/>
    <n v="0"/>
    <n v="9.8000000000000007"/>
    <n v="3.04"/>
    <n v="95.960000000000008"/>
    <n v="49"/>
    <n v="5.25"/>
    <n v="6.64"/>
    <n v="2.4700000000000002"/>
    <n v="5.2"/>
    <n v="0"/>
    <n v="68.56"/>
    <n v="136.30000000000001"/>
    <n v="8.35"/>
    <n v="0"/>
    <n v="6.1"/>
    <n v="3.19"/>
    <n v="0"/>
    <n v="153.94"/>
    <n v="11.7"/>
    <n v="3.3"/>
    <n v="0"/>
    <n v="0"/>
    <n v="1.91"/>
    <n v="0"/>
    <n v="16.91"/>
    <x v="42"/>
    <x v="2"/>
  </r>
  <r>
    <x v="95"/>
    <n v="255.2"/>
    <n v="35.07"/>
    <n v="15.22"/>
    <n v="8.5399999999999991"/>
    <n v="17.75"/>
    <n v="3.28"/>
    <n v="335.06"/>
    <n v="59.6"/>
    <n v="16.82"/>
    <n v="4.92"/>
    <n v="0"/>
    <n v="9.09"/>
    <n v="3.28"/>
    <n v="93.710000000000008"/>
    <n v="42.1"/>
    <n v="2.66"/>
    <n v="10.3"/>
    <n v="2.4500000000000002"/>
    <n v="4"/>
    <n v="0"/>
    <n v="61.510000000000005"/>
    <n v="139"/>
    <n v="9.4"/>
    <n v="0"/>
    <n v="6.09"/>
    <n v="2.87"/>
    <n v="0"/>
    <n v="157.36000000000001"/>
    <n v="14.5"/>
    <n v="6.19"/>
    <n v="0"/>
    <n v="0"/>
    <n v="1.79"/>
    <n v="0"/>
    <n v="22.48"/>
    <x v="43"/>
    <x v="2"/>
  </r>
  <r>
    <x v="96"/>
    <n v="246.89999999999998"/>
    <n v="30.89"/>
    <n v="12.569999999999999"/>
    <n v="8.35"/>
    <n v="18.220000000000002"/>
    <n v="3.36"/>
    <n v="320.29000000000002"/>
    <n v="55.3"/>
    <n v="13.82"/>
    <n v="3.28"/>
    <n v="0"/>
    <n v="9.48"/>
    <n v="3.36"/>
    <n v="85.240000000000009"/>
    <n v="36.299999999999997"/>
    <n v="2.4"/>
    <n v="9.2899999999999991"/>
    <n v="2.4"/>
    <n v="2.97"/>
    <n v="0"/>
    <n v="53.359999999999992"/>
    <n v="139.6"/>
    <n v="8.0500000000000007"/>
    <n v="0"/>
    <n v="5.95"/>
    <n v="2.4900000000000002"/>
    <n v="0"/>
    <n v="156.09"/>
    <n v="15.7"/>
    <n v="6.62"/>
    <n v="0"/>
    <n v="0"/>
    <n v="3.28"/>
    <n v="0"/>
    <n v="25.6"/>
    <x v="44"/>
    <x v="2"/>
  </r>
  <r>
    <x v="97"/>
    <n v="218.6"/>
    <n v="27.46"/>
    <n v="9.11"/>
    <n v="6.9"/>
    <n v="11.629999999999999"/>
    <n v="2.93"/>
    <n v="276.63"/>
    <n v="46.4"/>
    <n v="12.28"/>
    <n v="4.47"/>
    <n v="0"/>
    <n v="4.88"/>
    <n v="2.93"/>
    <n v="70.960000000000008"/>
    <n v="28.7"/>
    <n v="2"/>
    <n v="4.6399999999999997"/>
    <n v="2.4"/>
    <n v="2"/>
    <n v="0"/>
    <n v="39.739999999999995"/>
    <n v="129.1"/>
    <n v="6.95"/>
    <n v="0"/>
    <n v="4.5"/>
    <n v="1.72"/>
    <n v="0"/>
    <n v="142.26999999999998"/>
    <n v="14.4"/>
    <n v="6.23"/>
    <n v="0"/>
    <n v="0"/>
    <n v="3.03"/>
    <n v="0"/>
    <n v="23.660000000000004"/>
    <x v="45"/>
    <x v="2"/>
  </r>
  <r>
    <x v="98"/>
    <n v="198.7"/>
    <n v="24.970000000000002"/>
    <n v="5.73"/>
    <n v="4.9000000000000004"/>
    <n v="8.64"/>
    <n v="2.81"/>
    <n v="245.75"/>
    <n v="35"/>
    <n v="11.9"/>
    <n v="3.65"/>
    <n v="0"/>
    <n v="3.11"/>
    <n v="2.81"/>
    <n v="56.47"/>
    <n v="28.6"/>
    <n v="1.4"/>
    <n v="2.08"/>
    <n v="2.2000000000000002"/>
    <n v="1.71"/>
    <n v="0"/>
    <n v="35.99"/>
    <n v="122.1"/>
    <n v="5.9"/>
    <n v="0"/>
    <n v="2.7"/>
    <n v="1.17"/>
    <n v="0"/>
    <n v="131.86999999999998"/>
    <n v="13"/>
    <n v="5.77"/>
    <n v="0"/>
    <n v="0"/>
    <n v="2.65"/>
    <n v="0"/>
    <n v="21.419999999999998"/>
    <x v="46"/>
    <x v="2"/>
  </r>
  <r>
    <x v="99"/>
    <n v="181.9"/>
    <n v="16.670000000000002"/>
    <n v="7.75"/>
    <n v="3.97"/>
    <n v="12.370000000000001"/>
    <n v="2.75"/>
    <n v="225.41"/>
    <n v="25.4"/>
    <n v="7.98"/>
    <n v="5.5"/>
    <n v="0"/>
    <n v="5.31"/>
    <n v="2.75"/>
    <n v="46.94"/>
    <n v="23.8"/>
    <n v="0.5"/>
    <n v="2.25"/>
    <n v="2.2000000000000002"/>
    <n v="1.44"/>
    <n v="0"/>
    <n v="30.19"/>
    <n v="120.7"/>
    <n v="3.47"/>
    <n v="0"/>
    <n v="1.77"/>
    <n v="3.97"/>
    <n v="0"/>
    <n v="129.91"/>
    <n v="12"/>
    <n v="4.72"/>
    <n v="0"/>
    <n v="0"/>
    <n v="1.65"/>
    <n v="0"/>
    <n v="18.369999999999997"/>
    <x v="47"/>
    <x v="2"/>
  </r>
  <r>
    <x v="100"/>
    <n v="171.8"/>
    <n v="14.309999999999999"/>
    <n v="5.9"/>
    <n v="3.3499999999999996"/>
    <n v="10.84"/>
    <n v="2.74"/>
    <n v="208.94000000000003"/>
    <n v="19.3"/>
    <n v="8.35"/>
    <n v="3.7"/>
    <n v="0"/>
    <n v="4.99"/>
    <n v="2.74"/>
    <n v="39.08"/>
    <n v="12.6"/>
    <n v="0"/>
    <n v="2.2000000000000002"/>
    <n v="2.0499999999999998"/>
    <n v="0.94"/>
    <n v="0"/>
    <n v="17.790000000000003"/>
    <n v="130.6"/>
    <n v="2.1800000000000002"/>
    <n v="0"/>
    <n v="1.3"/>
    <n v="3.94"/>
    <n v="0"/>
    <n v="138.02000000000001"/>
    <n v="9.3000000000000007"/>
    <n v="3.78"/>
    <n v="0"/>
    <n v="0"/>
    <n v="0.97"/>
    <n v="0"/>
    <n v="14.05"/>
    <x v="48"/>
    <x v="2"/>
  </r>
  <r>
    <x v="101"/>
    <n v="165.29999999999998"/>
    <n v="17.14"/>
    <n v="9.9"/>
    <n v="2.92"/>
    <n v="13.110000000000001"/>
    <n v="1.43"/>
    <n v="209.8"/>
    <n v="24.9"/>
    <n v="12.91"/>
    <n v="3.25"/>
    <n v="0"/>
    <n v="2.21"/>
    <n v="1.43"/>
    <n v="44.7"/>
    <n v="8.1"/>
    <n v="0"/>
    <n v="6.65"/>
    <n v="2.0499999999999998"/>
    <n v="0.42"/>
    <n v="0"/>
    <n v="17.220000000000002"/>
    <n v="124.2"/>
    <n v="1.36"/>
    <n v="0"/>
    <n v="0.87"/>
    <n v="9.76"/>
    <n v="0"/>
    <n v="136.19"/>
    <n v="8.1"/>
    <n v="2.87"/>
    <n v="0"/>
    <n v="0"/>
    <n v="0.72"/>
    <n v="0"/>
    <n v="11.69"/>
    <x v="49"/>
    <x v="2"/>
  </r>
  <r>
    <x v="102"/>
    <n v="171.00000000000003"/>
    <n v="19.269999999999996"/>
    <n v="4.49"/>
    <n v="2.7399999999999998"/>
    <n v="7.6"/>
    <n v="3.15"/>
    <n v="208.25000000000006"/>
    <n v="27.9"/>
    <n v="14.08"/>
    <n v="1.59"/>
    <n v="0"/>
    <n v="3.31"/>
    <n v="3.15"/>
    <n v="50.03"/>
    <n v="5.5"/>
    <n v="2"/>
    <n v="2.9"/>
    <n v="2.0499999999999998"/>
    <n v="0.42"/>
    <n v="0"/>
    <n v="12.87"/>
    <n v="130.30000000000001"/>
    <n v="0.74"/>
    <n v="0"/>
    <n v="0.69"/>
    <n v="3.23"/>
    <n v="0"/>
    <n v="134.96"/>
    <n v="7.3"/>
    <n v="2.4500000000000002"/>
    <n v="0"/>
    <n v="0"/>
    <n v="0.64"/>
    <n v="0"/>
    <n v="10.39"/>
    <x v="50"/>
    <x v="2"/>
  </r>
  <r>
    <x v="103"/>
    <n v="169.7"/>
    <n v="13.57"/>
    <n v="7.02"/>
    <n v="5.55"/>
    <n v="16.82"/>
    <n v="2.37"/>
    <n v="215.03"/>
    <n v="22.3"/>
    <n v="9.4"/>
    <n v="6.47"/>
    <n v="0"/>
    <n v="8.09"/>
    <n v="2.37"/>
    <n v="48.63"/>
    <n v="4.3"/>
    <n v="1.7"/>
    <n v="0.55000000000000004"/>
    <n v="2.0499999999999998"/>
    <n v="0.42"/>
    <n v="0"/>
    <n v="9.02"/>
    <n v="138.4"/>
    <n v="0.54"/>
    <n v="0"/>
    <n v="3.5"/>
    <n v="7.67"/>
    <n v="0"/>
    <n v="150.10999999999999"/>
    <n v="4.7"/>
    <n v="1.93"/>
    <n v="0"/>
    <n v="0"/>
    <n v="0.64"/>
    <n v="0"/>
    <n v="7.27"/>
    <x v="51"/>
    <x v="2"/>
  </r>
  <r>
    <x v="104"/>
    <n v="186.29999999999998"/>
    <n v="9.26"/>
    <n v="5.51"/>
    <n v="5.1099999999999994"/>
    <n v="13.079999999999998"/>
    <n v="3.21"/>
    <n v="222.46999999999994"/>
    <n v="27"/>
    <n v="6.47"/>
    <n v="5.39"/>
    <n v="0"/>
    <n v="6.16"/>
    <n v="3.21"/>
    <n v="48.23"/>
    <n v="3.1"/>
    <n v="1.1299999999999999"/>
    <n v="0.12"/>
    <n v="2.0499999999999998"/>
    <n v="0.1"/>
    <n v="0"/>
    <n v="6.5"/>
    <n v="149.19999999999999"/>
    <n v="0.26"/>
    <n v="0"/>
    <n v="3.06"/>
    <n v="6.21"/>
    <n v="0"/>
    <n v="158.72999999999999"/>
    <n v="7"/>
    <n v="1.4"/>
    <n v="0"/>
    <n v="0"/>
    <n v="0.61"/>
    <n v="0"/>
    <n v="9.01"/>
    <x v="52"/>
    <x v="2"/>
  </r>
  <r>
    <x v="105"/>
    <n v="166.29999999999998"/>
    <n v="7.2299999999999995"/>
    <n v="6.21"/>
    <n v="5.8999999999999995"/>
    <n v="8.65"/>
    <n v="3.22"/>
    <n v="197.51"/>
    <n v="19"/>
    <n v="5.76"/>
    <n v="6.21"/>
    <n v="0"/>
    <n v="5.48"/>
    <n v="3.22"/>
    <n v="39.67"/>
    <n v="1.6"/>
    <n v="0.76"/>
    <n v="0"/>
    <n v="1.8"/>
    <n v="0"/>
    <n v="0"/>
    <n v="4.16"/>
    <n v="141.5"/>
    <n v="7.0000000000000007E-2"/>
    <n v="0"/>
    <n v="4.0999999999999996"/>
    <n v="2.17"/>
    <n v="0"/>
    <n v="147.83999999999997"/>
    <n v="4.2"/>
    <n v="0.64"/>
    <n v="0"/>
    <n v="0"/>
    <n v="1"/>
    <n v="0"/>
    <n v="5.84"/>
    <x v="1"/>
    <x v="3"/>
  </r>
  <r>
    <x v="106"/>
    <n v="140.30000000000001"/>
    <n v="6.08"/>
    <n v="6.21"/>
    <n v="4.55"/>
    <n v="7.52"/>
    <n v="2.4500000000000002"/>
    <n v="167.11000000000004"/>
    <n v="13"/>
    <n v="5.53"/>
    <n v="6.21"/>
    <n v="0"/>
    <n v="3.03"/>
    <n v="2.4500000000000002"/>
    <n v="30.220000000000002"/>
    <n v="1.3"/>
    <n v="0.5"/>
    <n v="0"/>
    <n v="1.7"/>
    <n v="0"/>
    <n v="0"/>
    <n v="3.5"/>
    <n v="122.9"/>
    <n v="0.05"/>
    <n v="0"/>
    <n v="2.85"/>
    <n v="3.49"/>
    <n v="0"/>
    <n v="129.29"/>
    <n v="3.1"/>
    <n v="0"/>
    <n v="0"/>
    <n v="0"/>
    <n v="1"/>
    <n v="0"/>
    <n v="4.0999999999999996"/>
    <x v="2"/>
    <x v="3"/>
  </r>
  <r>
    <x v="107"/>
    <n v="153.89999999999998"/>
    <n v="12.11"/>
    <n v="5.35"/>
    <n v="2.95"/>
    <n v="3.13"/>
    <n v="0.75"/>
    <n v="178.18999999999997"/>
    <n v="21.1"/>
    <n v="5.28"/>
    <n v="5.35"/>
    <n v="0"/>
    <n v="0.47"/>
    <n v="0.75"/>
    <n v="32.950000000000003"/>
    <n v="6.5"/>
    <n v="0.23"/>
    <n v="0"/>
    <n v="1.6"/>
    <n v="0"/>
    <n v="0"/>
    <n v="8.33"/>
    <n v="122.1"/>
    <n v="6.6"/>
    <n v="0"/>
    <n v="1.35"/>
    <n v="2.66"/>
    <n v="0"/>
    <n v="132.70999999999998"/>
    <n v="4.2"/>
    <n v="0"/>
    <n v="0"/>
    <n v="0"/>
    <n v="0"/>
    <n v="0"/>
    <n v="4.2"/>
    <x v="3"/>
    <x v="3"/>
  </r>
  <r>
    <x v="108"/>
    <n v="158.1"/>
    <n v="15.8"/>
    <n v="4.54"/>
    <n v="2.95"/>
    <n v="2.08"/>
    <n v="0.8"/>
    <n v="184.27"/>
    <n v="22.5"/>
    <n v="9.15"/>
    <n v="4.54"/>
    <n v="0"/>
    <n v="3.00000000000002E-2"/>
    <n v="0.8"/>
    <n v="37.019999999999996"/>
    <n v="6"/>
    <n v="0.05"/>
    <n v="0"/>
    <n v="1.6"/>
    <n v="0"/>
    <n v="0"/>
    <n v="7.65"/>
    <n v="127.2"/>
    <n v="6.6"/>
    <n v="0"/>
    <n v="1.35"/>
    <n v="2.0499999999999998"/>
    <n v="0"/>
    <n v="137.20000000000002"/>
    <n v="2.4"/>
    <n v="0"/>
    <n v="0"/>
    <n v="0"/>
    <n v="0"/>
    <n v="0"/>
    <n v="2.4"/>
    <x v="4"/>
    <x v="3"/>
  </r>
  <r>
    <x v="109"/>
    <n v="162.53000000000003"/>
    <n v="25.700000000000003"/>
    <n v="12.4"/>
    <n v="2.7800000000000002"/>
    <n v="6.4700000000000006"/>
    <n v="3.95"/>
    <n v="213.83"/>
    <n v="29.13"/>
    <n v="19.100000000000001"/>
    <n v="12.4"/>
    <n v="0"/>
    <n v="3.98"/>
    <n v="3.95"/>
    <n v="68.56"/>
    <n v="5.4"/>
    <n v="0"/>
    <n v="0"/>
    <n v="1.43"/>
    <n v="0"/>
    <n v="0"/>
    <n v="6.83"/>
    <n v="127.2"/>
    <n v="6.6"/>
    <n v="0"/>
    <n v="1.35"/>
    <n v="2.4900000000000002"/>
    <n v="0"/>
    <n v="137.64000000000001"/>
    <n v="0.8"/>
    <n v="0"/>
    <n v="0"/>
    <n v="0"/>
    <n v="0"/>
    <n v="0"/>
    <n v="0.8"/>
    <x v="5"/>
    <x v="3"/>
  </r>
  <r>
    <x v="110"/>
    <n v="179.45999999999998"/>
    <n v="35.06"/>
    <n v="16.8"/>
    <n v="1.81"/>
    <n v="9.4499999999999993"/>
    <n v="1.76"/>
    <n v="244.33999999999997"/>
    <n v="44.86"/>
    <n v="28.46"/>
    <n v="16.8"/>
    <n v="0"/>
    <n v="7.12"/>
    <n v="1.76"/>
    <n v="99"/>
    <n v="4.5"/>
    <n v="0"/>
    <n v="0"/>
    <n v="1.18"/>
    <n v="0"/>
    <n v="0"/>
    <n v="5.68"/>
    <n v="130.1"/>
    <n v="6.6"/>
    <n v="0"/>
    <n v="0.63"/>
    <n v="2.33"/>
    <n v="0"/>
    <n v="139.66"/>
    <n v="0"/>
    <n v="0"/>
    <n v="0"/>
    <n v="0"/>
    <n v="0"/>
    <n v="0"/>
    <n v="0"/>
    <x v="6"/>
    <x v="3"/>
  </r>
  <r>
    <x v="111"/>
    <n v="204.8"/>
    <n v="33.6"/>
    <n v="24.67"/>
    <n v="1.81"/>
    <n v="15.44"/>
    <n v="0.87"/>
    <n v="281.19"/>
    <n v="63.1"/>
    <n v="27"/>
    <n v="17.670000000000002"/>
    <n v="0"/>
    <n v="13.52"/>
    <n v="0.87"/>
    <n v="122.16"/>
    <n v="3.6"/>
    <n v="0"/>
    <n v="7"/>
    <n v="1.18"/>
    <n v="0"/>
    <n v="0"/>
    <n v="11.78"/>
    <n v="138.1"/>
    <n v="6.6"/>
    <n v="0"/>
    <n v="0.63"/>
    <n v="1.92"/>
    <n v="0"/>
    <n v="147.24999999999997"/>
    <n v="0"/>
    <n v="0"/>
    <n v="0"/>
    <n v="0"/>
    <n v="0"/>
    <n v="0"/>
    <n v="0"/>
    <x v="7"/>
    <x v="3"/>
  </r>
  <r>
    <x v="112"/>
    <n v="234.51"/>
    <n v="31"/>
    <n v="26.94"/>
    <n v="1.0299999999999998"/>
    <n v="12.66"/>
    <n v="1.18"/>
    <n v="307.32"/>
    <n v="91.51"/>
    <n v="25.4"/>
    <n v="19.940000000000001"/>
    <n v="0.6"/>
    <n v="11.47"/>
    <n v="1.18"/>
    <n v="150.1"/>
    <n v="3.3"/>
    <n v="0"/>
    <n v="7"/>
    <n v="0.3"/>
    <n v="0"/>
    <n v="0"/>
    <n v="10.600000000000001"/>
    <n v="139.69999999999999"/>
    <n v="5.6"/>
    <n v="0"/>
    <n v="0.13"/>
    <n v="1.19"/>
    <n v="0"/>
    <n v="146.61999999999998"/>
    <n v="0"/>
    <n v="0"/>
    <n v="0"/>
    <n v="0"/>
    <n v="0"/>
    <n v="0"/>
    <n v="0"/>
    <x v="8"/>
    <x v="3"/>
  </r>
  <r>
    <x v="113"/>
    <n v="244.40999999999997"/>
    <n v="27.5"/>
    <n v="27.37"/>
    <n v="0.06"/>
    <n v="9.67"/>
    <n v="3.24"/>
    <n v="312.25"/>
    <n v="94.71"/>
    <n v="23.3"/>
    <n v="20.37"/>
    <n v="0"/>
    <n v="9.4"/>
    <n v="3.24"/>
    <n v="151.02000000000001"/>
    <n v="2.5"/>
    <n v="0"/>
    <n v="7"/>
    <n v="0"/>
    <n v="0"/>
    <n v="0"/>
    <n v="9.5"/>
    <n v="147.19999999999999"/>
    <n v="4.2"/>
    <n v="0"/>
    <n v="0.06"/>
    <n v="0.27"/>
    <n v="0"/>
    <n v="151.72999999999999"/>
    <n v="0"/>
    <n v="0"/>
    <n v="0"/>
    <n v="0"/>
    <n v="0"/>
    <n v="0"/>
    <n v="0"/>
    <x v="9"/>
    <x v="3"/>
  </r>
  <r>
    <x v="114"/>
    <n v="277.41000000000003"/>
    <n v="26.34"/>
    <n v="35.64"/>
    <n v="0"/>
    <n v="17.2"/>
    <n v="5.5"/>
    <n v="362.09"/>
    <n v="124.61"/>
    <n v="23.34"/>
    <n v="28.64"/>
    <n v="0"/>
    <n v="17.14"/>
    <n v="5.5"/>
    <n v="199.22999999999996"/>
    <n v="2"/>
    <n v="0"/>
    <n v="7"/>
    <n v="0"/>
    <n v="0"/>
    <n v="0"/>
    <n v="9"/>
    <n v="150.80000000000001"/>
    <n v="3"/>
    <n v="0"/>
    <n v="0"/>
    <n v="0.06"/>
    <n v="0"/>
    <n v="153.86000000000001"/>
    <n v="0"/>
    <n v="0"/>
    <n v="0"/>
    <n v="0"/>
    <n v="0"/>
    <n v="0"/>
    <n v="0"/>
    <x v="10"/>
    <x v="3"/>
  </r>
  <r>
    <x v="115"/>
    <n v="290.81000000000006"/>
    <n v="32.450000000000003"/>
    <n v="36.46"/>
    <n v="5"/>
    <n v="15.68"/>
    <n v="3.26"/>
    <n v="383.66"/>
    <n v="144.61000000000001"/>
    <n v="30.45"/>
    <n v="29.46"/>
    <n v="5"/>
    <n v="15.68"/>
    <n v="3.26"/>
    <n v="228.46"/>
    <n v="1.8"/>
    <n v="0"/>
    <n v="7"/>
    <n v="0"/>
    <n v="0"/>
    <n v="0"/>
    <n v="8.8000000000000007"/>
    <n v="144.4"/>
    <n v="2"/>
    <n v="0"/>
    <n v="0"/>
    <n v="0"/>
    <n v="0"/>
    <n v="146.4"/>
    <n v="0"/>
    <n v="0"/>
    <n v="0"/>
    <n v="0"/>
    <n v="0"/>
    <n v="0"/>
    <n v="0"/>
    <x v="11"/>
    <x v="3"/>
  </r>
  <r>
    <x v="116"/>
    <n v="315.81"/>
    <n v="34.950000000000003"/>
    <n v="37.6"/>
    <n v="1.3"/>
    <n v="16.78"/>
    <n v="2.02"/>
    <n v="408.46000000000004"/>
    <n v="166.71"/>
    <n v="32.950000000000003"/>
    <n v="30.6"/>
    <n v="1.3"/>
    <n v="16.78"/>
    <n v="2.02"/>
    <n v="250.36000000000004"/>
    <n v="1.6"/>
    <n v="0"/>
    <n v="7"/>
    <n v="0"/>
    <n v="0"/>
    <n v="0"/>
    <n v="8.6"/>
    <n v="147.5"/>
    <n v="2"/>
    <n v="0"/>
    <n v="0"/>
    <n v="0"/>
    <n v="0"/>
    <n v="149.5"/>
    <n v="0"/>
    <n v="0"/>
    <n v="0"/>
    <n v="0"/>
    <n v="0"/>
    <n v="0"/>
    <n v="0"/>
    <x v="12"/>
    <x v="3"/>
  </r>
  <r>
    <x v="117"/>
    <n v="310.40999999999997"/>
    <n v="40.33"/>
    <n v="38.799999999999997"/>
    <n v="1"/>
    <n v="20.82"/>
    <n v="1.1399999999999999"/>
    <n v="412.49999999999994"/>
    <n v="168.51"/>
    <n v="39.03"/>
    <n v="31.8"/>
    <n v="1"/>
    <n v="20.82"/>
    <n v="1.1399999999999999"/>
    <n v="262.3"/>
    <n v="1.3"/>
    <n v="0"/>
    <n v="7"/>
    <n v="0"/>
    <n v="0"/>
    <n v="0"/>
    <n v="8.3000000000000007"/>
    <n v="140.6"/>
    <n v="1.3"/>
    <n v="0"/>
    <n v="0"/>
    <n v="0"/>
    <n v="0"/>
    <n v="141.9"/>
    <n v="0"/>
    <n v="0"/>
    <n v="0"/>
    <n v="0"/>
    <n v="0"/>
    <n v="0"/>
    <n v="0"/>
    <x v="13"/>
    <x v="3"/>
  </r>
  <r>
    <x v="118"/>
    <n v="320.13"/>
    <n v="39.47"/>
    <n v="43.8"/>
    <n v="0.53"/>
    <n v="17.649999999999999"/>
    <n v="2.79"/>
    <n v="424.37"/>
    <n v="179.43"/>
    <n v="38.17"/>
    <n v="36.799999999999997"/>
    <n v="0.53"/>
    <n v="17.649999999999999"/>
    <n v="2.79"/>
    <n v="275.37000000000006"/>
    <n v="1"/>
    <n v="0"/>
    <n v="7"/>
    <n v="0"/>
    <n v="0"/>
    <n v="0"/>
    <n v="8"/>
    <n v="139.69999999999999"/>
    <n v="1.3"/>
    <n v="0"/>
    <n v="0"/>
    <n v="0"/>
    <n v="0"/>
    <n v="141"/>
    <n v="0"/>
    <n v="0"/>
    <n v="0"/>
    <n v="0"/>
    <n v="0"/>
    <n v="0"/>
    <n v="0"/>
    <x v="14"/>
    <x v="3"/>
  </r>
  <r>
    <x v="119"/>
    <n v="284.83000000000004"/>
    <n v="39.159999999999997"/>
    <n v="49"/>
    <n v="1.9"/>
    <n v="18.350000000000001"/>
    <n v="1.19"/>
    <n v="394.43"/>
    <n v="151.83000000000001"/>
    <n v="38.659999999999997"/>
    <n v="42"/>
    <n v="1.9"/>
    <n v="18.350000000000001"/>
    <n v="1.19"/>
    <n v="253.93"/>
    <n v="0.7"/>
    <n v="0"/>
    <n v="7"/>
    <n v="0"/>
    <n v="0"/>
    <n v="0"/>
    <n v="7.7"/>
    <n v="132.30000000000001"/>
    <n v="0.5"/>
    <n v="0"/>
    <n v="0"/>
    <n v="0"/>
    <n v="0"/>
    <n v="132.80000000000001"/>
    <n v="0"/>
    <n v="0"/>
    <n v="0"/>
    <n v="0"/>
    <n v="0"/>
    <n v="0"/>
    <n v="0"/>
    <x v="15"/>
    <x v="3"/>
  </r>
  <r>
    <x v="120"/>
    <n v="259.01"/>
    <n v="34.130000000000003"/>
    <n v="39.6"/>
    <n v="1.1000000000000001"/>
    <n v="17.399999999999999"/>
    <n v="3.32"/>
    <n v="354.56"/>
    <n v="132.91"/>
    <n v="33.630000000000003"/>
    <n v="32.6"/>
    <n v="1.1000000000000001"/>
    <n v="17.399999999999999"/>
    <n v="3.32"/>
    <n v="220.95999999999998"/>
    <n v="0.6"/>
    <n v="0"/>
    <n v="7"/>
    <n v="0"/>
    <n v="0"/>
    <n v="0"/>
    <n v="7.6"/>
    <n v="125.5"/>
    <n v="0.5"/>
    <n v="0"/>
    <n v="0"/>
    <n v="0"/>
    <n v="0"/>
    <n v="126"/>
    <n v="0"/>
    <n v="0"/>
    <n v="0"/>
    <n v="0"/>
    <n v="0"/>
    <n v="0"/>
    <n v="0"/>
    <x v="16"/>
    <x v="3"/>
  </r>
  <r>
    <x v="121"/>
    <n v="277.71000000000004"/>
    <n v="29.14"/>
    <n v="38.6"/>
    <n v="0.3"/>
    <n v="23.84"/>
    <n v="4.5199999999999996"/>
    <n v="374.11"/>
    <n v="141.71"/>
    <n v="28.64"/>
    <n v="31.6"/>
    <n v="0.3"/>
    <n v="23.84"/>
    <n v="4.5199999999999996"/>
    <n v="230.61000000000004"/>
    <n v="0.5"/>
    <n v="0"/>
    <n v="7"/>
    <n v="0"/>
    <n v="0"/>
    <n v="0"/>
    <n v="7.5"/>
    <n v="135.5"/>
    <n v="0.5"/>
    <n v="0"/>
    <n v="0"/>
    <n v="0"/>
    <n v="0"/>
    <n v="136"/>
    <n v="0"/>
    <n v="0"/>
    <n v="0"/>
    <n v="0"/>
    <n v="0"/>
    <n v="0"/>
    <n v="0"/>
    <x v="17"/>
    <x v="3"/>
  </r>
  <r>
    <x v="122"/>
    <n v="298.57"/>
    <n v="29.33"/>
    <n v="39.6"/>
    <n v="3.5"/>
    <n v="27.18"/>
    <n v="2.66"/>
    <n v="400.84000000000003"/>
    <n v="161.97"/>
    <n v="29.29"/>
    <n v="34.6"/>
    <n v="0.8"/>
    <n v="27.18"/>
    <n v="2.66"/>
    <n v="256.5"/>
    <n v="0.5"/>
    <n v="0"/>
    <n v="5"/>
    <n v="0"/>
    <n v="0"/>
    <n v="0"/>
    <n v="5.5"/>
    <n v="136.1"/>
    <n v="0.04"/>
    <n v="0"/>
    <n v="2.7"/>
    <n v="0"/>
    <n v="0"/>
    <n v="138.83999999999997"/>
    <n v="0"/>
    <n v="0"/>
    <n v="0"/>
    <n v="0"/>
    <n v="0"/>
    <n v="0"/>
    <n v="0"/>
    <x v="18"/>
    <x v="3"/>
  </r>
  <r>
    <x v="123"/>
    <n v="274.77"/>
    <n v="30.779999999999998"/>
    <n v="37.6"/>
    <n v="3"/>
    <n v="21.66"/>
    <n v="4.5"/>
    <n v="372.31"/>
    <n v="152.47"/>
    <n v="30.74"/>
    <n v="34.6"/>
    <n v="0.3"/>
    <n v="21.66"/>
    <n v="4.5"/>
    <n v="244.27"/>
    <n v="0.5"/>
    <n v="0"/>
    <n v="3"/>
    <n v="0"/>
    <n v="0"/>
    <n v="0"/>
    <n v="3.5"/>
    <n v="121.8"/>
    <n v="0.04"/>
    <n v="0"/>
    <n v="2.7"/>
    <n v="0"/>
    <n v="0"/>
    <n v="124.54"/>
    <n v="0"/>
    <n v="0"/>
    <n v="0"/>
    <n v="0"/>
    <n v="0"/>
    <n v="0"/>
    <n v="0"/>
    <x v="19"/>
    <x v="3"/>
  </r>
  <r>
    <x v="124"/>
    <n v="259.82"/>
    <n v="35.04"/>
    <n v="32.9"/>
    <n v="2.7"/>
    <n v="17.71"/>
    <n v="2.34"/>
    <n v="350.50999999999993"/>
    <n v="143.41999999999999"/>
    <n v="35.04"/>
    <n v="31.7"/>
    <n v="0"/>
    <n v="17.71"/>
    <n v="2.34"/>
    <n v="230.20999999999998"/>
    <n v="0.3"/>
    <n v="0"/>
    <n v="1.2"/>
    <n v="0"/>
    <n v="0"/>
    <n v="0"/>
    <n v="1.5"/>
    <n v="116.1"/>
    <n v="0"/>
    <n v="0"/>
    <n v="2.7"/>
    <n v="0"/>
    <n v="0"/>
    <n v="118.8"/>
    <n v="0"/>
    <n v="0"/>
    <n v="0"/>
    <n v="0"/>
    <n v="0"/>
    <n v="0"/>
    <n v="0"/>
    <x v="20"/>
    <x v="3"/>
  </r>
  <r>
    <x v="125"/>
    <n v="260.75"/>
    <n v="33.4"/>
    <n v="22"/>
    <n v="2.7"/>
    <n v="19.75"/>
    <n v="4.16"/>
    <n v="342.76"/>
    <n v="147.55000000000001"/>
    <n v="33.4"/>
    <n v="20.8"/>
    <n v="0"/>
    <n v="19.75"/>
    <n v="4.16"/>
    <n v="225.66000000000003"/>
    <n v="3"/>
    <n v="0"/>
    <n v="1.2"/>
    <n v="0"/>
    <n v="0"/>
    <n v="0"/>
    <n v="4.2"/>
    <n v="110.2"/>
    <n v="0"/>
    <n v="0"/>
    <n v="2.7"/>
    <n v="0"/>
    <n v="0"/>
    <n v="112.9"/>
    <n v="0"/>
    <n v="0"/>
    <n v="0"/>
    <n v="0"/>
    <n v="0"/>
    <n v="0"/>
    <n v="0"/>
    <x v="21"/>
    <x v="3"/>
  </r>
  <r>
    <x v="126"/>
    <n v="299.48"/>
    <n v="34.6"/>
    <n v="24.599999999999998"/>
    <n v="2"/>
    <n v="19.34"/>
    <n v="2.2000000000000002"/>
    <n v="382.22"/>
    <n v="182.08"/>
    <n v="34.6"/>
    <n v="23.4"/>
    <n v="1.2"/>
    <n v="19.34"/>
    <n v="2.2000000000000002"/>
    <n v="262.82"/>
    <n v="3"/>
    <n v="0"/>
    <n v="1.2"/>
    <n v="0"/>
    <n v="0"/>
    <n v="0"/>
    <n v="4.2"/>
    <n v="114.4"/>
    <n v="0"/>
    <n v="0"/>
    <n v="0.8"/>
    <n v="0"/>
    <n v="0"/>
    <n v="115.2"/>
    <n v="0"/>
    <n v="0"/>
    <n v="0"/>
    <n v="0"/>
    <n v="0"/>
    <n v="0"/>
    <n v="0"/>
    <x v="22"/>
    <x v="3"/>
  </r>
  <r>
    <x v="127"/>
    <n v="299.26"/>
    <n v="40.96"/>
    <n v="2.9"/>
    <n v="3.39"/>
    <n v="16.64"/>
    <n v="3.89"/>
    <n v="367.03999999999991"/>
    <n v="186.76"/>
    <n v="40.96"/>
    <n v="1.9"/>
    <n v="3.2"/>
    <n v="16.64"/>
    <n v="3.89"/>
    <n v="253.34999999999997"/>
    <n v="9.6"/>
    <n v="0"/>
    <n v="1"/>
    <n v="0"/>
    <n v="0"/>
    <n v="0"/>
    <n v="10.6"/>
    <n v="102.9"/>
    <n v="0"/>
    <n v="0"/>
    <n v="0.19"/>
    <n v="0"/>
    <n v="0"/>
    <n v="103.09"/>
    <n v="0"/>
    <n v="0"/>
    <n v="0"/>
    <n v="0"/>
    <n v="0"/>
    <n v="0"/>
    <n v="0"/>
    <x v="23"/>
    <x v="3"/>
  </r>
  <r>
    <x v="128"/>
    <n v="286.90999999999997"/>
    <n v="48.410000000000004"/>
    <n v="25.9"/>
    <n v="3.94"/>
    <n v="19.45"/>
    <n v="6.77"/>
    <n v="391.37999999999994"/>
    <n v="162.61000000000001"/>
    <n v="40.71"/>
    <n v="24.9"/>
    <n v="3.83"/>
    <n v="19.45"/>
    <n v="6.77"/>
    <n v="258.27000000000004"/>
    <n v="13.2"/>
    <n v="0"/>
    <n v="1"/>
    <n v="0"/>
    <n v="0"/>
    <n v="0"/>
    <n v="14.2"/>
    <n v="111.1"/>
    <n v="7.7"/>
    <n v="0"/>
    <n v="0.11"/>
    <n v="0"/>
    <n v="0"/>
    <n v="118.91"/>
    <n v="0"/>
    <n v="0"/>
    <n v="0"/>
    <n v="0"/>
    <n v="0"/>
    <n v="0"/>
    <n v="0"/>
    <x v="24"/>
    <x v="3"/>
  </r>
  <r>
    <x v="129"/>
    <n v="260.88"/>
    <n v="51.58"/>
    <n v="25.3"/>
    <n v="2.2999999999999998"/>
    <n v="22.94"/>
    <n v="4.8899999999999997"/>
    <n v="367.89"/>
    <n v="146.97999999999999"/>
    <n v="43.88"/>
    <n v="24.3"/>
    <n v="2.2999999999999998"/>
    <n v="22.94"/>
    <n v="4.8899999999999997"/>
    <n v="245.29"/>
    <n v="12.5"/>
    <n v="0"/>
    <n v="1"/>
    <n v="0"/>
    <n v="0"/>
    <n v="0"/>
    <n v="13.5"/>
    <n v="101.4"/>
    <n v="7.7"/>
    <n v="0"/>
    <n v="0"/>
    <n v="0"/>
    <n v="0"/>
    <n v="109.1"/>
    <n v="0"/>
    <n v="0"/>
    <n v="0"/>
    <n v="0"/>
    <n v="0"/>
    <n v="0"/>
    <n v="0"/>
    <x v="25"/>
    <x v="3"/>
  </r>
  <r>
    <x v="130"/>
    <n v="263.23"/>
    <n v="52.94"/>
    <n v="31.7"/>
    <n v="4.16"/>
    <n v="21.71"/>
    <n v="3.32"/>
    <n v="377.06"/>
    <n v="152.83000000000001"/>
    <n v="44.74"/>
    <n v="30.7"/>
    <n v="4.16"/>
    <n v="21.71"/>
    <n v="3.32"/>
    <n v="257.46000000000004"/>
    <n v="11.8"/>
    <n v="0"/>
    <n v="1"/>
    <n v="0"/>
    <n v="0"/>
    <n v="0"/>
    <n v="12.8"/>
    <n v="98.6"/>
    <n v="8.1999999999999993"/>
    <n v="0"/>
    <n v="0"/>
    <n v="0"/>
    <n v="0"/>
    <n v="106.8"/>
    <n v="0"/>
    <n v="0"/>
    <n v="0"/>
    <n v="0"/>
    <n v="0"/>
    <n v="0"/>
    <n v="0"/>
    <x v="26"/>
    <x v="3"/>
  </r>
  <r>
    <x v="131"/>
    <n v="290.63"/>
    <n v="58.89"/>
    <n v="34.299999999999997"/>
    <n v="2.94"/>
    <n v="18.73"/>
    <n v="4.0599999999999996"/>
    <n v="409.55"/>
    <n v="167.53"/>
    <n v="46.49"/>
    <n v="33.299999999999997"/>
    <n v="2.94"/>
    <n v="18.73"/>
    <n v="4.0599999999999996"/>
    <n v="273.05"/>
    <n v="11.5"/>
    <n v="0"/>
    <n v="1"/>
    <n v="0"/>
    <n v="0"/>
    <n v="0"/>
    <n v="12.5"/>
    <n v="111.6"/>
    <n v="12.4"/>
    <n v="0"/>
    <n v="0"/>
    <n v="0"/>
    <n v="0"/>
    <n v="124"/>
    <n v="0"/>
    <n v="0"/>
    <n v="0"/>
    <n v="0"/>
    <n v="0"/>
    <n v="0"/>
    <n v="0"/>
    <x v="27"/>
    <x v="3"/>
  </r>
  <r>
    <x v="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数据透视表9" cacheId="2" applyNumberFormats="0" applyBorderFormats="0" applyFontFormats="0" applyPatternFormats="0" applyAlignmentFormats="0" applyWidthHeightFormats="1" dataCaption="值" updatedVersion="8" minRefreshableVersion="3" useAutoFormatting="1" createdVersion="8" indent="0" outline="1" outlineData="1" multipleFieldFilters="0">
  <location ref="A117:F172" firstHeaderRow="1" firstDataRow="2" firstDataCol="1" rowPageCount="4" colPageCount="1"/>
  <pivotFields count="41">
    <pivotField axis="axisPage"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2"/>
        <item x="129"/>
        <item x="130"/>
        <item x="1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3"/>
        <item x="0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x="5"/>
        <item t="default"/>
      </items>
    </pivotField>
  </pivotFields>
  <rowFields count="1">
    <field x="36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 t="grand">
      <x/>
    </i>
  </rowItems>
  <colFields count="1">
    <field x="37"/>
  </colFields>
  <colItems count="5">
    <i>
      <x/>
    </i>
    <i>
      <x v="1"/>
    </i>
    <i>
      <x v="2"/>
    </i>
    <i>
      <x v="3"/>
    </i>
    <i t="grand">
      <x/>
    </i>
  </colItems>
  <pageFields count="4">
    <pageField fld="40" hier="0"/>
    <pageField fld="39" hier="0"/>
    <pageField fld="38" hier="0"/>
    <pageField fld="0" hier="0"/>
  </pageFields>
  <dataFields count="1">
    <dataField name="求和项:社会合计内贸玉米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数据透视表5" cacheId="0" applyNumberFormats="0" applyBorderFormats="0" applyFontFormats="0" applyPatternFormats="0" applyAlignmentFormats="0" applyWidthHeightFormats="1" dataCaption="值" updatedVersion="8" minRefreshableVersion="3" useAutoFormatting="1" createdVersion="8" indent="0" outline="1" outlineData="1" multipleFieldFilters="0">
  <location ref="A28:G31" firstHeaderRow="0" firstDataRow="1" firstDataCol="1" rowPageCount="3" colPageCount="1"/>
  <pivotFields count="20">
    <pivotField axis="axisPage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h="1" sd="0" x="0"/>
        <item h="1" sd="0" x="1"/>
        <item h="1" sd="0" x="2"/>
        <item h="1" sd="0" x="3"/>
        <item sd="0" x="4"/>
        <item sd="0" x="5"/>
        <item t="default"/>
      </items>
    </pivotField>
  </pivotFields>
  <rowFields count="1">
    <field x="17"/>
  </rowFields>
  <rowItems count="3"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8" hier="0"/>
    <pageField fld="0" hier="0"/>
    <pageField fld="19" hier="0"/>
  </pageFields>
  <dataFields count="6">
    <dataField name="求和项:珠三角内贸玉米" fld="10" baseField="0" baseItem="0"/>
    <dataField name="求和项:粤西内贸玉米" fld="11" baseField="0" baseItem="0"/>
    <dataField name="求和项:钦州内贸玉米" fld="12" baseField="0" baseItem="0"/>
    <dataField name="求和项:福建内贸玉米" fld="14" baseField="0" baseItem="0"/>
    <dataField name="求和项:海南内贸玉米" fld="15" baseField="0" baseItem="0"/>
    <dataField name="求和项:我司合计内贸玉米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4" cacheId="0" applyNumberFormats="0" applyBorderFormats="0" applyFontFormats="0" applyPatternFormats="0" applyAlignmentFormats="0" applyWidthHeightFormats="1" dataCaption="值" updatedVersion="8" minRefreshableVersion="3" useAutoFormatting="1" createdVersion="8" indent="0" outline="1" outlineData="1" multipleFieldFilters="0">
  <location ref="A6:D20" firstHeaderRow="1" firstDataRow="2" firstDataCol="1" rowPageCount="2" colPageCount="1"/>
  <pivotFields count="20">
    <pivotField axis="axisPage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multipleItemSelectionAllowed="1" showAll="0">
      <items count="7">
        <item h="1" sd="0" x="0"/>
        <item h="1" sd="0" x="1"/>
        <item h="1" sd="0" x="2"/>
        <item sd="0" x="3"/>
        <item sd="0" x="4"/>
        <item sd="0" x="5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9"/>
  </colFields>
  <colItems count="3">
    <i>
      <x v="3"/>
    </i>
    <i>
      <x v="4"/>
    </i>
    <i t="grand">
      <x/>
    </i>
  </colItems>
  <pageFields count="2">
    <pageField fld="18" hier="0"/>
    <pageField fld="0" hier="0"/>
  </pageFields>
  <dataFields count="1">
    <dataField name="求和项:我司合计内贸玉米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数据透视表10" cacheId="1" applyNumberFormats="0" applyBorderFormats="0" applyFontFormats="0" applyPatternFormats="0" applyAlignmentFormats="0" applyWidthHeightFormats="1" dataCaption="值" updatedVersion="5" minRefreshableVersion="3" useAutoFormatting="1" createdVersion="8" indent="0" outline="1" outlineData="1" multipleFieldFilters="0">
  <location ref="A46:F101" firstHeaderRow="1" firstDataRow="2" firstDataCol="1"/>
  <pivotFields count="39">
    <pivotField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0">
        <item x="51"/>
        <item x="64"/>
        <item x="70"/>
        <item x="1"/>
        <item x="81"/>
        <item x="23"/>
        <item x="16"/>
        <item x="28"/>
        <item x="41"/>
        <item x="48"/>
        <item x="43"/>
        <item x="93"/>
        <item x="47"/>
        <item x="26"/>
        <item x="3"/>
        <item x="94"/>
        <item x="44"/>
        <item x="42"/>
        <item x="5"/>
        <item x="92"/>
        <item x="96"/>
        <item x="84"/>
        <item x="27"/>
        <item x="97"/>
        <item x="24"/>
        <item x="4"/>
        <item x="46"/>
        <item x="80"/>
        <item x="88"/>
        <item x="95"/>
        <item x="90"/>
        <item x="2"/>
        <item x="40"/>
        <item x="49"/>
        <item x="45"/>
        <item x="99"/>
        <item x="6"/>
        <item x="89"/>
        <item x="29"/>
        <item x="87"/>
        <item x="86"/>
        <item x="53"/>
        <item x="61"/>
        <item x="52"/>
        <item x="22"/>
        <item x="63"/>
        <item x="50"/>
        <item x="76"/>
        <item x="25"/>
        <item x="72"/>
        <item x="56"/>
        <item x="62"/>
        <item x="57"/>
        <item x="39"/>
        <item x="36"/>
        <item x="91"/>
        <item x="10"/>
        <item x="82"/>
        <item x="37"/>
        <item x="98"/>
        <item x="0"/>
        <item x="35"/>
        <item x="60"/>
        <item x="79"/>
        <item x="20"/>
        <item x="77"/>
        <item x="30"/>
        <item x="85"/>
        <item x="55"/>
        <item x="54"/>
        <item x="21"/>
        <item x="78"/>
        <item x="71"/>
        <item x="83"/>
        <item x="38"/>
        <item x="59"/>
        <item x="68"/>
        <item x="75"/>
        <item x="31"/>
        <item x="74"/>
        <item x="19"/>
        <item x="58"/>
        <item x="101"/>
        <item x="100"/>
        <item x="65"/>
        <item x="18"/>
        <item x="73"/>
        <item x="8"/>
        <item x="33"/>
        <item x="67"/>
        <item x="69"/>
        <item x="66"/>
        <item x="32"/>
        <item x="11"/>
        <item x="7"/>
        <item x="12"/>
        <item x="119"/>
        <item x="103"/>
        <item x="34"/>
        <item x="14"/>
        <item x="102"/>
        <item x="105"/>
        <item x="9"/>
        <item x="104"/>
        <item x="13"/>
        <item x="15"/>
        <item x="106"/>
        <item x="120"/>
        <item x="107"/>
        <item x="17"/>
        <item x="109"/>
        <item x="112"/>
        <item x="123"/>
        <item x="124"/>
        <item x="108"/>
        <item x="127"/>
        <item x="111"/>
        <item x="121"/>
        <item x="115"/>
        <item x="114"/>
        <item x="126"/>
        <item x="125"/>
        <item x="122"/>
        <item x="116"/>
        <item x="113"/>
        <item x="117"/>
        <item x="110"/>
        <item x="118"/>
        <item x="1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3"/>
        <item x="0"/>
        <item t="default"/>
      </items>
    </pivotField>
  </pivotFields>
  <rowFields count="1">
    <field x="38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社会合计内贸玉米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2:G30">
  <tableColumns count="7">
    <tableColumn id="1" xr3:uid="{00000000-0010-0000-0000-000001000000}" name="日期" dataDxfId="13"/>
    <tableColumn id="2" xr3:uid="{00000000-0010-0000-0000-000002000000}" name="沿海能量港存" totalsRowLabel="367.89 " dataDxfId="12"/>
    <tableColumn id="3" xr3:uid="{00000000-0010-0000-0000-000003000000}" name="沿海内贸玉米港存" dataDxfId="11"/>
    <tableColumn id="4" xr3:uid="{00000000-0010-0000-0000-000004000000}" name="沿海能量走货" dataDxfId="10"/>
    <tableColumn id="5" xr3:uid="{00000000-0010-0000-0000-000005000000}" name="沿海内贸玉米走货" dataDxfId="9"/>
    <tableColumn id="6" xr3:uid="{00000000-0010-0000-0000-000006000000}" name="沿海能量到货" dataDxfId="8"/>
    <tableColumn id="7" xr3:uid="{00000000-0010-0000-0000-000007000000}" name="沿海内贸玉米到货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表2_4" displayName="表2_4" ref="I2:O29" totalsRowShown="0">
  <tableColumns count="7">
    <tableColumn id="1" xr3:uid="{00000000-0010-0000-0100-000001000000}" name="日期" dataDxfId="6"/>
    <tableColumn id="2" xr3:uid="{00000000-0010-0000-0100-000002000000}" name="沿海能量港存" dataDxfId="5"/>
    <tableColumn id="3" xr3:uid="{00000000-0010-0000-0100-000003000000}" name="沿海内贸玉米港存" dataDxfId="4"/>
    <tableColumn id="4" xr3:uid="{00000000-0010-0000-0100-000004000000}" name="沿海能量走货" dataDxfId="3"/>
    <tableColumn id="5" xr3:uid="{00000000-0010-0000-0100-000005000000}" name="沿海内贸玉米走货" dataDxfId="2"/>
    <tableColumn id="6" xr3:uid="{00000000-0010-0000-0100-000006000000}" name="沿海能量到货" dataDxfId="1"/>
    <tableColumn id="7" xr3:uid="{00000000-0010-0000-0100-000007000000}" name="沿海内贸玉米到货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122"/>
  <sheetViews>
    <sheetView zoomScale="85" zoomScaleNormal="85" workbookViewId="0">
      <pane ySplit="1" topLeftCell="A96" activePane="bottomLeft" state="frozen"/>
      <selection pane="bottomLeft" activeCell="G115" sqref="G115"/>
    </sheetView>
  </sheetViews>
  <sheetFormatPr defaultColWidth="9" defaultRowHeight="13.9" x14ac:dyDescent="0.4"/>
  <cols>
    <col min="1" max="1" width="11.3984375" style="50" customWidth="1"/>
    <col min="2" max="5" width="17.1328125" customWidth="1"/>
    <col min="6" max="6" width="18.73046875" customWidth="1"/>
    <col min="7" max="7" width="17.1328125" customWidth="1"/>
  </cols>
  <sheetData>
    <row r="1" spans="1:7" x14ac:dyDescent="0.4">
      <c r="A1" s="51" t="s">
        <v>0</v>
      </c>
      <c r="B1" s="52" t="s">
        <v>6</v>
      </c>
      <c r="C1" s="52" t="s">
        <v>7</v>
      </c>
      <c r="D1" s="52" t="s">
        <v>8</v>
      </c>
      <c r="E1" s="52" t="s">
        <v>9</v>
      </c>
      <c r="F1" s="52" t="s">
        <v>10</v>
      </c>
      <c r="G1" s="52" t="s">
        <v>11</v>
      </c>
    </row>
    <row r="2" spans="1:7" x14ac:dyDescent="0.4">
      <c r="A2" s="53">
        <v>44897</v>
      </c>
      <c r="B2" s="54">
        <v>9.2493999999999996</v>
      </c>
      <c r="C2" s="54">
        <v>58.8215</v>
      </c>
      <c r="D2" s="54">
        <v>0</v>
      </c>
      <c r="E2" s="54">
        <v>10.744400000000001</v>
      </c>
      <c r="F2" s="54">
        <v>6.7354000000000003</v>
      </c>
      <c r="G2" s="54">
        <v>85.550700000000006</v>
      </c>
    </row>
    <row r="3" spans="1:7" x14ac:dyDescent="0.4">
      <c r="A3" s="53">
        <v>44904</v>
      </c>
      <c r="B3" s="54">
        <v>8.8292999999999999</v>
      </c>
      <c r="C3" s="54">
        <v>57.331600000000002</v>
      </c>
      <c r="D3" s="54">
        <v>0</v>
      </c>
      <c r="E3" s="54">
        <v>7.3117999999999999</v>
      </c>
      <c r="F3" s="54">
        <v>7.2899000000000003</v>
      </c>
      <c r="G3" s="54">
        <v>80.762600000000006</v>
      </c>
    </row>
    <row r="4" spans="1:7" x14ac:dyDescent="0.4">
      <c r="A4" s="53">
        <v>44911</v>
      </c>
      <c r="B4" s="54">
        <v>16.252400000000002</v>
      </c>
      <c r="C4" s="54">
        <v>45.452399999999997</v>
      </c>
      <c r="D4" s="54">
        <v>0</v>
      </c>
      <c r="E4" s="54">
        <v>6.4398999999999997</v>
      </c>
      <c r="F4" s="54">
        <v>10.1319</v>
      </c>
      <c r="G4" s="54">
        <v>78.276600000000002</v>
      </c>
    </row>
    <row r="5" spans="1:7" x14ac:dyDescent="0.4">
      <c r="A5" s="53">
        <v>44918</v>
      </c>
      <c r="B5" s="54">
        <v>14.2653</v>
      </c>
      <c r="C5" s="54">
        <v>35.8675</v>
      </c>
      <c r="D5" s="54">
        <v>0</v>
      </c>
      <c r="E5" s="54">
        <v>5.3076999999999996</v>
      </c>
      <c r="F5" s="54">
        <v>10.648</v>
      </c>
      <c r="G5" s="54">
        <v>66.088499999999996</v>
      </c>
    </row>
    <row r="6" spans="1:7" x14ac:dyDescent="0.4">
      <c r="A6" s="53">
        <v>44925</v>
      </c>
      <c r="B6" s="54">
        <v>12.6738</v>
      </c>
      <c r="C6" s="54">
        <v>28.4514</v>
      </c>
      <c r="D6" s="54">
        <v>0</v>
      </c>
      <c r="E6" s="54">
        <v>4.5655999999999999</v>
      </c>
      <c r="F6" s="54">
        <v>12.1648</v>
      </c>
      <c r="G6" s="54">
        <v>57.855600000000003</v>
      </c>
    </row>
    <row r="7" spans="1:7" x14ac:dyDescent="0.4">
      <c r="A7" s="53">
        <v>44932</v>
      </c>
      <c r="B7" s="54">
        <v>10.2478</v>
      </c>
      <c r="C7" s="54">
        <v>28.578399999999998</v>
      </c>
      <c r="D7" s="54">
        <v>0</v>
      </c>
      <c r="E7" s="54">
        <v>4.0888999999999998</v>
      </c>
      <c r="F7" s="54">
        <v>11.947900000000001</v>
      </c>
      <c r="G7" s="54">
        <v>54.863</v>
      </c>
    </row>
    <row r="8" spans="1:7" x14ac:dyDescent="0.4">
      <c r="A8" s="53">
        <v>44939</v>
      </c>
      <c r="B8" s="54">
        <v>17.293399999999998</v>
      </c>
      <c r="C8" s="54">
        <v>43.998699999999999</v>
      </c>
      <c r="D8" s="54">
        <v>0</v>
      </c>
      <c r="E8" s="54">
        <v>3.0396999999999998</v>
      </c>
      <c r="F8" s="54">
        <v>9.4835999999999991</v>
      </c>
      <c r="G8" s="54">
        <v>73.815399999999997</v>
      </c>
    </row>
    <row r="9" spans="1:7" x14ac:dyDescent="0.4">
      <c r="A9" s="53">
        <v>44946</v>
      </c>
      <c r="B9" s="54">
        <v>9.1201000000000008</v>
      </c>
      <c r="C9" s="54">
        <v>85.333100000000002</v>
      </c>
      <c r="D9" s="54">
        <v>0</v>
      </c>
      <c r="E9" s="54">
        <v>2.6</v>
      </c>
      <c r="F9" s="54">
        <v>6.0041000000000002</v>
      </c>
      <c r="G9" s="54">
        <v>103.0573</v>
      </c>
    </row>
    <row r="10" spans="1:7" x14ac:dyDescent="0.4">
      <c r="A10" s="53">
        <v>44954</v>
      </c>
      <c r="B10" s="54">
        <v>11.576599999999999</v>
      </c>
      <c r="C10" s="54">
        <v>117.4128</v>
      </c>
      <c r="D10" s="54">
        <v>0</v>
      </c>
      <c r="E10" s="54">
        <v>2.5003000000000002</v>
      </c>
      <c r="F10" s="54">
        <v>5.9909999999999997</v>
      </c>
      <c r="G10" s="54">
        <v>137.48070000000001</v>
      </c>
    </row>
    <row r="11" spans="1:7" x14ac:dyDescent="0.4">
      <c r="A11" s="53">
        <v>44960</v>
      </c>
      <c r="B11" s="54">
        <v>13.4392</v>
      </c>
      <c r="C11" s="54">
        <v>144.52889999999999</v>
      </c>
      <c r="D11" s="54">
        <v>0</v>
      </c>
      <c r="E11" s="54">
        <v>2.0533999999999999</v>
      </c>
      <c r="F11" s="54">
        <v>8.7345000000000006</v>
      </c>
      <c r="G11" s="54">
        <v>168.756</v>
      </c>
    </row>
    <row r="12" spans="1:7" x14ac:dyDescent="0.4">
      <c r="A12" s="53">
        <v>44967</v>
      </c>
      <c r="B12" s="54">
        <v>8.0853000000000002</v>
      </c>
      <c r="C12" s="54">
        <v>153.82320000000001</v>
      </c>
      <c r="D12" s="54">
        <v>0</v>
      </c>
      <c r="E12" s="54">
        <v>1.5399</v>
      </c>
      <c r="F12" s="54">
        <v>7.2225000000000001</v>
      </c>
      <c r="G12" s="54">
        <v>170.67089999999999</v>
      </c>
    </row>
    <row r="13" spans="1:7" x14ac:dyDescent="0.4">
      <c r="A13" s="53">
        <v>44974</v>
      </c>
      <c r="B13" s="54">
        <v>15.0288</v>
      </c>
      <c r="C13" s="54">
        <v>150.4717</v>
      </c>
      <c r="D13" s="54">
        <v>0</v>
      </c>
      <c r="E13" s="54">
        <v>1.1691</v>
      </c>
      <c r="F13" s="54">
        <v>7.2427000000000001</v>
      </c>
      <c r="G13" s="54">
        <v>173.91229999999999</v>
      </c>
    </row>
    <row r="14" spans="1:7" x14ac:dyDescent="0.4">
      <c r="A14" s="53">
        <v>44981</v>
      </c>
      <c r="B14" s="54">
        <v>13.1973</v>
      </c>
      <c r="C14" s="54">
        <v>181.75839999999999</v>
      </c>
      <c r="D14" s="54">
        <v>0</v>
      </c>
      <c r="E14" s="54">
        <v>0.83679999999999999</v>
      </c>
      <c r="F14" s="54">
        <v>6.5086000000000004</v>
      </c>
      <c r="G14" s="54">
        <v>202.30109999999999</v>
      </c>
    </row>
    <row r="15" spans="1:7" x14ac:dyDescent="0.4">
      <c r="A15" s="53">
        <v>44988</v>
      </c>
      <c r="B15" s="54">
        <v>19.8063</v>
      </c>
      <c r="C15" s="54">
        <v>172.05179999999999</v>
      </c>
      <c r="D15" s="54">
        <v>0</v>
      </c>
      <c r="E15" s="54">
        <v>0.1988</v>
      </c>
      <c r="F15" s="54">
        <v>5.766</v>
      </c>
      <c r="G15" s="54">
        <v>197.8229</v>
      </c>
    </row>
    <row r="16" spans="1:7" x14ac:dyDescent="0.4">
      <c r="A16" s="53">
        <v>44995</v>
      </c>
      <c r="B16" s="54">
        <v>22.9679</v>
      </c>
      <c r="C16" s="54">
        <v>151.3835</v>
      </c>
      <c r="D16" s="54">
        <v>0</v>
      </c>
      <c r="E16" s="54">
        <v>0.18659999999999999</v>
      </c>
      <c r="F16" s="54">
        <v>4.8512000000000004</v>
      </c>
      <c r="G16" s="54">
        <v>179.38919999999999</v>
      </c>
    </row>
    <row r="17" spans="1:7" x14ac:dyDescent="0.4">
      <c r="A17" s="53">
        <v>45002</v>
      </c>
      <c r="B17" s="54">
        <v>21.622800000000002</v>
      </c>
      <c r="C17" s="54">
        <v>143.5222</v>
      </c>
      <c r="D17" s="54">
        <v>0</v>
      </c>
      <c r="E17" s="54">
        <v>0.18659999999999999</v>
      </c>
      <c r="F17" s="54">
        <v>3.9462000000000002</v>
      </c>
      <c r="G17" s="54">
        <v>169.27780000000001</v>
      </c>
    </row>
    <row r="18" spans="1:7" x14ac:dyDescent="0.4">
      <c r="A18" s="53">
        <v>45009</v>
      </c>
      <c r="B18" s="54">
        <v>27.907299999999999</v>
      </c>
      <c r="C18" s="54">
        <v>139.15280000000001</v>
      </c>
      <c r="D18" s="54">
        <v>0</v>
      </c>
      <c r="E18" s="54">
        <v>9.2700000000000005E-2</v>
      </c>
      <c r="F18" s="54">
        <v>3.1156000000000001</v>
      </c>
      <c r="G18" s="54">
        <v>170.26840000000001</v>
      </c>
    </row>
    <row r="19" spans="1:7" x14ac:dyDescent="0.4">
      <c r="A19" s="53">
        <v>45016</v>
      </c>
      <c r="B19" s="54">
        <v>31.5915</v>
      </c>
      <c r="C19" s="54">
        <v>119.6538</v>
      </c>
      <c r="D19" s="54">
        <v>0</v>
      </c>
      <c r="E19" s="54">
        <v>7.6799999999999993E-2</v>
      </c>
      <c r="F19" s="54">
        <v>2.7873999999999999</v>
      </c>
      <c r="G19" s="54">
        <v>154.1095</v>
      </c>
    </row>
    <row r="20" spans="1:7" x14ac:dyDescent="0.4">
      <c r="A20" s="53">
        <v>45023</v>
      </c>
      <c r="B20" s="54">
        <v>34.819699999999997</v>
      </c>
      <c r="C20" s="54">
        <v>99.575599999999994</v>
      </c>
      <c r="D20" s="54">
        <v>0</v>
      </c>
      <c r="E20" s="54">
        <v>6.6100000000000006E-2</v>
      </c>
      <c r="F20" s="54">
        <v>2.1206999999999998</v>
      </c>
      <c r="G20" s="54">
        <v>136.5821</v>
      </c>
    </row>
    <row r="21" spans="1:7" x14ac:dyDescent="0.4">
      <c r="A21" s="53">
        <v>45030</v>
      </c>
      <c r="B21" s="54">
        <v>32.040500000000002</v>
      </c>
      <c r="C21" s="54">
        <v>79.104699999999994</v>
      </c>
      <c r="D21" s="54">
        <v>0</v>
      </c>
      <c r="E21" s="54">
        <v>6.6100000000000006E-2</v>
      </c>
      <c r="F21" s="54">
        <v>1.23</v>
      </c>
      <c r="G21" s="54">
        <v>112.4413</v>
      </c>
    </row>
    <row r="22" spans="1:7" x14ac:dyDescent="0.4">
      <c r="A22" s="53">
        <v>45037</v>
      </c>
      <c r="B22" s="54">
        <v>34.693100000000001</v>
      </c>
      <c r="C22" s="54">
        <v>61.926400000000001</v>
      </c>
      <c r="D22" s="54">
        <v>0</v>
      </c>
      <c r="E22" s="54">
        <v>6.6100000000000006E-2</v>
      </c>
      <c r="F22" s="54">
        <v>0.82509999999999994</v>
      </c>
      <c r="G22" s="54">
        <v>97.5107</v>
      </c>
    </row>
    <row r="23" spans="1:7" x14ac:dyDescent="0.4">
      <c r="A23" s="53">
        <v>45044</v>
      </c>
      <c r="B23" s="54">
        <v>30.244700000000002</v>
      </c>
      <c r="C23" s="54">
        <v>60.166800000000002</v>
      </c>
      <c r="D23" s="54">
        <v>0</v>
      </c>
      <c r="E23" s="54">
        <v>6.6100000000000006E-2</v>
      </c>
      <c r="F23" s="54">
        <v>0.65759999999999996</v>
      </c>
      <c r="G23" s="54">
        <v>91.135199999999998</v>
      </c>
    </row>
    <row r="24" spans="1:7" x14ac:dyDescent="0.4">
      <c r="A24" s="53">
        <v>45051</v>
      </c>
      <c r="B24" s="54">
        <v>24.1553</v>
      </c>
      <c r="C24" s="54">
        <v>61.721800000000002</v>
      </c>
      <c r="D24" s="54">
        <v>0</v>
      </c>
      <c r="E24" s="54">
        <v>6.6100000000000006E-2</v>
      </c>
      <c r="F24" s="54">
        <v>0.58409999999999995</v>
      </c>
      <c r="G24" s="54">
        <v>86.527299999999997</v>
      </c>
    </row>
    <row r="25" spans="1:7" x14ac:dyDescent="0.4">
      <c r="A25" s="53">
        <v>45058</v>
      </c>
      <c r="B25" s="54">
        <v>19.4909</v>
      </c>
      <c r="C25" s="54">
        <v>50.019399999999997</v>
      </c>
      <c r="D25" s="54">
        <v>0</v>
      </c>
      <c r="E25" s="54">
        <v>6.6100000000000006E-2</v>
      </c>
      <c r="F25" s="54">
        <v>0.50949999999999995</v>
      </c>
      <c r="G25" s="54">
        <v>70.085899999999995</v>
      </c>
    </row>
    <row r="26" spans="1:7" x14ac:dyDescent="0.4">
      <c r="A26" s="53">
        <v>45065</v>
      </c>
      <c r="B26" s="54">
        <v>15.3066</v>
      </c>
      <c r="C26" s="54">
        <v>47.268300000000004</v>
      </c>
      <c r="D26" s="54">
        <v>0</v>
      </c>
      <c r="E26" s="54">
        <v>6.6100000000000006E-2</v>
      </c>
      <c r="F26" s="54">
        <v>0.32400000000000001</v>
      </c>
      <c r="G26" s="54">
        <v>62.965000000000003</v>
      </c>
    </row>
    <row r="27" spans="1:7" x14ac:dyDescent="0.4">
      <c r="A27" s="53">
        <v>45072</v>
      </c>
      <c r="B27" s="54">
        <v>10.5532</v>
      </c>
      <c r="C27" s="54">
        <v>38.945799999999998</v>
      </c>
      <c r="D27" s="54">
        <v>0</v>
      </c>
      <c r="E27" s="54">
        <v>6.6100000000000006E-2</v>
      </c>
      <c r="F27" s="54">
        <v>0.16400000000000001</v>
      </c>
      <c r="G27" s="54">
        <v>49.729100000000003</v>
      </c>
    </row>
    <row r="28" spans="1:7" x14ac:dyDescent="0.4">
      <c r="A28" s="53">
        <v>45079</v>
      </c>
      <c r="B28" s="54">
        <v>9.3846000000000007</v>
      </c>
      <c r="C28" s="54">
        <v>36.622500000000002</v>
      </c>
      <c r="D28" s="54">
        <v>0</v>
      </c>
      <c r="E28" s="54">
        <v>6.6100000000000006E-2</v>
      </c>
      <c r="F28" s="54">
        <v>4.6399999999999997E-2</v>
      </c>
      <c r="G28" s="54">
        <v>46.119599999999998</v>
      </c>
    </row>
    <row r="29" spans="1:7" x14ac:dyDescent="0.4">
      <c r="A29" s="53">
        <v>45086</v>
      </c>
      <c r="B29" s="54">
        <v>8.7550000000000008</v>
      </c>
      <c r="C29" s="54">
        <v>38.774700000000003</v>
      </c>
      <c r="D29" s="54">
        <v>0</v>
      </c>
      <c r="E29" s="54">
        <v>5.2580999999999998</v>
      </c>
      <c r="F29" s="54">
        <v>5.5999999999999999E-3</v>
      </c>
      <c r="G29" s="54">
        <v>52.793399999999998</v>
      </c>
    </row>
    <row r="30" spans="1:7" x14ac:dyDescent="0.4">
      <c r="A30" s="53">
        <v>45093</v>
      </c>
      <c r="B30" s="54">
        <v>14.7296</v>
      </c>
      <c r="C30" s="54">
        <v>51.024799999999999</v>
      </c>
      <c r="D30" s="54">
        <v>0</v>
      </c>
      <c r="E30" s="54">
        <v>5.2580999999999998</v>
      </c>
      <c r="F30" s="54">
        <v>0</v>
      </c>
      <c r="G30" s="54">
        <v>71.012500000000003</v>
      </c>
    </row>
    <row r="31" spans="1:7" x14ac:dyDescent="0.4">
      <c r="A31" s="53">
        <v>45102</v>
      </c>
      <c r="B31" s="54">
        <v>15.5052</v>
      </c>
      <c r="C31" s="54">
        <v>51.022300000000001</v>
      </c>
      <c r="D31" s="54">
        <v>0</v>
      </c>
      <c r="E31" s="54">
        <v>5.2580999999999998</v>
      </c>
      <c r="F31" s="54">
        <v>0</v>
      </c>
      <c r="G31" s="54">
        <v>71.785600000000002</v>
      </c>
    </row>
    <row r="32" spans="1:7" x14ac:dyDescent="0.4">
      <c r="A32" s="53">
        <v>45107</v>
      </c>
      <c r="B32" s="54">
        <v>17.216200000000001</v>
      </c>
      <c r="C32" s="54">
        <v>53.039900000000003</v>
      </c>
      <c r="D32" s="54">
        <v>5.0709999999999997</v>
      </c>
      <c r="E32" s="54">
        <v>10.1022</v>
      </c>
      <c r="F32" s="54">
        <v>0</v>
      </c>
      <c r="G32" s="54">
        <v>85.429299999999998</v>
      </c>
    </row>
    <row r="33" spans="1:7" x14ac:dyDescent="0.4">
      <c r="A33" s="53">
        <v>45114</v>
      </c>
      <c r="B33" s="54">
        <v>18.135300000000001</v>
      </c>
      <c r="C33" s="54">
        <v>57.540100000000002</v>
      </c>
      <c r="D33" s="54">
        <v>5.0605000000000002</v>
      </c>
      <c r="E33" s="54">
        <v>10.1022</v>
      </c>
      <c r="F33" s="54">
        <v>0</v>
      </c>
      <c r="G33" s="54">
        <v>90.838099999999997</v>
      </c>
    </row>
    <row r="34" spans="1:7" x14ac:dyDescent="0.4">
      <c r="A34" s="53">
        <v>45121</v>
      </c>
      <c r="B34" s="54">
        <v>13.4857</v>
      </c>
      <c r="C34" s="54">
        <v>57.719499999999996</v>
      </c>
      <c r="D34" s="54">
        <v>6.6036000000000001</v>
      </c>
      <c r="E34" s="54">
        <v>9.1340000000000003</v>
      </c>
      <c r="F34" s="54">
        <v>0</v>
      </c>
      <c r="G34" s="54">
        <v>86.942800000000005</v>
      </c>
    </row>
    <row r="35" spans="1:7" x14ac:dyDescent="0.4">
      <c r="A35" s="53">
        <v>45128</v>
      </c>
      <c r="B35" s="54">
        <v>17.370100000000001</v>
      </c>
      <c r="C35" s="54">
        <v>59.962299999999999</v>
      </c>
      <c r="D35" s="54">
        <v>12.661799999999999</v>
      </c>
      <c r="E35" s="54">
        <v>12.8911</v>
      </c>
      <c r="F35" s="54">
        <v>0</v>
      </c>
      <c r="G35" s="54">
        <v>102.8853</v>
      </c>
    </row>
    <row r="36" spans="1:7" x14ac:dyDescent="0.4">
      <c r="A36" s="53">
        <v>45135</v>
      </c>
      <c r="B36" s="54">
        <v>18.571300000000001</v>
      </c>
      <c r="C36" s="54">
        <v>50.069000000000003</v>
      </c>
      <c r="D36" s="54">
        <v>11.8771</v>
      </c>
      <c r="E36" s="54">
        <v>11.3276</v>
      </c>
      <c r="F36" s="54">
        <v>0</v>
      </c>
      <c r="G36" s="54">
        <v>91.844999999999999</v>
      </c>
    </row>
    <row r="37" spans="1:7" x14ac:dyDescent="0.4">
      <c r="A37" s="53">
        <v>45142</v>
      </c>
      <c r="B37" s="54">
        <v>23.817</v>
      </c>
      <c r="C37" s="54">
        <v>44.945300000000003</v>
      </c>
      <c r="D37" s="54">
        <v>10.851599999999999</v>
      </c>
      <c r="E37" s="54">
        <v>10.6044</v>
      </c>
      <c r="F37" s="54">
        <v>0</v>
      </c>
      <c r="G37" s="54">
        <v>90.218299999999999</v>
      </c>
    </row>
    <row r="38" spans="1:7" x14ac:dyDescent="0.4">
      <c r="A38" s="53">
        <v>45149</v>
      </c>
      <c r="B38" s="54">
        <v>21.076899999999998</v>
      </c>
      <c r="C38" s="54">
        <v>39.772100000000002</v>
      </c>
      <c r="D38" s="54">
        <v>8.9710000000000001</v>
      </c>
      <c r="E38" s="54">
        <v>9.8329000000000004</v>
      </c>
      <c r="F38" s="54">
        <v>0</v>
      </c>
      <c r="G38" s="54">
        <v>79.652900000000002</v>
      </c>
    </row>
    <row r="39" spans="1:7" x14ac:dyDescent="0.4">
      <c r="A39" s="53">
        <v>45156</v>
      </c>
      <c r="B39" s="54">
        <v>17.436900000000001</v>
      </c>
      <c r="C39" s="54">
        <v>45.256900000000002</v>
      </c>
      <c r="D39" s="54">
        <v>6.1589</v>
      </c>
      <c r="E39" s="54">
        <v>8.7308000000000003</v>
      </c>
      <c r="F39" s="54">
        <v>0</v>
      </c>
      <c r="G39" s="54">
        <v>77.583500000000001</v>
      </c>
    </row>
    <row r="40" spans="1:7" x14ac:dyDescent="0.4">
      <c r="A40" s="53">
        <v>45163</v>
      </c>
      <c r="B40" s="54">
        <v>20.060099999999998</v>
      </c>
      <c r="C40" s="54">
        <v>46.879199999999997</v>
      </c>
      <c r="D40" s="54">
        <v>3.2837999999999998</v>
      </c>
      <c r="E40" s="54">
        <v>7.7439999999999998</v>
      </c>
      <c r="F40" s="54">
        <v>0</v>
      </c>
      <c r="G40" s="54">
        <v>77.967100000000002</v>
      </c>
    </row>
    <row r="41" spans="1:7" x14ac:dyDescent="0.4">
      <c r="A41" s="53">
        <v>45170</v>
      </c>
      <c r="B41" s="54">
        <v>14.3241</v>
      </c>
      <c r="C41" s="54">
        <v>43.043999999999997</v>
      </c>
      <c r="D41" s="54">
        <v>1.9916</v>
      </c>
      <c r="E41" s="54">
        <v>7.5353000000000003</v>
      </c>
      <c r="F41" s="54">
        <v>0</v>
      </c>
      <c r="G41" s="54">
        <v>66.894999999999996</v>
      </c>
    </row>
    <row r="42" spans="1:7" x14ac:dyDescent="0.4">
      <c r="A42" s="53">
        <v>45177</v>
      </c>
      <c r="B42" s="54">
        <v>8.782</v>
      </c>
      <c r="C42" s="54">
        <v>52.606499999999997</v>
      </c>
      <c r="D42" s="54">
        <v>1.3626</v>
      </c>
      <c r="E42" s="54">
        <v>6.6624999999999996</v>
      </c>
      <c r="F42" s="54">
        <v>0</v>
      </c>
      <c r="G42" s="54">
        <v>69.413600000000002</v>
      </c>
    </row>
    <row r="43" spans="1:7" x14ac:dyDescent="0.4">
      <c r="A43" s="53">
        <v>45184</v>
      </c>
      <c r="B43" s="54">
        <v>7.3479999999999999</v>
      </c>
      <c r="C43" s="54">
        <v>52.565399999999997</v>
      </c>
      <c r="D43" s="54">
        <v>2.5981999999999998</v>
      </c>
      <c r="E43" s="54">
        <v>5.7984999999999998</v>
      </c>
      <c r="F43" s="54">
        <v>0</v>
      </c>
      <c r="G43" s="54">
        <v>68.310100000000006</v>
      </c>
    </row>
    <row r="44" spans="1:7" x14ac:dyDescent="0.4">
      <c r="A44" s="53">
        <v>45191</v>
      </c>
      <c r="B44" s="54">
        <v>4.6074000000000002</v>
      </c>
      <c r="C44" s="54">
        <v>59.857399999999998</v>
      </c>
      <c r="D44" s="54">
        <v>6.9946000000000002</v>
      </c>
      <c r="E44" s="54">
        <v>4.5244999999999997</v>
      </c>
      <c r="F44" s="54">
        <v>0</v>
      </c>
      <c r="G44" s="54">
        <v>75.983900000000006</v>
      </c>
    </row>
    <row r="45" spans="1:7" x14ac:dyDescent="0.4">
      <c r="A45" s="53">
        <v>45197</v>
      </c>
      <c r="B45" s="54">
        <v>8.0219000000000005</v>
      </c>
      <c r="C45" s="54">
        <v>62.109000000000002</v>
      </c>
      <c r="D45" s="54">
        <v>6.8230000000000004</v>
      </c>
      <c r="E45" s="54">
        <v>3.6676000000000002</v>
      </c>
      <c r="F45" s="54">
        <v>0</v>
      </c>
      <c r="G45" s="54">
        <v>80.621499999999997</v>
      </c>
    </row>
    <row r="46" spans="1:7" x14ac:dyDescent="0.4">
      <c r="A46" s="53">
        <v>45206</v>
      </c>
      <c r="B46" s="54">
        <v>8.73</v>
      </c>
      <c r="C46" s="54">
        <v>80.28</v>
      </c>
      <c r="D46" s="54">
        <v>9.9186999999999994</v>
      </c>
      <c r="E46" s="54">
        <v>3.1720000000000002</v>
      </c>
      <c r="F46" s="54">
        <v>3.7153</v>
      </c>
      <c r="G46" s="54">
        <v>105.816</v>
      </c>
    </row>
    <row r="47" spans="1:7" x14ac:dyDescent="0.4">
      <c r="A47" s="53">
        <v>45212</v>
      </c>
      <c r="B47" s="54">
        <v>7.3693999999999997</v>
      </c>
      <c r="C47" s="54">
        <v>78.533900000000003</v>
      </c>
      <c r="D47" s="54">
        <v>9.3793000000000006</v>
      </c>
      <c r="E47" s="54">
        <v>2.6208</v>
      </c>
      <c r="F47" s="54">
        <v>3.1492</v>
      </c>
      <c r="G47" s="54">
        <v>101.0526</v>
      </c>
    </row>
    <row r="48" spans="1:7" x14ac:dyDescent="0.4">
      <c r="A48" s="53">
        <v>45219</v>
      </c>
      <c r="B48" s="54">
        <v>7.7759</v>
      </c>
      <c r="C48" s="54">
        <v>84.555599999999998</v>
      </c>
      <c r="D48" s="54">
        <v>8.093</v>
      </c>
      <c r="E48" s="54">
        <v>2.1269</v>
      </c>
      <c r="F48" s="54">
        <v>5.98</v>
      </c>
      <c r="G48" s="54">
        <v>108.5314</v>
      </c>
    </row>
    <row r="49" spans="1:7" x14ac:dyDescent="0.4">
      <c r="A49" s="53">
        <v>45226</v>
      </c>
      <c r="B49" s="54">
        <v>6.9382000000000001</v>
      </c>
      <c r="C49" s="54">
        <v>84.030699999999996</v>
      </c>
      <c r="D49" s="54">
        <v>6.4978999999999996</v>
      </c>
      <c r="E49" s="54">
        <v>1.6172</v>
      </c>
      <c r="F49" s="54">
        <v>6.5008999999999997</v>
      </c>
      <c r="G49" s="54">
        <v>105.5849</v>
      </c>
    </row>
    <row r="50" spans="1:7" x14ac:dyDescent="0.4">
      <c r="A50" s="53">
        <v>45233</v>
      </c>
      <c r="B50" s="54">
        <v>6.6456999999999997</v>
      </c>
      <c r="C50" s="54">
        <v>99.991</v>
      </c>
      <c r="D50" s="54">
        <v>4.8041</v>
      </c>
      <c r="E50" s="54">
        <v>1.4728000000000001</v>
      </c>
      <c r="F50" s="54">
        <v>5.9946999999999999</v>
      </c>
      <c r="G50" s="54">
        <v>118.9083</v>
      </c>
    </row>
    <row r="51" spans="1:7" x14ac:dyDescent="0.4">
      <c r="A51" s="53">
        <v>45240</v>
      </c>
      <c r="B51" s="54">
        <v>7.0523999999999996</v>
      </c>
      <c r="C51" s="54">
        <v>108.2854</v>
      </c>
      <c r="D51" s="54">
        <v>2.8852000000000002</v>
      </c>
      <c r="E51" s="54">
        <v>1.2909999999999999</v>
      </c>
      <c r="F51" s="54">
        <v>6.0045000000000002</v>
      </c>
      <c r="G51" s="54">
        <v>125.5185</v>
      </c>
    </row>
    <row r="52" spans="1:7" x14ac:dyDescent="0.4">
      <c r="A52" s="53">
        <v>45247</v>
      </c>
      <c r="B52" s="54">
        <v>3.9981</v>
      </c>
      <c r="C52" s="54">
        <v>115.98650000000001</v>
      </c>
      <c r="D52" s="54">
        <v>1.776</v>
      </c>
      <c r="E52" s="54">
        <v>1.1238999999999999</v>
      </c>
      <c r="F52" s="54">
        <v>3.3835999999999999</v>
      </c>
      <c r="G52" s="54">
        <v>126.2681</v>
      </c>
    </row>
    <row r="53" spans="1:7" x14ac:dyDescent="0.4">
      <c r="A53" s="53">
        <v>45254</v>
      </c>
      <c r="B53" s="54">
        <v>11.7765</v>
      </c>
      <c r="C53" s="54">
        <v>110.23309999999999</v>
      </c>
      <c r="D53" s="54">
        <v>2.3559999999999999</v>
      </c>
      <c r="E53" s="54">
        <v>0.97450000000000003</v>
      </c>
      <c r="F53" s="54">
        <v>7.8425000000000002</v>
      </c>
      <c r="G53" s="54">
        <v>133.18260000000001</v>
      </c>
    </row>
    <row r="54" spans="1:7" x14ac:dyDescent="0.4">
      <c r="A54" s="53">
        <v>45261</v>
      </c>
      <c r="B54" s="54">
        <v>9.6331000000000007</v>
      </c>
      <c r="C54" s="54">
        <v>120.21639999999999</v>
      </c>
      <c r="D54" s="54">
        <v>7.3643000000000001</v>
      </c>
      <c r="E54" s="54">
        <v>0.84960000000000002</v>
      </c>
      <c r="F54" s="54">
        <v>4.7234999999999996</v>
      </c>
      <c r="G54" s="54">
        <v>142.7869</v>
      </c>
    </row>
    <row r="55" spans="1:7" x14ac:dyDescent="0.4">
      <c r="A55" s="53">
        <v>45268</v>
      </c>
      <c r="B55" s="54">
        <v>12.468299999999999</v>
      </c>
      <c r="C55" s="54">
        <v>119.54949999999999</v>
      </c>
      <c r="D55" s="54">
        <v>7.2584999999999997</v>
      </c>
      <c r="E55" s="54">
        <v>0.62270000000000003</v>
      </c>
      <c r="F55" s="54">
        <v>2.3992</v>
      </c>
      <c r="G55" s="54">
        <v>142.29820000000001</v>
      </c>
    </row>
    <row r="56" spans="1:7" x14ac:dyDescent="0.4">
      <c r="A56" s="53">
        <v>45275</v>
      </c>
      <c r="B56" s="54">
        <v>10.546099999999999</v>
      </c>
      <c r="C56" s="54">
        <v>132.3503</v>
      </c>
      <c r="D56" s="54">
        <v>14.088100000000001</v>
      </c>
      <c r="E56" s="54">
        <v>0.61950000000000005</v>
      </c>
      <c r="F56" s="54">
        <v>1.4961</v>
      </c>
      <c r="G56" s="54">
        <v>159.1001</v>
      </c>
    </row>
    <row r="57" spans="1:7" x14ac:dyDescent="0.4">
      <c r="A57" s="53">
        <v>45282</v>
      </c>
      <c r="B57" s="54">
        <v>12.5113</v>
      </c>
      <c r="C57" s="54">
        <v>122.9862</v>
      </c>
      <c r="D57" s="54">
        <v>14.572100000000001</v>
      </c>
      <c r="E57" s="54">
        <v>0.61870000000000003</v>
      </c>
      <c r="F57" s="54">
        <v>1.4157999999999999</v>
      </c>
      <c r="G57" s="54">
        <v>152.10409999999999</v>
      </c>
    </row>
    <row r="58" spans="1:7" x14ac:dyDescent="0.4">
      <c r="A58" s="53">
        <v>45289</v>
      </c>
      <c r="B58" s="54">
        <v>15.028499999999999</v>
      </c>
      <c r="C58" s="54">
        <v>108.6662</v>
      </c>
      <c r="D58" s="54">
        <v>11.7143</v>
      </c>
      <c r="E58" s="54">
        <v>0.61870000000000003</v>
      </c>
      <c r="F58" s="54">
        <v>1.1123000000000001</v>
      </c>
      <c r="G58" s="54">
        <v>137.13999999999999</v>
      </c>
    </row>
    <row r="59" spans="1:7" x14ac:dyDescent="0.4">
      <c r="A59" s="53">
        <v>45296</v>
      </c>
      <c r="B59" s="54">
        <v>12.5228</v>
      </c>
      <c r="C59" s="54">
        <v>121.3272</v>
      </c>
      <c r="D59" s="54">
        <v>9.2504000000000008</v>
      </c>
      <c r="E59" s="54">
        <v>0.61870000000000003</v>
      </c>
      <c r="F59" s="54">
        <v>0.78700000000000003</v>
      </c>
      <c r="G59" s="54">
        <v>144.5061</v>
      </c>
    </row>
    <row r="60" spans="1:7" x14ac:dyDescent="0.4">
      <c r="A60" s="53">
        <v>45303</v>
      </c>
      <c r="B60" s="54">
        <v>9.4125999999999994</v>
      </c>
      <c r="C60" s="54">
        <v>106.2167</v>
      </c>
      <c r="D60" s="54">
        <v>5.7511000000000001</v>
      </c>
      <c r="E60" s="54">
        <v>0.61870000000000003</v>
      </c>
      <c r="F60" s="54">
        <v>1.3605</v>
      </c>
      <c r="G60" s="54">
        <v>123.3596</v>
      </c>
    </row>
    <row r="61" spans="1:7" x14ac:dyDescent="0.4">
      <c r="A61" s="53">
        <v>45310</v>
      </c>
      <c r="B61" s="54">
        <v>7.3596000000000004</v>
      </c>
      <c r="C61" s="54">
        <v>107.295</v>
      </c>
      <c r="D61" s="54">
        <v>6.8555000000000001</v>
      </c>
      <c r="E61" s="54">
        <v>0.61870000000000003</v>
      </c>
      <c r="F61" s="54">
        <v>0.66159999999999997</v>
      </c>
      <c r="G61" s="54">
        <v>122.79040000000001</v>
      </c>
    </row>
    <row r="62" spans="1:7" x14ac:dyDescent="0.4">
      <c r="A62" s="53">
        <v>45317</v>
      </c>
      <c r="B62" s="54">
        <v>5.4584999999999999</v>
      </c>
      <c r="C62" s="54">
        <v>95.974999999999994</v>
      </c>
      <c r="D62" s="54">
        <v>5.6203000000000003</v>
      </c>
      <c r="E62" s="54">
        <v>0.54879999999999995</v>
      </c>
      <c r="F62" s="54">
        <v>0.65259999999999996</v>
      </c>
      <c r="G62" s="54">
        <v>108.2552</v>
      </c>
    </row>
    <row r="63" spans="1:7" x14ac:dyDescent="0.4">
      <c r="A63" s="53">
        <v>45324</v>
      </c>
      <c r="B63" s="54">
        <v>9.7843999999999998</v>
      </c>
      <c r="C63" s="54">
        <v>79.9255</v>
      </c>
      <c r="D63" s="54">
        <v>3.9199000000000002</v>
      </c>
      <c r="E63" s="54">
        <v>0.50609999999999999</v>
      </c>
      <c r="F63" s="54">
        <v>1.5228999999999999</v>
      </c>
      <c r="G63" s="54">
        <v>95.658799999999999</v>
      </c>
    </row>
    <row r="64" spans="1:7" x14ac:dyDescent="0.4">
      <c r="A64" s="53">
        <v>45330</v>
      </c>
      <c r="B64" s="54">
        <v>15.549899999999999</v>
      </c>
      <c r="C64" s="54">
        <v>73.142899999999997</v>
      </c>
      <c r="D64" s="54">
        <v>7.4733999999999998</v>
      </c>
      <c r="E64" s="54">
        <v>0.50609999999999999</v>
      </c>
      <c r="F64" s="54">
        <v>1.2292000000000001</v>
      </c>
      <c r="G64" s="54">
        <v>97.901499999999999</v>
      </c>
    </row>
    <row r="65" spans="1:7" x14ac:dyDescent="0.4">
      <c r="A65" s="53">
        <v>45340</v>
      </c>
      <c r="B65" s="54">
        <v>24.081700000000001</v>
      </c>
      <c r="C65" s="54">
        <v>69.102599999999995</v>
      </c>
      <c r="D65" s="54">
        <v>9.8764000000000003</v>
      </c>
      <c r="E65" s="54">
        <v>0.50609999999999999</v>
      </c>
      <c r="F65" s="54">
        <v>1.6887000000000001</v>
      </c>
      <c r="G65" s="54">
        <v>105.2555</v>
      </c>
    </row>
    <row r="66" spans="1:7" x14ac:dyDescent="0.4">
      <c r="A66" s="53">
        <v>45345</v>
      </c>
      <c r="B66" s="54">
        <v>21.575900000000001</v>
      </c>
      <c r="C66" s="54">
        <v>58.7864</v>
      </c>
      <c r="D66" s="54">
        <v>9.0609000000000002</v>
      </c>
      <c r="E66" s="54">
        <v>0.50609999999999999</v>
      </c>
      <c r="F66" s="54">
        <v>1.4017999999999999</v>
      </c>
      <c r="G66" s="54">
        <v>91.331100000000006</v>
      </c>
    </row>
    <row r="67" spans="1:7" x14ac:dyDescent="0.4">
      <c r="A67" s="53">
        <v>45352</v>
      </c>
      <c r="B67" s="54">
        <v>14.625</v>
      </c>
      <c r="C67" s="54">
        <v>46.923999999999999</v>
      </c>
      <c r="D67" s="54">
        <v>8.1458999999999993</v>
      </c>
      <c r="E67" s="54">
        <v>0.50609999999999999</v>
      </c>
      <c r="F67" s="54">
        <v>1.0444</v>
      </c>
      <c r="G67" s="54">
        <v>71.245400000000004</v>
      </c>
    </row>
    <row r="68" spans="1:7" x14ac:dyDescent="0.4">
      <c r="A68" s="53">
        <v>45359</v>
      </c>
      <c r="B68" s="54">
        <v>15.1159</v>
      </c>
      <c r="C68" s="54">
        <v>53.782200000000003</v>
      </c>
      <c r="D68" s="54">
        <v>5.5038</v>
      </c>
      <c r="E68" s="54">
        <v>0.50609999999999999</v>
      </c>
      <c r="F68" s="54">
        <v>1.7186999999999999</v>
      </c>
      <c r="G68" s="54">
        <v>76.6267</v>
      </c>
    </row>
    <row r="69" spans="1:7" x14ac:dyDescent="0.4">
      <c r="A69" s="53">
        <v>45366</v>
      </c>
      <c r="B69" s="54">
        <v>10.914</v>
      </c>
      <c r="C69" s="54">
        <v>52.254800000000003</v>
      </c>
      <c r="D69" s="54">
        <v>2.9514999999999998</v>
      </c>
      <c r="E69" s="54">
        <v>0.50609999999999999</v>
      </c>
      <c r="F69" s="54">
        <v>1.5112000000000001</v>
      </c>
      <c r="G69" s="54">
        <v>68.137600000000006</v>
      </c>
    </row>
    <row r="70" spans="1:7" x14ac:dyDescent="0.4">
      <c r="A70" s="53">
        <v>45373</v>
      </c>
      <c r="B70" s="54">
        <v>12.382899999999999</v>
      </c>
      <c r="C70" s="54">
        <v>50.418799999999997</v>
      </c>
      <c r="D70" s="54">
        <v>3.5655000000000001</v>
      </c>
      <c r="E70" s="54">
        <v>0.50609999999999999</v>
      </c>
      <c r="F70" s="54">
        <v>1.2170000000000001</v>
      </c>
      <c r="G70" s="54">
        <v>68.090299999999999</v>
      </c>
    </row>
    <row r="71" spans="1:7" x14ac:dyDescent="0.4">
      <c r="A71" s="53">
        <v>45380</v>
      </c>
      <c r="B71" s="54">
        <v>17.959099999999999</v>
      </c>
      <c r="C71" s="54">
        <v>50.642200000000003</v>
      </c>
      <c r="D71" s="54">
        <v>7.9957000000000003</v>
      </c>
      <c r="E71" s="54">
        <v>0.50609999999999999</v>
      </c>
      <c r="F71" s="54">
        <v>0.78990000000000005</v>
      </c>
      <c r="G71" s="55">
        <f t="shared" ref="G71:G81" si="0">SUM(B71:F71)</f>
        <v>77.893000000000001</v>
      </c>
    </row>
    <row r="72" spans="1:7" x14ac:dyDescent="0.4">
      <c r="A72" s="53">
        <v>45387</v>
      </c>
      <c r="B72" s="54">
        <v>25.857600000000001</v>
      </c>
      <c r="C72" s="54">
        <v>46.479599999999998</v>
      </c>
      <c r="D72" s="54">
        <v>7.1494999999999997</v>
      </c>
      <c r="E72" s="54">
        <v>0.50609999999999999</v>
      </c>
      <c r="F72" s="54">
        <v>0.46329999999999999</v>
      </c>
      <c r="G72" s="55">
        <f t="shared" si="0"/>
        <v>80.456100000000006</v>
      </c>
    </row>
    <row r="73" spans="1:7" x14ac:dyDescent="0.4">
      <c r="A73" s="53">
        <v>45394</v>
      </c>
      <c r="B73" s="54">
        <v>22.849799999999998</v>
      </c>
      <c r="C73" s="54">
        <v>43.025399999999998</v>
      </c>
      <c r="D73" s="54">
        <v>6.7313999999999998</v>
      </c>
      <c r="E73" s="54">
        <v>0.50609999999999999</v>
      </c>
      <c r="F73" s="54">
        <v>0.16289999999999999</v>
      </c>
      <c r="G73" s="55">
        <f t="shared" si="0"/>
        <v>73.275599999999997</v>
      </c>
    </row>
    <row r="74" spans="1:7" x14ac:dyDescent="0.4">
      <c r="A74" s="53">
        <v>45401</v>
      </c>
      <c r="B74" s="54">
        <v>21.618099999999998</v>
      </c>
      <c r="C74" s="54">
        <v>40.069600000000001</v>
      </c>
      <c r="D74" s="54">
        <v>4.4381000000000004</v>
      </c>
      <c r="E74" s="54">
        <v>0.43890000000000001</v>
      </c>
      <c r="F74" s="54">
        <v>0</v>
      </c>
      <c r="G74" s="55">
        <f t="shared" si="0"/>
        <v>66.564700000000002</v>
      </c>
    </row>
    <row r="75" spans="1:7" x14ac:dyDescent="0.4">
      <c r="A75" s="53">
        <v>45407</v>
      </c>
      <c r="B75" s="54">
        <v>20.5108</v>
      </c>
      <c r="C75" s="54">
        <v>44.354599999999998</v>
      </c>
      <c r="D75" s="54">
        <v>8.3362999999999996</v>
      </c>
      <c r="E75" s="54">
        <v>0.35610000000000003</v>
      </c>
      <c r="F75" s="54">
        <v>0</v>
      </c>
      <c r="G75" s="55">
        <f t="shared" si="0"/>
        <v>73.5578</v>
      </c>
    </row>
    <row r="76" spans="1:7" x14ac:dyDescent="0.4">
      <c r="A76" s="53">
        <v>45412</v>
      </c>
      <c r="B76" s="54">
        <v>26.745200000000001</v>
      </c>
      <c r="C76" s="54">
        <v>42.4604</v>
      </c>
      <c r="D76" s="54">
        <v>7.7906000000000004</v>
      </c>
      <c r="E76" s="54">
        <v>0.35610000000000003</v>
      </c>
      <c r="F76" s="54">
        <v>0</v>
      </c>
      <c r="G76" s="55">
        <f t="shared" si="0"/>
        <v>77.3523</v>
      </c>
    </row>
    <row r="77" spans="1:7" x14ac:dyDescent="0.4">
      <c r="A77" s="53">
        <v>45415</v>
      </c>
      <c r="B77" s="54">
        <v>23.88</v>
      </c>
      <c r="C77" s="54">
        <v>40.79</v>
      </c>
      <c r="D77" s="54">
        <v>7.28</v>
      </c>
      <c r="E77" s="54">
        <v>0.35599999999999998</v>
      </c>
      <c r="F77" s="54">
        <v>0</v>
      </c>
      <c r="G77" s="55">
        <f t="shared" si="0"/>
        <v>72.305999999999997</v>
      </c>
    </row>
    <row r="78" spans="1:7" x14ac:dyDescent="0.4">
      <c r="A78" s="53">
        <v>45422</v>
      </c>
      <c r="B78" s="54">
        <v>28.994299999999999</v>
      </c>
      <c r="C78" s="54">
        <v>39.754100000000001</v>
      </c>
      <c r="D78" s="54">
        <v>6.7427000000000001</v>
      </c>
      <c r="E78" s="54">
        <v>0.35610000000000003</v>
      </c>
      <c r="F78" s="54">
        <v>0.1082</v>
      </c>
      <c r="G78" s="55">
        <f t="shared" si="0"/>
        <v>75.955399999999997</v>
      </c>
    </row>
    <row r="79" spans="1:7" x14ac:dyDescent="0.4">
      <c r="A79" s="53">
        <v>45429</v>
      </c>
      <c r="B79" s="54">
        <v>35.69</v>
      </c>
      <c r="C79" s="54">
        <v>33.270000000000003</v>
      </c>
      <c r="D79" s="54">
        <v>8.27</v>
      </c>
      <c r="E79" s="54">
        <v>0.18</v>
      </c>
      <c r="F79" s="54">
        <v>0</v>
      </c>
      <c r="G79" s="55">
        <f t="shared" si="0"/>
        <v>77.41</v>
      </c>
    </row>
    <row r="80" spans="1:7" x14ac:dyDescent="0.4">
      <c r="A80" s="53">
        <v>45435</v>
      </c>
      <c r="B80" s="54">
        <v>34.700000000000003</v>
      </c>
      <c r="C80" s="54">
        <v>41.5</v>
      </c>
      <c r="D80" s="54">
        <v>7.2</v>
      </c>
      <c r="E80" s="54">
        <v>0.11</v>
      </c>
      <c r="F80" s="54">
        <v>0</v>
      </c>
      <c r="G80" s="55">
        <f t="shared" si="0"/>
        <v>83.51</v>
      </c>
    </row>
    <row r="81" spans="1:7" x14ac:dyDescent="0.4">
      <c r="A81" s="53">
        <v>45442</v>
      </c>
      <c r="B81" s="54">
        <v>29.872499999999999</v>
      </c>
      <c r="C81" s="54">
        <v>36.942799999999998</v>
      </c>
      <c r="D81" s="54">
        <v>4.3072999999999997</v>
      </c>
      <c r="E81" s="54">
        <v>7.1300000000000002E-2</v>
      </c>
      <c r="F81" s="54">
        <v>0</v>
      </c>
      <c r="G81" s="55">
        <f t="shared" si="0"/>
        <v>71.193899999999999</v>
      </c>
    </row>
    <row r="82" spans="1:7" x14ac:dyDescent="0.4">
      <c r="A82" s="53">
        <v>45450</v>
      </c>
      <c r="B82" s="54">
        <v>35.637099999999997</v>
      </c>
      <c r="C82" s="54">
        <v>33.078200000000002</v>
      </c>
      <c r="D82" s="54">
        <v>3.4388999999999998</v>
      </c>
      <c r="E82" s="54">
        <v>7.1300000000000002E-2</v>
      </c>
      <c r="F82" s="54">
        <v>0</v>
      </c>
      <c r="G82" s="55">
        <f t="shared" ref="G82:G97" si="1">SUM(B82:F82)</f>
        <v>72.225499999999997</v>
      </c>
    </row>
    <row r="83" spans="1:7" x14ac:dyDescent="0.4">
      <c r="A83" s="53">
        <v>45457</v>
      </c>
      <c r="B83" s="54">
        <v>43.685200000000002</v>
      </c>
      <c r="C83" s="54">
        <v>27.885899999999999</v>
      </c>
      <c r="D83" s="54">
        <v>2.7833999999999999</v>
      </c>
      <c r="E83" s="54">
        <v>5.3055000000000003</v>
      </c>
      <c r="F83" s="54">
        <v>0</v>
      </c>
      <c r="G83" s="55">
        <f t="shared" si="1"/>
        <v>79.66</v>
      </c>
    </row>
    <row r="84" spans="1:7" x14ac:dyDescent="0.4">
      <c r="A84" s="50">
        <v>45464</v>
      </c>
      <c r="B84" s="54">
        <v>43.611800000000002</v>
      </c>
      <c r="C84" s="54">
        <v>21.717099999999999</v>
      </c>
      <c r="D84" s="54">
        <v>4.4189999999999996</v>
      </c>
      <c r="E84" s="54">
        <v>5.2342000000000004</v>
      </c>
      <c r="F84" s="54">
        <v>0</v>
      </c>
      <c r="G84" s="55">
        <f t="shared" si="1"/>
        <v>74.982100000000003</v>
      </c>
    </row>
    <row r="85" spans="1:7" x14ac:dyDescent="0.4">
      <c r="A85" s="53">
        <v>45471</v>
      </c>
      <c r="B85" s="54">
        <v>46.328400000000002</v>
      </c>
      <c r="C85" s="54">
        <v>27.610900000000001</v>
      </c>
      <c r="D85" s="54">
        <v>3.5318000000000001</v>
      </c>
      <c r="E85" s="54">
        <v>12.3842</v>
      </c>
      <c r="F85" s="54">
        <v>0</v>
      </c>
      <c r="G85" s="55">
        <f t="shared" si="1"/>
        <v>89.8553</v>
      </c>
    </row>
    <row r="86" spans="1:7" x14ac:dyDescent="0.4">
      <c r="A86" s="53">
        <v>45478</v>
      </c>
      <c r="B86" s="54">
        <v>47.032600000000002</v>
      </c>
      <c r="C86" s="54">
        <v>25.0562</v>
      </c>
      <c r="D86" s="54">
        <v>3.0152999999999999</v>
      </c>
      <c r="E86" s="54">
        <v>12.3752</v>
      </c>
      <c r="F86" s="54">
        <v>0</v>
      </c>
      <c r="G86" s="55">
        <f t="shared" si="1"/>
        <v>87.479299999999995</v>
      </c>
    </row>
    <row r="87" spans="1:7" x14ac:dyDescent="0.4">
      <c r="A87" s="53">
        <v>45485</v>
      </c>
      <c r="B87" s="54">
        <v>45.496299999999998</v>
      </c>
      <c r="C87" s="54">
        <v>20.085599999999999</v>
      </c>
      <c r="D87" s="54">
        <v>2.0537999999999998</v>
      </c>
      <c r="E87" s="54">
        <v>15.2768</v>
      </c>
      <c r="F87" s="54">
        <v>0</v>
      </c>
      <c r="G87" s="55">
        <f t="shared" si="1"/>
        <v>82.912499999999994</v>
      </c>
    </row>
    <row r="88" spans="1:7" x14ac:dyDescent="0.4">
      <c r="A88" s="53">
        <v>45492</v>
      </c>
      <c r="B88" s="54">
        <v>50.5</v>
      </c>
      <c r="C88" s="54">
        <v>15.6</v>
      </c>
      <c r="D88" s="54">
        <v>8.8000000000000007</v>
      </c>
      <c r="E88" s="54">
        <v>18</v>
      </c>
      <c r="F88" s="54">
        <v>0</v>
      </c>
      <c r="G88" s="55">
        <f t="shared" si="1"/>
        <v>92.9</v>
      </c>
    </row>
    <row r="89" spans="1:7" x14ac:dyDescent="0.4">
      <c r="A89" s="53">
        <v>45499</v>
      </c>
      <c r="B89" s="54">
        <v>50</v>
      </c>
      <c r="C89" s="54">
        <v>12</v>
      </c>
      <c r="D89" s="54">
        <v>13.3</v>
      </c>
      <c r="E89" s="54">
        <v>19.3</v>
      </c>
      <c r="F89" s="54">
        <v>0</v>
      </c>
      <c r="G89" s="55">
        <f t="shared" si="1"/>
        <v>94.6</v>
      </c>
    </row>
    <row r="90" spans="1:7" x14ac:dyDescent="0.4">
      <c r="A90" s="53">
        <v>45506</v>
      </c>
      <c r="B90" s="54">
        <v>46</v>
      </c>
      <c r="C90" s="54">
        <v>13.9</v>
      </c>
      <c r="D90" s="54">
        <v>12.6</v>
      </c>
      <c r="E90" s="54">
        <v>17.2</v>
      </c>
      <c r="F90" s="54">
        <v>0</v>
      </c>
      <c r="G90" s="55">
        <f t="shared" si="1"/>
        <v>89.7</v>
      </c>
    </row>
    <row r="91" spans="1:7" x14ac:dyDescent="0.4">
      <c r="A91" s="53">
        <v>45513</v>
      </c>
      <c r="B91" s="54">
        <v>39.880000000000003</v>
      </c>
      <c r="C91" s="54">
        <v>10.08</v>
      </c>
      <c r="D91" s="54">
        <v>10.9</v>
      </c>
      <c r="E91" s="54">
        <v>13.33</v>
      </c>
      <c r="F91" s="54">
        <v>0</v>
      </c>
      <c r="G91" s="55">
        <f t="shared" si="1"/>
        <v>74.19</v>
      </c>
    </row>
    <row r="92" spans="1:7" s="49" customFormat="1" x14ac:dyDescent="0.4">
      <c r="A92" s="56">
        <v>45520</v>
      </c>
      <c r="B92" s="57">
        <v>35.200899999999997</v>
      </c>
      <c r="C92" s="57">
        <v>7.4215</v>
      </c>
      <c r="D92" s="57">
        <v>7.5830000000000002</v>
      </c>
      <c r="E92" s="57">
        <v>9.9854000000000003</v>
      </c>
      <c r="F92" s="57">
        <v>0</v>
      </c>
      <c r="G92" s="58">
        <f t="shared" si="1"/>
        <v>60.190800000000003</v>
      </c>
    </row>
    <row r="93" spans="1:7" s="49" customFormat="1" x14ac:dyDescent="0.4">
      <c r="A93" s="56">
        <v>45527</v>
      </c>
      <c r="B93" s="57">
        <v>30.3643</v>
      </c>
      <c r="C93" s="57">
        <v>5.2226999999999997</v>
      </c>
      <c r="D93" s="57">
        <v>8.2836999999999996</v>
      </c>
      <c r="E93" s="57">
        <v>7.0137999999999998</v>
      </c>
      <c r="F93" s="59">
        <v>0</v>
      </c>
      <c r="G93" s="58">
        <f t="shared" si="1"/>
        <v>50.884500000000003</v>
      </c>
    </row>
    <row r="94" spans="1:7" s="49" customFormat="1" x14ac:dyDescent="0.4">
      <c r="A94" s="56">
        <v>45534</v>
      </c>
      <c r="B94" s="57">
        <v>22.355899999999998</v>
      </c>
      <c r="C94" s="57">
        <v>3.3731</v>
      </c>
      <c r="D94" s="57">
        <v>6.3578999999999999</v>
      </c>
      <c r="E94" s="57">
        <v>4.2050999999999998</v>
      </c>
      <c r="F94" s="57">
        <v>0</v>
      </c>
      <c r="G94" s="58">
        <f t="shared" si="1"/>
        <v>36.292000000000002</v>
      </c>
    </row>
    <row r="95" spans="1:7" x14ac:dyDescent="0.4">
      <c r="A95" s="53">
        <v>45541</v>
      </c>
      <c r="B95" s="54">
        <v>18.600000000000001</v>
      </c>
      <c r="C95" s="54">
        <v>3.5</v>
      </c>
      <c r="D95" s="54">
        <v>5.3</v>
      </c>
      <c r="E95" s="54">
        <v>5.6</v>
      </c>
      <c r="F95" s="54">
        <v>0</v>
      </c>
      <c r="G95" s="55">
        <f t="shared" si="1"/>
        <v>33</v>
      </c>
    </row>
    <row r="96" spans="1:7" s="49" customFormat="1" x14ac:dyDescent="0.4">
      <c r="A96" s="56">
        <v>45549</v>
      </c>
      <c r="B96" s="57">
        <v>12.6844</v>
      </c>
      <c r="C96" s="57">
        <v>3.7991000000000001</v>
      </c>
      <c r="D96" s="57">
        <v>4.5453000000000001</v>
      </c>
      <c r="E96" s="57">
        <v>4.2999000000000001</v>
      </c>
      <c r="F96" s="57">
        <v>0</v>
      </c>
      <c r="G96" s="58">
        <f t="shared" si="1"/>
        <v>25.328700000000001</v>
      </c>
    </row>
    <row r="97" spans="1:7" x14ac:dyDescent="0.4">
      <c r="A97" s="56">
        <v>45555</v>
      </c>
      <c r="B97" s="54">
        <v>8.5945</v>
      </c>
      <c r="C97" s="54">
        <v>3.2631000000000001</v>
      </c>
      <c r="D97" s="54">
        <v>6.2972999999999999</v>
      </c>
      <c r="E97" s="54">
        <v>2.8776999999999999</v>
      </c>
      <c r="F97" s="54">
        <v>0</v>
      </c>
      <c r="G97" s="55">
        <f t="shared" si="1"/>
        <v>21.032599999999999</v>
      </c>
    </row>
    <row r="98" spans="1:7" x14ac:dyDescent="0.4">
      <c r="A98" s="56">
        <v>45562</v>
      </c>
      <c r="B98" s="54">
        <v>11.2173</v>
      </c>
      <c r="C98" s="54">
        <v>3.3980999999999999</v>
      </c>
      <c r="D98" s="54">
        <v>12.033099999999999</v>
      </c>
      <c r="E98" s="54">
        <v>2.3586</v>
      </c>
      <c r="F98" s="54">
        <v>0</v>
      </c>
      <c r="G98" s="55">
        <f t="shared" ref="G98:G106" si="2">SUM(B98:F98)</f>
        <v>29.007100000000001</v>
      </c>
    </row>
    <row r="99" spans="1:7" x14ac:dyDescent="0.4">
      <c r="A99" s="56">
        <v>45576</v>
      </c>
      <c r="B99" s="54">
        <v>7.1976000000000004</v>
      </c>
      <c r="C99" s="54">
        <v>1.1329</v>
      </c>
      <c r="D99" s="54">
        <v>9.6880000000000006</v>
      </c>
      <c r="E99" s="54">
        <v>0.70379999999999998</v>
      </c>
      <c r="F99" s="54">
        <v>0</v>
      </c>
      <c r="G99" s="55">
        <f t="shared" si="2"/>
        <v>18.722300000000001</v>
      </c>
    </row>
    <row r="100" spans="1:7" s="49" customFormat="1" x14ac:dyDescent="0.4">
      <c r="A100" s="56">
        <v>45583</v>
      </c>
      <c r="B100" s="57">
        <v>4.3544</v>
      </c>
      <c r="C100" s="57">
        <v>1.6052</v>
      </c>
      <c r="D100" s="57">
        <v>9.5907</v>
      </c>
      <c r="E100" s="57">
        <v>0.53879999999999995</v>
      </c>
      <c r="F100" s="57">
        <v>0</v>
      </c>
      <c r="G100" s="58">
        <f t="shared" si="2"/>
        <v>16.089099999999998</v>
      </c>
    </row>
    <row r="101" spans="1:7" x14ac:dyDescent="0.4">
      <c r="A101" s="56">
        <v>45590</v>
      </c>
      <c r="B101" s="54">
        <v>4.2224000000000004</v>
      </c>
      <c r="C101" s="54">
        <v>0.67290000000000005</v>
      </c>
      <c r="D101" s="54">
        <v>6.3822000000000001</v>
      </c>
      <c r="E101" s="54">
        <v>0.50439999999999996</v>
      </c>
      <c r="F101" s="54">
        <v>0</v>
      </c>
      <c r="G101" s="55">
        <f t="shared" si="2"/>
        <v>11.7819</v>
      </c>
    </row>
    <row r="102" spans="1:7" x14ac:dyDescent="0.4">
      <c r="A102" s="56">
        <v>45597</v>
      </c>
      <c r="B102" s="54">
        <v>3.0908000000000002</v>
      </c>
      <c r="C102" s="54">
        <v>0.2344</v>
      </c>
      <c r="D102" s="54">
        <v>10.708299999999999</v>
      </c>
      <c r="E102" s="54">
        <v>0.4758</v>
      </c>
      <c r="F102" s="54">
        <v>0</v>
      </c>
      <c r="G102" s="55">
        <f t="shared" si="2"/>
        <v>14.5093</v>
      </c>
    </row>
    <row r="103" spans="1:7" x14ac:dyDescent="0.4">
      <c r="A103" s="56">
        <v>45604</v>
      </c>
      <c r="B103" s="54">
        <v>7.5136000000000003</v>
      </c>
      <c r="C103" s="54">
        <v>1.24E-2</v>
      </c>
      <c r="D103" s="54">
        <v>10.685700000000001</v>
      </c>
      <c r="E103" s="54">
        <v>6.3113000000000001</v>
      </c>
      <c r="F103" s="54">
        <v>0</v>
      </c>
      <c r="G103" s="55">
        <f t="shared" si="2"/>
        <v>24.523</v>
      </c>
    </row>
    <row r="104" spans="1:7" x14ac:dyDescent="0.4">
      <c r="A104" s="56">
        <v>45611</v>
      </c>
      <c r="B104" s="54">
        <v>13.964499999999999</v>
      </c>
      <c r="C104" s="54">
        <v>0</v>
      </c>
      <c r="D104" s="54">
        <v>21.090599999999998</v>
      </c>
      <c r="E104" s="54">
        <v>6.1947999999999999</v>
      </c>
      <c r="F104" s="54">
        <v>0</v>
      </c>
      <c r="G104" s="55">
        <f t="shared" si="2"/>
        <v>41.249899999999997</v>
      </c>
    </row>
    <row r="105" spans="1:7" x14ac:dyDescent="0.4">
      <c r="A105" s="56">
        <v>45618</v>
      </c>
      <c r="B105" s="54">
        <v>9.0578000000000003</v>
      </c>
      <c r="C105" s="54">
        <v>0</v>
      </c>
      <c r="D105" s="54">
        <v>20.462900000000001</v>
      </c>
      <c r="E105" s="54">
        <v>6.0526</v>
      </c>
      <c r="F105" s="54">
        <v>0</v>
      </c>
      <c r="G105" s="55">
        <f t="shared" si="2"/>
        <v>35.573300000000003</v>
      </c>
    </row>
    <row r="106" spans="1:7" x14ac:dyDescent="0.4">
      <c r="A106" s="56">
        <v>45625</v>
      </c>
      <c r="B106" s="54">
        <v>16.865500000000001</v>
      </c>
      <c r="C106" s="54">
        <v>0</v>
      </c>
      <c r="D106" s="54">
        <v>18.606000000000002</v>
      </c>
      <c r="E106" s="54">
        <v>5.431</v>
      </c>
      <c r="F106" s="54">
        <v>0</v>
      </c>
      <c r="G106" s="55">
        <f t="shared" si="2"/>
        <v>40.902500000000003</v>
      </c>
    </row>
    <row r="107" spans="1:7" x14ac:dyDescent="0.4">
      <c r="A107" s="56">
        <v>45632</v>
      </c>
      <c r="B107" s="54">
        <v>26.06</v>
      </c>
      <c r="C107" s="54">
        <v>0</v>
      </c>
      <c r="D107" s="54">
        <v>13.9526</v>
      </c>
      <c r="E107" s="54">
        <v>3.8288000000000002</v>
      </c>
      <c r="F107" s="54">
        <v>0</v>
      </c>
      <c r="G107" s="55">
        <f t="shared" ref="G107:G122" si="3">SUM(B107:F107)</f>
        <v>43.8414</v>
      </c>
    </row>
    <row r="108" spans="1:7" x14ac:dyDescent="0.4">
      <c r="A108" s="56">
        <v>45639</v>
      </c>
      <c r="B108" s="54">
        <v>33.7348</v>
      </c>
      <c r="C108" s="54">
        <v>0</v>
      </c>
      <c r="D108" s="54">
        <v>15.4343</v>
      </c>
      <c r="E108" s="54">
        <v>9.0561000000000007</v>
      </c>
      <c r="F108" s="54">
        <v>0</v>
      </c>
      <c r="G108" s="55">
        <f t="shared" si="3"/>
        <v>58.225200000000001</v>
      </c>
    </row>
    <row r="109" spans="1:7" x14ac:dyDescent="0.4">
      <c r="A109" s="56">
        <v>45646</v>
      </c>
      <c r="B109" s="54">
        <v>41.720700000000001</v>
      </c>
      <c r="C109" s="54">
        <v>0</v>
      </c>
      <c r="D109" s="54">
        <v>12.3149</v>
      </c>
      <c r="E109" s="54">
        <v>8.5044000000000004</v>
      </c>
      <c r="F109" s="54">
        <v>0</v>
      </c>
      <c r="G109" s="55">
        <f t="shared" si="3"/>
        <v>62.54</v>
      </c>
    </row>
    <row r="110" spans="1:7" x14ac:dyDescent="0.4">
      <c r="A110" s="60">
        <v>45653</v>
      </c>
      <c r="B110" s="54">
        <v>44.639499999999998</v>
      </c>
      <c r="C110" s="54">
        <v>0</v>
      </c>
      <c r="D110" s="54">
        <v>11.558400000000001</v>
      </c>
      <c r="E110" s="54">
        <v>7.7172999999999998</v>
      </c>
      <c r="F110" s="54">
        <v>0</v>
      </c>
      <c r="G110" s="55">
        <f t="shared" si="3"/>
        <v>63.915199999999999</v>
      </c>
    </row>
    <row r="111" spans="1:7" x14ac:dyDescent="0.4">
      <c r="A111" s="60">
        <v>45660</v>
      </c>
      <c r="B111" s="54">
        <v>35.506799999999998</v>
      </c>
      <c r="C111" s="54">
        <v>0</v>
      </c>
      <c r="D111" s="54">
        <v>10.217599999999999</v>
      </c>
      <c r="E111" s="54">
        <v>6.8215000000000003</v>
      </c>
      <c r="F111" s="54">
        <v>0.12429999999999999</v>
      </c>
      <c r="G111" s="55">
        <f t="shared" si="3"/>
        <v>52.670200000000001</v>
      </c>
    </row>
    <row r="112" spans="1:7" x14ac:dyDescent="0.4">
      <c r="A112" s="60">
        <v>45667</v>
      </c>
      <c r="B112" s="54">
        <v>34.666400000000003</v>
      </c>
      <c r="C112" s="54">
        <v>0</v>
      </c>
      <c r="D112" s="54">
        <v>9.4042999999999992</v>
      </c>
      <c r="E112" s="54">
        <v>4.3095999999999997</v>
      </c>
      <c r="F112" s="54">
        <v>0</v>
      </c>
      <c r="G112" s="55">
        <f t="shared" si="3"/>
        <v>48.380299999999998</v>
      </c>
    </row>
    <row r="113" spans="1:7" x14ac:dyDescent="0.4">
      <c r="A113" s="60">
        <v>45674</v>
      </c>
      <c r="B113" s="54">
        <v>47.953800000000001</v>
      </c>
      <c r="C113" s="54">
        <v>0</v>
      </c>
      <c r="D113" s="54">
        <v>8.1579999999999995</v>
      </c>
      <c r="E113" s="54">
        <v>2.3397999999999999</v>
      </c>
      <c r="F113" s="54">
        <v>0</v>
      </c>
      <c r="G113" s="55">
        <f t="shared" si="3"/>
        <v>58.451599999999999</v>
      </c>
    </row>
    <row r="114" spans="1:7" x14ac:dyDescent="0.4">
      <c r="A114" s="60">
        <v>45681</v>
      </c>
      <c r="B114" s="54">
        <v>42.364600000000003</v>
      </c>
      <c r="C114" s="54">
        <v>0</v>
      </c>
      <c r="D114" s="54">
        <v>4.8617999999999997</v>
      </c>
      <c r="E114" s="54">
        <v>1.4961</v>
      </c>
      <c r="F114" s="54">
        <v>0</v>
      </c>
      <c r="G114" s="55">
        <f t="shared" si="3"/>
        <v>48.722499999999997</v>
      </c>
    </row>
    <row r="115" spans="1:7" x14ac:dyDescent="0.4">
      <c r="A115" s="60">
        <v>45695</v>
      </c>
      <c r="B115" s="54">
        <v>43.199300000000001</v>
      </c>
      <c r="C115" s="54">
        <v>0</v>
      </c>
      <c r="D115" s="54">
        <v>9.2268000000000008</v>
      </c>
      <c r="E115" s="54">
        <v>1.1149</v>
      </c>
      <c r="F115" s="54">
        <v>0</v>
      </c>
      <c r="G115" s="55">
        <f t="shared" si="3"/>
        <v>53.540999999999997</v>
      </c>
    </row>
    <row r="116" spans="1:7" x14ac:dyDescent="0.4">
      <c r="A116" s="56"/>
      <c r="B116" s="54"/>
      <c r="C116" s="54"/>
      <c r="D116" s="54"/>
      <c r="E116" s="54"/>
      <c r="F116" s="54"/>
      <c r="G116" s="55">
        <f t="shared" si="3"/>
        <v>0</v>
      </c>
    </row>
    <row r="117" spans="1:7" x14ac:dyDescent="0.4">
      <c r="A117" s="56"/>
      <c r="B117" s="54"/>
      <c r="C117" s="54"/>
      <c r="D117" s="54"/>
      <c r="E117" s="54"/>
      <c r="F117" s="54"/>
      <c r="G117" s="55">
        <f t="shared" si="3"/>
        <v>0</v>
      </c>
    </row>
    <row r="118" spans="1:7" x14ac:dyDescent="0.4">
      <c r="A118" s="56"/>
      <c r="B118" s="54"/>
      <c r="C118" s="54"/>
      <c r="D118" s="54"/>
      <c r="E118" s="54"/>
      <c r="F118" s="54"/>
      <c r="G118" s="55">
        <f t="shared" si="3"/>
        <v>0</v>
      </c>
    </row>
    <row r="119" spans="1:7" x14ac:dyDescent="0.4">
      <c r="A119" s="56"/>
      <c r="B119" s="54"/>
      <c r="C119" s="54"/>
      <c r="D119" s="54"/>
      <c r="E119" s="54"/>
      <c r="F119" s="54"/>
      <c r="G119" s="55">
        <f t="shared" si="3"/>
        <v>0</v>
      </c>
    </row>
    <row r="120" spans="1:7" x14ac:dyDescent="0.4">
      <c r="A120" s="56"/>
      <c r="B120" s="54"/>
      <c r="C120" s="54"/>
      <c r="D120" s="54"/>
      <c r="E120" s="54"/>
      <c r="F120" s="54"/>
      <c r="G120" s="55">
        <f t="shared" si="3"/>
        <v>0</v>
      </c>
    </row>
    <row r="121" spans="1:7" x14ac:dyDescent="0.4">
      <c r="A121" s="56"/>
      <c r="B121" s="54"/>
      <c r="C121" s="54"/>
      <c r="D121" s="54"/>
      <c r="E121" s="54"/>
      <c r="F121" s="54"/>
      <c r="G121" s="55">
        <f t="shared" si="3"/>
        <v>0</v>
      </c>
    </row>
    <row r="122" spans="1:7" x14ac:dyDescent="0.4">
      <c r="A122" s="56"/>
      <c r="B122" s="54"/>
      <c r="C122" s="54"/>
      <c r="D122" s="54"/>
      <c r="E122" s="54"/>
      <c r="F122" s="54"/>
      <c r="G122" s="55">
        <f t="shared" si="3"/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L172"/>
  <sheetViews>
    <sheetView topLeftCell="A175" workbookViewId="0">
      <selection activeCell="W157" sqref="W157"/>
    </sheetView>
  </sheetViews>
  <sheetFormatPr defaultColWidth="9" defaultRowHeight="13.9" x14ac:dyDescent="0.4"/>
  <cols>
    <col min="1" max="1" width="23.59765625" customWidth="1"/>
    <col min="2" max="2" width="10.19921875" customWidth="1"/>
    <col min="3" max="3" width="10.73046875" customWidth="1"/>
    <col min="4" max="4" width="10.19921875" customWidth="1"/>
    <col min="5" max="5" width="6.3984375" customWidth="1"/>
    <col min="6" max="7" width="11.86328125" customWidth="1"/>
    <col min="8" max="9" width="7.46484375" customWidth="1"/>
    <col min="10" max="10" width="6.3984375" customWidth="1"/>
    <col min="11" max="12" width="7.46484375" customWidth="1"/>
    <col min="13" max="13" width="4.9296875" customWidth="1"/>
    <col min="18" max="20" width="9.06640625" style="46"/>
    <col min="21" max="21" width="9" style="47"/>
  </cols>
  <sheetData>
    <row r="3" spans="1:4" x14ac:dyDescent="0.4">
      <c r="A3" t="s">
        <v>16</v>
      </c>
      <c r="B3" t="s">
        <v>17</v>
      </c>
    </row>
    <row r="4" spans="1:4" x14ac:dyDescent="0.4">
      <c r="A4" t="s">
        <v>12</v>
      </c>
      <c r="B4" t="s">
        <v>17</v>
      </c>
    </row>
    <row r="6" spans="1:4" x14ac:dyDescent="0.4">
      <c r="A6" t="s">
        <v>18</v>
      </c>
      <c r="B6" t="s">
        <v>19</v>
      </c>
    </row>
    <row r="7" spans="1:4" x14ac:dyDescent="0.4">
      <c r="A7" t="s">
        <v>20</v>
      </c>
      <c r="B7" t="s">
        <v>21</v>
      </c>
      <c r="C7" t="s">
        <v>22</v>
      </c>
      <c r="D7" t="s">
        <v>23</v>
      </c>
    </row>
    <row r="8" spans="1:4" x14ac:dyDescent="0.4">
      <c r="A8" s="48" t="s">
        <v>24</v>
      </c>
      <c r="B8">
        <v>33.728499999999997</v>
      </c>
      <c r="C8">
        <v>44.9863</v>
      </c>
      <c r="D8">
        <v>78.714799999999997</v>
      </c>
    </row>
    <row r="9" spans="1:4" x14ac:dyDescent="0.4">
      <c r="A9" s="48" t="s">
        <v>25</v>
      </c>
      <c r="B9">
        <v>24.623999999999999</v>
      </c>
      <c r="C9">
        <v>39.053600000000003</v>
      </c>
      <c r="D9">
        <v>63.677599999999998</v>
      </c>
    </row>
    <row r="10" spans="1:4" x14ac:dyDescent="0.4">
      <c r="A10" s="48" t="s">
        <v>26</v>
      </c>
      <c r="B10">
        <v>43.332500000000003</v>
      </c>
      <c r="C10">
        <v>27.453399999999998</v>
      </c>
      <c r="D10">
        <v>70.785899999999998</v>
      </c>
    </row>
    <row r="11" spans="1:4" x14ac:dyDescent="0.4">
      <c r="A11" s="48" t="s">
        <v>27</v>
      </c>
      <c r="B11">
        <v>21.8767</v>
      </c>
      <c r="D11">
        <v>21.8767</v>
      </c>
    </row>
    <row r="12" spans="1:4" x14ac:dyDescent="0.4">
      <c r="A12" s="48" t="s">
        <v>28</v>
      </c>
      <c r="B12">
        <v>29.496658700000001</v>
      </c>
      <c r="D12">
        <v>29.496658700000001</v>
      </c>
    </row>
    <row r="13" spans="1:4" x14ac:dyDescent="0.4">
      <c r="A13" s="48" t="s">
        <v>29</v>
      </c>
      <c r="B13">
        <v>27.693037499999999</v>
      </c>
      <c r="D13">
        <v>27.693037499999999</v>
      </c>
    </row>
    <row r="14" spans="1:4" x14ac:dyDescent="0.4">
      <c r="A14" s="48" t="s">
        <v>30</v>
      </c>
      <c r="B14">
        <v>27.3325</v>
      </c>
      <c r="D14">
        <v>27.3325</v>
      </c>
    </row>
    <row r="15" spans="1:4" x14ac:dyDescent="0.4">
      <c r="A15" s="48" t="s">
        <v>31</v>
      </c>
      <c r="B15">
        <v>38.988900000000001</v>
      </c>
      <c r="D15">
        <v>38.988900000000001</v>
      </c>
    </row>
    <row r="16" spans="1:4" x14ac:dyDescent="0.4">
      <c r="A16" s="48" t="s">
        <v>32</v>
      </c>
      <c r="B16">
        <v>26.984400000000001</v>
      </c>
      <c r="D16">
        <v>26.984400000000001</v>
      </c>
    </row>
    <row r="17" spans="1:7" x14ac:dyDescent="0.4">
      <c r="A17" s="48" t="s">
        <v>33</v>
      </c>
      <c r="B17">
        <v>21.712399999999999</v>
      </c>
      <c r="D17">
        <v>21.712399999999999</v>
      </c>
    </row>
    <row r="18" spans="1:7" x14ac:dyDescent="0.4">
      <c r="A18" s="48" t="s">
        <v>34</v>
      </c>
      <c r="B18">
        <v>51.971299999999999</v>
      </c>
      <c r="D18">
        <v>51.971299999999999</v>
      </c>
    </row>
    <row r="19" spans="1:7" x14ac:dyDescent="0.4">
      <c r="A19" s="48" t="s">
        <v>35</v>
      </c>
      <c r="B19">
        <v>49.252699999999997</v>
      </c>
      <c r="D19">
        <v>49.252699999999997</v>
      </c>
    </row>
    <row r="20" spans="1:7" x14ac:dyDescent="0.4">
      <c r="A20" s="48" t="s">
        <v>23</v>
      </c>
      <c r="B20">
        <v>396.99359620000001</v>
      </c>
      <c r="C20">
        <v>111.4933</v>
      </c>
      <c r="D20">
        <v>508.48689619999999</v>
      </c>
    </row>
    <row r="22" spans="1:7" x14ac:dyDescent="0.4">
      <c r="C22">
        <f>51-37</f>
        <v>14</v>
      </c>
    </row>
    <row r="24" spans="1:7" x14ac:dyDescent="0.4">
      <c r="A24" t="s">
        <v>16</v>
      </c>
      <c r="B24" t="s">
        <v>17</v>
      </c>
    </row>
    <row r="25" spans="1:7" x14ac:dyDescent="0.4">
      <c r="A25" t="s">
        <v>12</v>
      </c>
      <c r="B25" t="s">
        <v>17</v>
      </c>
    </row>
    <row r="26" spans="1:7" x14ac:dyDescent="0.4">
      <c r="A26" t="s">
        <v>36</v>
      </c>
      <c r="B26" t="s">
        <v>37</v>
      </c>
    </row>
    <row r="28" spans="1:7" x14ac:dyDescent="0.4">
      <c r="A28" t="s">
        <v>20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18</v>
      </c>
    </row>
    <row r="29" spans="1:7" x14ac:dyDescent="0.4">
      <c r="A29" s="48" t="s">
        <v>24</v>
      </c>
      <c r="B29">
        <v>13.159800000000001</v>
      </c>
      <c r="C29">
        <v>11.157999999999999</v>
      </c>
      <c r="D29">
        <v>6.2708000000000004</v>
      </c>
      <c r="E29">
        <v>9.3642000000000003</v>
      </c>
      <c r="F29">
        <v>5.0335000000000001</v>
      </c>
      <c r="G29">
        <v>44.9863</v>
      </c>
    </row>
    <row r="30" spans="1:7" x14ac:dyDescent="0.4">
      <c r="A30" s="48" t="s">
        <v>25</v>
      </c>
      <c r="B30">
        <v>14.223100000000001</v>
      </c>
      <c r="C30">
        <v>8.6433</v>
      </c>
      <c r="D30">
        <v>2.9535</v>
      </c>
      <c r="E30">
        <v>5.6021999999999998</v>
      </c>
      <c r="F30">
        <v>7.6315</v>
      </c>
      <c r="G30">
        <v>39.053600000000003</v>
      </c>
    </row>
    <row r="31" spans="1:7" x14ac:dyDescent="0.4">
      <c r="A31" s="48" t="s">
        <v>23</v>
      </c>
      <c r="B31">
        <v>27.382899999999999</v>
      </c>
      <c r="C31">
        <v>19.801300000000001</v>
      </c>
      <c r="D31">
        <v>9.2242999999999995</v>
      </c>
      <c r="E31">
        <v>14.9664</v>
      </c>
      <c r="F31">
        <v>12.664999999999999</v>
      </c>
      <c r="G31">
        <v>84.039900000000003</v>
      </c>
    </row>
    <row r="39" spans="1:6" x14ac:dyDescent="0.4">
      <c r="A39" t="s">
        <v>43</v>
      </c>
    </row>
    <row r="46" spans="1:6" x14ac:dyDescent="0.4">
      <c r="A46" t="s">
        <v>44</v>
      </c>
      <c r="B46" t="s">
        <v>19</v>
      </c>
    </row>
    <row r="47" spans="1:6" x14ac:dyDescent="0.4">
      <c r="A47" t="s">
        <v>20</v>
      </c>
      <c r="B47" t="s">
        <v>13</v>
      </c>
      <c r="C47" t="s">
        <v>14</v>
      </c>
      <c r="D47" t="s">
        <v>15</v>
      </c>
      <c r="E47" t="s">
        <v>45</v>
      </c>
      <c r="F47" t="s">
        <v>23</v>
      </c>
    </row>
    <row r="48" spans="1:6" x14ac:dyDescent="0.4">
      <c r="A48" s="48">
        <v>1</v>
      </c>
      <c r="B48">
        <v>6</v>
      </c>
      <c r="C48">
        <v>24.52</v>
      </c>
      <c r="D48">
        <v>35.869999999999997</v>
      </c>
      <c r="F48">
        <v>66.39</v>
      </c>
    </row>
    <row r="49" spans="1:6" x14ac:dyDescent="0.4">
      <c r="A49" s="48">
        <v>2</v>
      </c>
      <c r="B49">
        <v>22.03</v>
      </c>
      <c r="C49">
        <v>24.42</v>
      </c>
      <c r="D49">
        <v>40</v>
      </c>
      <c r="F49">
        <v>86.45</v>
      </c>
    </row>
    <row r="50" spans="1:6" x14ac:dyDescent="0.4">
      <c r="A50" s="48">
        <v>3</v>
      </c>
      <c r="B50">
        <v>19.23</v>
      </c>
      <c r="C50">
        <v>27.95</v>
      </c>
      <c r="D50">
        <v>38.85</v>
      </c>
      <c r="F50">
        <v>86.03</v>
      </c>
    </row>
    <row r="51" spans="1:6" x14ac:dyDescent="0.4">
      <c r="A51" s="48">
        <v>4</v>
      </c>
      <c r="B51">
        <v>21.51</v>
      </c>
      <c r="C51">
        <v>27.93</v>
      </c>
      <c r="D51">
        <v>43.75</v>
      </c>
      <c r="F51">
        <v>93.19</v>
      </c>
    </row>
    <row r="52" spans="1:6" x14ac:dyDescent="0.4">
      <c r="A52" s="48">
        <v>5</v>
      </c>
      <c r="B52">
        <v>19.600000000000001</v>
      </c>
      <c r="C52">
        <v>25.47</v>
      </c>
      <c r="D52">
        <v>50.78</v>
      </c>
      <c r="F52">
        <v>95.85</v>
      </c>
    </row>
    <row r="53" spans="1:6" x14ac:dyDescent="0.4">
      <c r="A53" s="48">
        <v>6</v>
      </c>
      <c r="B53">
        <v>23.22</v>
      </c>
      <c r="C53">
        <v>25.72</v>
      </c>
      <c r="D53">
        <v>59.56</v>
      </c>
      <c r="F53">
        <v>108.5</v>
      </c>
    </row>
    <row r="54" spans="1:6" x14ac:dyDescent="0.4">
      <c r="A54" s="48">
        <v>7</v>
      </c>
      <c r="B54">
        <v>34.56</v>
      </c>
      <c r="C54">
        <v>30.17</v>
      </c>
      <c r="D54">
        <v>56.4</v>
      </c>
      <c r="F54">
        <v>121.13</v>
      </c>
    </row>
    <row r="55" spans="1:6" x14ac:dyDescent="0.4">
      <c r="A55" s="48">
        <v>8</v>
      </c>
      <c r="B55">
        <v>31.55</v>
      </c>
      <c r="C55">
        <v>29.43</v>
      </c>
      <c r="D55">
        <v>72</v>
      </c>
      <c r="F55">
        <v>132.97999999999999</v>
      </c>
    </row>
    <row r="56" spans="1:6" x14ac:dyDescent="0.4">
      <c r="A56" s="48">
        <v>9</v>
      </c>
      <c r="B56">
        <v>39.869999999999997</v>
      </c>
      <c r="C56">
        <v>27.25</v>
      </c>
      <c r="D56">
        <v>60.58</v>
      </c>
      <c r="F56">
        <v>127.7</v>
      </c>
    </row>
    <row r="57" spans="1:6" x14ac:dyDescent="0.4">
      <c r="A57" s="48">
        <v>10</v>
      </c>
      <c r="B57">
        <v>26.7</v>
      </c>
      <c r="C57">
        <v>24.43</v>
      </c>
      <c r="D57">
        <v>56.58</v>
      </c>
      <c r="F57">
        <v>107.71</v>
      </c>
    </row>
    <row r="58" spans="1:6" x14ac:dyDescent="0.4">
      <c r="A58" s="48">
        <v>11</v>
      </c>
      <c r="B58">
        <v>33.61</v>
      </c>
      <c r="C58">
        <v>25.59</v>
      </c>
      <c r="D58">
        <v>68.67</v>
      </c>
      <c r="F58">
        <v>127.87</v>
      </c>
    </row>
    <row r="59" spans="1:6" x14ac:dyDescent="0.4">
      <c r="A59" s="48">
        <v>12</v>
      </c>
      <c r="B59">
        <v>34.590000000000003</v>
      </c>
      <c r="C59">
        <v>24.59</v>
      </c>
      <c r="D59">
        <v>65.41</v>
      </c>
      <c r="F59">
        <v>124.59</v>
      </c>
    </row>
    <row r="60" spans="1:6" x14ac:dyDescent="0.4">
      <c r="A60" s="48">
        <v>13</v>
      </c>
      <c r="B60">
        <v>41.54</v>
      </c>
      <c r="C60">
        <v>3</v>
      </c>
      <c r="D60">
        <v>63.33</v>
      </c>
      <c r="F60">
        <v>107.87</v>
      </c>
    </row>
    <row r="61" spans="1:6" x14ac:dyDescent="0.4">
      <c r="A61" s="48">
        <v>14</v>
      </c>
      <c r="B61">
        <v>37.11</v>
      </c>
      <c r="C61">
        <v>30.958855218855199</v>
      </c>
      <c r="D61">
        <v>67.69</v>
      </c>
      <c r="F61">
        <v>135.75885521885499</v>
      </c>
    </row>
    <row r="62" spans="1:6" x14ac:dyDescent="0.4">
      <c r="A62" s="48">
        <v>15</v>
      </c>
      <c r="B62">
        <v>43.09</v>
      </c>
      <c r="C62">
        <v>32.425521885521903</v>
      </c>
      <c r="D62">
        <v>71.78</v>
      </c>
      <c r="F62">
        <v>147.29552188552199</v>
      </c>
    </row>
    <row r="63" spans="1:6" x14ac:dyDescent="0.4">
      <c r="A63" s="48">
        <v>16</v>
      </c>
      <c r="B63">
        <v>10</v>
      </c>
      <c r="C63">
        <v>32.142255892255903</v>
      </c>
      <c r="D63">
        <v>77.23</v>
      </c>
      <c r="F63">
        <v>119.37225589225601</v>
      </c>
    </row>
    <row r="64" spans="1:6" x14ac:dyDescent="0.4">
      <c r="A64" s="48">
        <v>17</v>
      </c>
      <c r="B64">
        <v>55</v>
      </c>
      <c r="C64">
        <v>29.583367003367002</v>
      </c>
      <c r="D64">
        <v>35.6</v>
      </c>
      <c r="F64">
        <v>120.183367003367</v>
      </c>
    </row>
    <row r="65" spans="1:6" x14ac:dyDescent="0.4">
      <c r="A65" s="48">
        <v>18</v>
      </c>
      <c r="B65">
        <v>31.23</v>
      </c>
      <c r="C65">
        <v>32.379207048458198</v>
      </c>
      <c r="D65">
        <v>48.13</v>
      </c>
      <c r="F65">
        <v>111.739207048458</v>
      </c>
    </row>
    <row r="66" spans="1:6" x14ac:dyDescent="0.4">
      <c r="A66" s="48">
        <v>19</v>
      </c>
      <c r="B66">
        <v>30.12</v>
      </c>
      <c r="C66">
        <v>32.379207048458198</v>
      </c>
      <c r="D66">
        <v>61.62</v>
      </c>
      <c r="F66">
        <v>124.11920704845799</v>
      </c>
    </row>
    <row r="67" spans="1:6" x14ac:dyDescent="0.4">
      <c r="A67" s="48">
        <v>20</v>
      </c>
      <c r="B67">
        <v>27.43</v>
      </c>
      <c r="C67">
        <v>4</v>
      </c>
      <c r="D67">
        <v>66.900000000000006</v>
      </c>
      <c r="F67">
        <v>98.33</v>
      </c>
    </row>
    <row r="68" spans="1:6" x14ac:dyDescent="0.4">
      <c r="A68" s="48">
        <v>21</v>
      </c>
      <c r="B68">
        <v>28.06</v>
      </c>
      <c r="C68">
        <v>28.161585903083701</v>
      </c>
      <c r="D68">
        <v>57.62</v>
      </c>
      <c r="F68">
        <v>113.841585903084</v>
      </c>
    </row>
    <row r="69" spans="1:6" x14ac:dyDescent="0.4">
      <c r="A69" s="48">
        <v>22</v>
      </c>
      <c r="B69">
        <v>24.58</v>
      </c>
      <c r="C69">
        <v>25.169725343320899</v>
      </c>
      <c r="D69">
        <v>59.06</v>
      </c>
      <c r="F69">
        <v>108.80972534332101</v>
      </c>
    </row>
    <row r="70" spans="1:6" x14ac:dyDescent="0.4">
      <c r="A70" s="48">
        <v>23</v>
      </c>
      <c r="B70">
        <v>8</v>
      </c>
      <c r="C70">
        <v>31.524419475655399</v>
      </c>
      <c r="D70">
        <v>66.209999999999994</v>
      </c>
      <c r="F70">
        <v>105.734419475655</v>
      </c>
    </row>
    <row r="71" spans="1:6" x14ac:dyDescent="0.4">
      <c r="A71" s="48">
        <v>24</v>
      </c>
      <c r="B71">
        <v>21.44</v>
      </c>
      <c r="C71">
        <v>29.808227215980001</v>
      </c>
      <c r="D71">
        <v>66.03</v>
      </c>
      <c r="F71">
        <v>117.27822721598</v>
      </c>
    </row>
    <row r="72" spans="1:6" x14ac:dyDescent="0.4">
      <c r="A72" s="48">
        <v>25</v>
      </c>
      <c r="B72">
        <v>25</v>
      </c>
      <c r="C72">
        <v>29.677640449438201</v>
      </c>
      <c r="D72">
        <v>59.67</v>
      </c>
      <c r="F72">
        <v>114.347640449438</v>
      </c>
    </row>
    <row r="73" spans="1:6" x14ac:dyDescent="0.4">
      <c r="A73" s="48">
        <v>26</v>
      </c>
      <c r="B73">
        <v>18.600000000000001</v>
      </c>
      <c r="C73">
        <v>24.889987515605501</v>
      </c>
      <c r="F73">
        <v>43.489987515605499</v>
      </c>
    </row>
    <row r="74" spans="1:6" x14ac:dyDescent="0.4">
      <c r="A74" s="48">
        <v>27</v>
      </c>
      <c r="B74">
        <v>20.91</v>
      </c>
      <c r="C74">
        <v>27.644106463878298</v>
      </c>
      <c r="F74">
        <v>48.554106463878298</v>
      </c>
    </row>
    <row r="75" spans="1:6" x14ac:dyDescent="0.4">
      <c r="A75" s="48">
        <v>28</v>
      </c>
      <c r="B75">
        <v>14</v>
      </c>
      <c r="C75">
        <v>28.087794676806102</v>
      </c>
      <c r="F75">
        <v>42.087794676806098</v>
      </c>
    </row>
    <row r="76" spans="1:6" x14ac:dyDescent="0.4">
      <c r="A76" s="48">
        <v>29</v>
      </c>
      <c r="B76">
        <v>23.72</v>
      </c>
      <c r="C76">
        <v>27.3969961977186</v>
      </c>
      <c r="F76">
        <v>51.116996197718599</v>
      </c>
    </row>
    <row r="77" spans="1:6" x14ac:dyDescent="0.4">
      <c r="A77" s="48">
        <v>30</v>
      </c>
      <c r="B77">
        <v>10</v>
      </c>
      <c r="C77">
        <v>21.661102661596999</v>
      </c>
      <c r="F77">
        <v>31.661102661596999</v>
      </c>
    </row>
    <row r="78" spans="1:6" x14ac:dyDescent="0.4">
      <c r="A78" s="48">
        <v>31</v>
      </c>
      <c r="B78">
        <v>27.7</v>
      </c>
      <c r="C78">
        <v>7.5911023879620503</v>
      </c>
      <c r="F78">
        <v>35.291102387962098</v>
      </c>
    </row>
    <row r="79" spans="1:6" x14ac:dyDescent="0.4">
      <c r="A79" s="48">
        <v>32</v>
      </c>
      <c r="B79">
        <v>29.76</v>
      </c>
      <c r="C79">
        <v>26.7893280994439</v>
      </c>
      <c r="F79">
        <v>56.549328099443898</v>
      </c>
    </row>
    <row r="80" spans="1:6" x14ac:dyDescent="0.4">
      <c r="A80" s="48">
        <v>33</v>
      </c>
      <c r="B80">
        <v>32.99</v>
      </c>
      <c r="C80">
        <v>28.163794569839698</v>
      </c>
      <c r="F80">
        <v>61.153794569839697</v>
      </c>
    </row>
    <row r="81" spans="1:6" x14ac:dyDescent="0.4">
      <c r="A81" s="48">
        <v>34</v>
      </c>
      <c r="B81">
        <v>31.79</v>
      </c>
      <c r="C81">
        <v>20.537311089303198</v>
      </c>
      <c r="F81">
        <v>52.327311089303201</v>
      </c>
    </row>
    <row r="82" spans="1:6" x14ac:dyDescent="0.4">
      <c r="A82" s="48">
        <v>35</v>
      </c>
      <c r="B82">
        <v>36.69</v>
      </c>
      <c r="C82">
        <v>27.806463853451099</v>
      </c>
      <c r="F82">
        <v>64.496463853451104</v>
      </c>
    </row>
    <row r="83" spans="1:6" x14ac:dyDescent="0.4">
      <c r="A83" s="48">
        <v>36</v>
      </c>
      <c r="B83">
        <v>27.09</v>
      </c>
      <c r="C83">
        <v>24.291215469613299</v>
      </c>
      <c r="F83">
        <v>51.381215469613302</v>
      </c>
    </row>
    <row r="84" spans="1:6" x14ac:dyDescent="0.4">
      <c r="A84" s="48">
        <v>37</v>
      </c>
      <c r="B84">
        <v>26.58</v>
      </c>
      <c r="C84">
        <v>23.989226519336999</v>
      </c>
      <c r="F84">
        <v>50.569226519337001</v>
      </c>
    </row>
    <row r="85" spans="1:6" x14ac:dyDescent="0.4">
      <c r="A85" s="48">
        <v>38</v>
      </c>
      <c r="B85">
        <v>26.88</v>
      </c>
      <c r="C85">
        <v>21.710920810313102</v>
      </c>
      <c r="F85">
        <v>48.590920810313101</v>
      </c>
    </row>
    <row r="86" spans="1:6" x14ac:dyDescent="0.4">
      <c r="A86" s="48">
        <v>39</v>
      </c>
      <c r="B86">
        <v>29.18</v>
      </c>
      <c r="C86">
        <v>23.518637200736698</v>
      </c>
      <c r="F86">
        <v>52.698637200736698</v>
      </c>
    </row>
    <row r="87" spans="1:6" x14ac:dyDescent="0.4">
      <c r="A87" s="48">
        <v>40</v>
      </c>
      <c r="B87">
        <v>26.43</v>
      </c>
      <c r="C87">
        <v>21.845172413793101</v>
      </c>
      <c r="F87">
        <v>48.275172413793101</v>
      </c>
    </row>
    <row r="88" spans="1:6" x14ac:dyDescent="0.4">
      <c r="A88" s="48">
        <v>41</v>
      </c>
      <c r="B88">
        <v>22.49</v>
      </c>
      <c r="C88">
        <v>26.667822141560801</v>
      </c>
      <c r="F88">
        <v>49.1578221415608</v>
      </c>
    </row>
    <row r="89" spans="1:6" x14ac:dyDescent="0.4">
      <c r="A89" s="48">
        <v>42</v>
      </c>
      <c r="B89">
        <v>15.33</v>
      </c>
      <c r="C89">
        <v>19.686624319419199</v>
      </c>
      <c r="F89">
        <v>35.016624319419201</v>
      </c>
    </row>
    <row r="90" spans="1:6" x14ac:dyDescent="0.4">
      <c r="A90" s="48">
        <v>43</v>
      </c>
      <c r="B90">
        <v>19.59</v>
      </c>
      <c r="C90">
        <v>17.020381125226901</v>
      </c>
      <c r="F90">
        <v>36.610381125226901</v>
      </c>
    </row>
    <row r="91" spans="1:6" x14ac:dyDescent="0.4">
      <c r="A91" s="48">
        <v>44</v>
      </c>
      <c r="B91">
        <v>16.25</v>
      </c>
      <c r="C91">
        <v>19.357084398977001</v>
      </c>
      <c r="F91">
        <v>35.607084398977001</v>
      </c>
    </row>
    <row r="92" spans="1:6" x14ac:dyDescent="0.4">
      <c r="A92" s="48">
        <v>45</v>
      </c>
      <c r="B92">
        <v>19.52</v>
      </c>
      <c r="C92">
        <v>21.739335038363201</v>
      </c>
      <c r="F92">
        <v>41.259335038363197</v>
      </c>
    </row>
    <row r="93" spans="1:6" x14ac:dyDescent="0.4">
      <c r="A93" s="48">
        <v>46</v>
      </c>
      <c r="B93">
        <v>22.93</v>
      </c>
      <c r="C93">
        <v>19.928005115089501</v>
      </c>
      <c r="F93">
        <v>42.858005115089497</v>
      </c>
    </row>
    <row r="94" spans="1:6" x14ac:dyDescent="0.4">
      <c r="A94" s="48">
        <v>47</v>
      </c>
      <c r="B94">
        <v>21.61</v>
      </c>
      <c r="C94">
        <v>21.076879795396401</v>
      </c>
      <c r="F94">
        <v>42.686879795396401</v>
      </c>
    </row>
    <row r="95" spans="1:6" x14ac:dyDescent="0.4">
      <c r="A95" s="48">
        <v>48</v>
      </c>
      <c r="B95">
        <v>18.22</v>
      </c>
      <c r="C95">
        <v>26.958695652173901</v>
      </c>
      <c r="F95">
        <v>45.1786956521739</v>
      </c>
    </row>
    <row r="96" spans="1:6" x14ac:dyDescent="0.4">
      <c r="A96" s="48">
        <v>49</v>
      </c>
      <c r="B96">
        <v>15.47</v>
      </c>
      <c r="C96">
        <v>22.998947368421099</v>
      </c>
      <c r="F96">
        <v>38.468947368421098</v>
      </c>
    </row>
    <row r="97" spans="1:6" x14ac:dyDescent="0.4">
      <c r="A97" s="48">
        <v>50</v>
      </c>
      <c r="B97">
        <v>22.67</v>
      </c>
      <c r="C97">
        <v>30.893421052631599</v>
      </c>
      <c r="F97">
        <v>53.563421052631597</v>
      </c>
    </row>
    <row r="98" spans="1:6" x14ac:dyDescent="0.4">
      <c r="A98" s="48">
        <v>51</v>
      </c>
      <c r="B98">
        <v>24.67</v>
      </c>
      <c r="C98">
        <v>30.226315789473698</v>
      </c>
      <c r="F98">
        <v>54.896315789473697</v>
      </c>
    </row>
    <row r="99" spans="1:6" x14ac:dyDescent="0.4">
      <c r="A99" s="48">
        <v>52</v>
      </c>
      <c r="C99">
        <v>39.601315789473702</v>
      </c>
      <c r="F99">
        <v>39.601315789473702</v>
      </c>
    </row>
    <row r="100" spans="1:6" x14ac:dyDescent="0.4">
      <c r="A100" s="48" t="s">
        <v>45</v>
      </c>
      <c r="B100">
        <v>27.04</v>
      </c>
      <c r="F100">
        <v>27.04</v>
      </c>
    </row>
    <row r="101" spans="1:6" x14ac:dyDescent="0.4">
      <c r="A101" s="48" t="s">
        <v>23</v>
      </c>
      <c r="B101">
        <v>1323.18</v>
      </c>
      <c r="C101">
        <v>1310.758</v>
      </c>
      <c r="D101">
        <v>1449.32</v>
      </c>
      <c r="F101">
        <v>4083.2579999999998</v>
      </c>
    </row>
    <row r="109" spans="1:6" x14ac:dyDescent="0.4">
      <c r="A109" t="s">
        <v>46</v>
      </c>
    </row>
    <row r="112" spans="1:6" x14ac:dyDescent="0.4">
      <c r="A112" t="s">
        <v>47</v>
      </c>
      <c r="B112" t="s">
        <v>17</v>
      </c>
    </row>
    <row r="113" spans="1:38" x14ac:dyDescent="0.4">
      <c r="A113" t="s">
        <v>48</v>
      </c>
      <c r="B113" t="s">
        <v>17</v>
      </c>
    </row>
    <row r="114" spans="1:38" x14ac:dyDescent="0.4">
      <c r="A114" t="s">
        <v>49</v>
      </c>
      <c r="B114" t="s">
        <v>17</v>
      </c>
    </row>
    <row r="115" spans="1:38" x14ac:dyDescent="0.4">
      <c r="A115" t="s">
        <v>0</v>
      </c>
      <c r="B115" t="s">
        <v>17</v>
      </c>
    </row>
    <row r="116" spans="1:38" x14ac:dyDescent="0.4">
      <c r="K116" s="65" t="s">
        <v>98</v>
      </c>
      <c r="Z116" s="65" t="s">
        <v>99</v>
      </c>
    </row>
    <row r="117" spans="1:38" x14ac:dyDescent="0.4">
      <c r="A117" t="s">
        <v>44</v>
      </c>
      <c r="B117" t="s">
        <v>19</v>
      </c>
      <c r="L117" t="s">
        <v>50</v>
      </c>
      <c r="P117" t="s">
        <v>51</v>
      </c>
      <c r="R117"/>
      <c r="T117" s="46" t="s">
        <v>52</v>
      </c>
      <c r="U117" s="46"/>
      <c r="V117" s="46"/>
      <c r="W117" s="47"/>
      <c r="AA117" t="s">
        <v>50</v>
      </c>
      <c r="AE117" t="s">
        <v>51</v>
      </c>
      <c r="AH117" s="46"/>
      <c r="AI117" s="46" t="s">
        <v>52</v>
      </c>
      <c r="AJ117" s="46"/>
      <c r="AK117" s="46"/>
      <c r="AL117" s="47"/>
    </row>
    <row r="118" spans="1:38" x14ac:dyDescent="0.4">
      <c r="A118" t="s">
        <v>20</v>
      </c>
      <c r="B118" t="s">
        <v>3</v>
      </c>
      <c r="C118" t="s">
        <v>4</v>
      </c>
      <c r="D118" t="s">
        <v>5</v>
      </c>
      <c r="E118" t="s">
        <v>45</v>
      </c>
      <c r="F118" t="s">
        <v>23</v>
      </c>
      <c r="K118" t="s">
        <v>2</v>
      </c>
      <c r="L118" t="s">
        <v>3</v>
      </c>
      <c r="M118" t="s">
        <v>4</v>
      </c>
      <c r="N118" t="s">
        <v>5</v>
      </c>
      <c r="O118" s="65" t="s">
        <v>97</v>
      </c>
      <c r="P118" t="s">
        <v>13</v>
      </c>
      <c r="Q118" t="s">
        <v>14</v>
      </c>
      <c r="R118" t="s">
        <v>15</v>
      </c>
      <c r="S118" s="65" t="s">
        <v>97</v>
      </c>
      <c r="T118" s="46" t="s">
        <v>13</v>
      </c>
      <c r="U118" s="46" t="s">
        <v>14</v>
      </c>
      <c r="V118" s="46" t="s">
        <v>15</v>
      </c>
      <c r="W118" s="47" t="s">
        <v>96</v>
      </c>
      <c r="Z118" t="s">
        <v>2</v>
      </c>
      <c r="AA118" t="s">
        <v>3</v>
      </c>
      <c r="AB118" t="s">
        <v>4</v>
      </c>
      <c r="AC118" s="65" t="s">
        <v>100</v>
      </c>
      <c r="AD118" s="65" t="s">
        <v>97</v>
      </c>
      <c r="AE118" t="s">
        <v>13</v>
      </c>
      <c r="AF118" t="s">
        <v>14</v>
      </c>
      <c r="AG118" s="65" t="s">
        <v>100</v>
      </c>
      <c r="AH118" s="65" t="s">
        <v>97</v>
      </c>
      <c r="AI118" s="46" t="s">
        <v>13</v>
      </c>
      <c r="AJ118" s="46" t="s">
        <v>14</v>
      </c>
      <c r="AK118" s="46" t="s">
        <v>15</v>
      </c>
      <c r="AL118" s="47" t="s">
        <v>96</v>
      </c>
    </row>
    <row r="119" spans="1:38" x14ac:dyDescent="0.4">
      <c r="A119" s="48">
        <v>1</v>
      </c>
      <c r="B119">
        <v>60.61</v>
      </c>
      <c r="C119">
        <v>30.62</v>
      </c>
      <c r="D119">
        <v>39.67</v>
      </c>
      <c r="F119">
        <v>130.9</v>
      </c>
      <c r="K119">
        <v>1</v>
      </c>
      <c r="L119">
        <v>60.61</v>
      </c>
      <c r="M119">
        <v>30.62</v>
      </c>
      <c r="N119">
        <v>39.67</v>
      </c>
      <c r="O119">
        <v>43.64</v>
      </c>
      <c r="P119">
        <v>22.03</v>
      </c>
      <c r="Q119">
        <v>24.52</v>
      </c>
      <c r="R119">
        <v>35.869999999999997</v>
      </c>
      <c r="S119">
        <v>51.857999999999997</v>
      </c>
      <c r="T119" s="46">
        <f>L119/P119*7</f>
        <v>19.25873808443032</v>
      </c>
      <c r="U119" s="46">
        <f>M119/Q119*7</f>
        <v>8.7414355628058722</v>
      </c>
      <c r="V119" s="46">
        <f>N119/R119*7</f>
        <v>7.7415667688876511</v>
      </c>
      <c r="W119" s="46">
        <f>O119/S119*7</f>
        <v>5.8907015311041695</v>
      </c>
      <c r="X119" s="33">
        <f t="shared" ref="X119:X124" si="0">W119-V119</f>
        <v>-1.8508652377834816</v>
      </c>
      <c r="Z119">
        <v>1</v>
      </c>
      <c r="AC119">
        <v>35.506799999999998</v>
      </c>
      <c r="AD119">
        <v>43.64</v>
      </c>
      <c r="AG119">
        <v>11.5838</v>
      </c>
      <c r="AH119">
        <v>51.857999999999997</v>
      </c>
      <c r="AI119" s="46" t="e">
        <f>AA119/AE119*7</f>
        <v>#DIV/0!</v>
      </c>
      <c r="AJ119" s="46" t="e">
        <f t="shared" ref="AJ119:AJ169" si="1">AB119/AF119*7</f>
        <v>#DIV/0!</v>
      </c>
      <c r="AK119" s="46">
        <f>AC119/AG119*7</f>
        <v>21.456482328769489</v>
      </c>
      <c r="AL119" s="46">
        <f>AD119/AH119*7</f>
        <v>5.8907015311041695</v>
      </c>
    </row>
    <row r="120" spans="1:38" x14ac:dyDescent="0.4">
      <c r="A120" s="48">
        <v>2</v>
      </c>
      <c r="B120">
        <v>60.61</v>
      </c>
      <c r="C120">
        <v>36.25</v>
      </c>
      <c r="D120">
        <v>30.22</v>
      </c>
      <c r="F120">
        <v>127.08</v>
      </c>
      <c r="K120">
        <v>2</v>
      </c>
      <c r="L120">
        <v>60.61</v>
      </c>
      <c r="M120">
        <v>36.25</v>
      </c>
      <c r="N120">
        <v>30.22</v>
      </c>
      <c r="O120">
        <v>43.64</v>
      </c>
      <c r="P120">
        <v>22.03</v>
      </c>
      <c r="Q120">
        <v>24.42</v>
      </c>
      <c r="R120">
        <v>40</v>
      </c>
      <c r="S120">
        <v>49.055599999999998</v>
      </c>
      <c r="T120" s="46">
        <f t="shared" ref="T120:T171" si="2">L120/P120*7</f>
        <v>19.25873808443032</v>
      </c>
      <c r="U120" s="46">
        <f t="shared" ref="U120:U171" si="3">M120/Q120*7</f>
        <v>10.39107289107289</v>
      </c>
      <c r="V120" s="46">
        <f t="shared" ref="V120:V171" si="4">N120/R120*7</f>
        <v>5.2885</v>
      </c>
      <c r="W120" s="46">
        <f t="shared" ref="W120:W149" si="5">O120/S120*7</f>
        <v>6.2272197261882436</v>
      </c>
      <c r="X120" s="33">
        <f t="shared" si="0"/>
        <v>0.93871972618824362</v>
      </c>
      <c r="Z120">
        <v>2</v>
      </c>
      <c r="AC120">
        <v>34.666400000000003</v>
      </c>
      <c r="AD120">
        <v>43.64</v>
      </c>
      <c r="AG120">
        <v>11.5639</v>
      </c>
      <c r="AH120">
        <v>49.055599999999998</v>
      </c>
      <c r="AI120" s="46" t="e">
        <f t="shared" ref="AI120:AI169" si="6">AA120/AE120*7</f>
        <v>#DIV/0!</v>
      </c>
      <c r="AJ120" s="46" t="e">
        <f t="shared" si="1"/>
        <v>#DIV/0!</v>
      </c>
      <c r="AK120" s="46">
        <f t="shared" ref="AK120:AK169" si="7">AC120/AG120*7</f>
        <v>20.984685097588187</v>
      </c>
      <c r="AL120" s="46">
        <f>AD120/AH120*7</f>
        <v>6.2272197261882436</v>
      </c>
    </row>
    <row r="121" spans="1:38" x14ac:dyDescent="0.4">
      <c r="A121" s="48">
        <v>3</v>
      </c>
      <c r="B121">
        <v>59.12</v>
      </c>
      <c r="C121">
        <v>44.58</v>
      </c>
      <c r="D121">
        <v>32.950000000000003</v>
      </c>
      <c r="F121">
        <v>136.65</v>
      </c>
      <c r="K121">
        <v>3</v>
      </c>
      <c r="L121">
        <v>59.12</v>
      </c>
      <c r="M121">
        <v>44.58</v>
      </c>
      <c r="N121">
        <v>32.950000000000003</v>
      </c>
      <c r="O121">
        <v>55.42</v>
      </c>
      <c r="P121">
        <v>19.23</v>
      </c>
      <c r="Q121">
        <v>27.95</v>
      </c>
      <c r="R121">
        <v>38.85</v>
      </c>
      <c r="S121" s="66">
        <v>63.94</v>
      </c>
      <c r="T121" s="46">
        <f t="shared" si="2"/>
        <v>21.520540821632864</v>
      </c>
      <c r="U121" s="46">
        <f t="shared" si="3"/>
        <v>11.164937388193202</v>
      </c>
      <c r="V121" s="46">
        <f t="shared" si="4"/>
        <v>5.9369369369369371</v>
      </c>
      <c r="W121" s="46">
        <f t="shared" si="5"/>
        <v>6.067250547388177</v>
      </c>
      <c r="X121" s="33">
        <f t="shared" si="0"/>
        <v>0.1303136104512399</v>
      </c>
      <c r="Z121">
        <v>3</v>
      </c>
      <c r="AC121">
        <v>47.953800000000001</v>
      </c>
      <c r="AD121">
        <v>55.42</v>
      </c>
      <c r="AG121">
        <v>9.6113</v>
      </c>
      <c r="AH121" s="66">
        <v>63.94</v>
      </c>
      <c r="AI121" s="46" t="e">
        <f t="shared" si="6"/>
        <v>#DIV/0!</v>
      </c>
      <c r="AJ121" s="46" t="e">
        <f t="shared" si="1"/>
        <v>#DIV/0!</v>
      </c>
      <c r="AK121" s="46">
        <f t="shared" si="7"/>
        <v>34.92520262607556</v>
      </c>
      <c r="AL121" s="46">
        <f>AD121/AH121*7</f>
        <v>6.067250547388177</v>
      </c>
    </row>
    <row r="122" spans="1:38" x14ac:dyDescent="0.4">
      <c r="A122" s="48">
        <v>4</v>
      </c>
      <c r="B122">
        <v>63.46</v>
      </c>
      <c r="C122">
        <v>42.15</v>
      </c>
      <c r="D122">
        <v>37.020000000000003</v>
      </c>
      <c r="F122">
        <v>142.63</v>
      </c>
      <c r="K122">
        <v>4</v>
      </c>
      <c r="L122">
        <v>63.46</v>
      </c>
      <c r="M122">
        <v>42.15</v>
      </c>
      <c r="N122">
        <v>37.020000000000003</v>
      </c>
      <c r="O122">
        <v>91.63</v>
      </c>
      <c r="P122">
        <v>21.51</v>
      </c>
      <c r="Q122">
        <v>27.93</v>
      </c>
      <c r="R122">
        <v>43.75</v>
      </c>
      <c r="S122" s="66">
        <v>54.65</v>
      </c>
      <c r="T122" s="46">
        <f t="shared" si="2"/>
        <v>20.651789865178987</v>
      </c>
      <c r="U122" s="46">
        <f t="shared" si="3"/>
        <v>10.563909774436091</v>
      </c>
      <c r="V122" s="46">
        <f t="shared" si="4"/>
        <v>5.9232000000000005</v>
      </c>
      <c r="W122" s="46">
        <f t="shared" si="5"/>
        <v>11.736688014638609</v>
      </c>
      <c r="X122" s="33">
        <f t="shared" si="0"/>
        <v>5.813488014638609</v>
      </c>
      <c r="Z122">
        <v>4</v>
      </c>
      <c r="AC122">
        <v>42.364600000000003</v>
      </c>
      <c r="AD122">
        <v>91.63</v>
      </c>
      <c r="AG122">
        <v>12.2273</v>
      </c>
      <c r="AH122" s="66">
        <v>54.65</v>
      </c>
      <c r="AI122" s="46" t="e">
        <f t="shared" si="6"/>
        <v>#DIV/0!</v>
      </c>
      <c r="AJ122" s="46" t="e">
        <f t="shared" si="1"/>
        <v>#DIV/0!</v>
      </c>
      <c r="AK122" s="46">
        <f t="shared" si="7"/>
        <v>24.253285680403689</v>
      </c>
      <c r="AL122" s="46">
        <f>AD122/AH122*7</f>
        <v>11.736688014638609</v>
      </c>
    </row>
    <row r="123" spans="1:38" x14ac:dyDescent="0.4">
      <c r="A123" s="48">
        <v>5</v>
      </c>
      <c r="B123">
        <v>67.75</v>
      </c>
      <c r="C123">
        <v>42.17</v>
      </c>
      <c r="D123">
        <v>68.56</v>
      </c>
      <c r="F123">
        <v>178.48</v>
      </c>
      <c r="K123">
        <v>5</v>
      </c>
      <c r="L123">
        <v>67.75</v>
      </c>
      <c r="M123">
        <v>42.17</v>
      </c>
      <c r="N123">
        <v>68.56</v>
      </c>
      <c r="O123">
        <v>107.28400000000001</v>
      </c>
      <c r="P123">
        <v>19.600000000000001</v>
      </c>
      <c r="Q123">
        <v>25.47</v>
      </c>
      <c r="R123">
        <v>50.78</v>
      </c>
      <c r="S123" s="66">
        <v>54.466000000000001</v>
      </c>
      <c r="T123" s="46">
        <f t="shared" si="2"/>
        <v>24.196428571428569</v>
      </c>
      <c r="U123" s="46">
        <f t="shared" si="3"/>
        <v>11.589713388299961</v>
      </c>
      <c r="V123" s="46">
        <f t="shared" si="4"/>
        <v>9.4509649468294601</v>
      </c>
      <c r="W123" s="46">
        <f t="shared" si="5"/>
        <v>13.788198141960123</v>
      </c>
      <c r="X123" s="33">
        <f t="shared" si="0"/>
        <v>4.3372331951306631</v>
      </c>
      <c r="Z123">
        <v>5</v>
      </c>
      <c r="AC123">
        <v>43.199300000000001</v>
      </c>
      <c r="AD123">
        <v>107.28400000000001</v>
      </c>
      <c r="AG123">
        <v>11.713100000000001</v>
      </c>
      <c r="AH123" s="66">
        <v>54.466000000000001</v>
      </c>
      <c r="AI123" s="46" t="e">
        <f t="shared" si="6"/>
        <v>#DIV/0!</v>
      </c>
      <c r="AJ123" s="46" t="e">
        <f t="shared" si="1"/>
        <v>#DIV/0!</v>
      </c>
      <c r="AK123" s="46">
        <f t="shared" si="7"/>
        <v>25.816829020498414</v>
      </c>
      <c r="AL123" s="46">
        <f>AD123/AH123*7</f>
        <v>13.788198141960123</v>
      </c>
    </row>
    <row r="124" spans="1:38" x14ac:dyDescent="0.4">
      <c r="A124" s="48">
        <v>6</v>
      </c>
      <c r="B124">
        <v>74.349999999999994</v>
      </c>
      <c r="C124">
        <v>52.3</v>
      </c>
      <c r="D124">
        <v>99</v>
      </c>
      <c r="F124">
        <v>225.65</v>
      </c>
      <c r="K124">
        <v>6</v>
      </c>
      <c r="L124">
        <v>74.349999999999994</v>
      </c>
      <c r="M124">
        <v>52.3</v>
      </c>
      <c r="N124">
        <v>99</v>
      </c>
      <c r="O124">
        <v>92.754000000000005</v>
      </c>
      <c r="P124">
        <v>23.22</v>
      </c>
      <c r="Q124">
        <v>25.72</v>
      </c>
      <c r="R124">
        <v>59.56</v>
      </c>
      <c r="S124" s="66">
        <v>55.77</v>
      </c>
      <c r="T124" s="46">
        <f t="shared" si="2"/>
        <v>22.41386735572782</v>
      </c>
      <c r="U124" s="46">
        <f t="shared" si="3"/>
        <v>14.234059097978227</v>
      </c>
      <c r="V124" s="46">
        <f t="shared" si="4"/>
        <v>11.635325721961047</v>
      </c>
      <c r="W124" s="46">
        <f t="shared" si="5"/>
        <v>11.642065626681012</v>
      </c>
      <c r="X124" s="33">
        <f t="shared" si="0"/>
        <v>6.7399047199643292E-3</v>
      </c>
      <c r="Z124">
        <v>6</v>
      </c>
      <c r="AC124">
        <v>36.862400000000001</v>
      </c>
      <c r="AD124">
        <v>92.754000000000005</v>
      </c>
      <c r="AG124">
        <v>10.4536</v>
      </c>
      <c r="AH124" s="66">
        <v>55.77</v>
      </c>
      <c r="AI124" s="46" t="e">
        <f t="shared" si="6"/>
        <v>#DIV/0!</v>
      </c>
      <c r="AJ124" s="46" t="e">
        <f t="shared" si="1"/>
        <v>#DIV/0!</v>
      </c>
      <c r="AK124" s="46">
        <f t="shared" si="7"/>
        <v>24.684013162929517</v>
      </c>
      <c r="AL124" s="46">
        <f>AD124/AH124*7</f>
        <v>11.642065626681012</v>
      </c>
    </row>
    <row r="125" spans="1:38" x14ac:dyDescent="0.4">
      <c r="A125" s="48">
        <v>7</v>
      </c>
      <c r="B125">
        <v>62.57</v>
      </c>
      <c r="C125">
        <v>35.130000000000003</v>
      </c>
      <c r="D125">
        <v>122.16</v>
      </c>
      <c r="F125">
        <v>219.86</v>
      </c>
      <c r="K125">
        <v>7</v>
      </c>
      <c r="L125">
        <v>62.57</v>
      </c>
      <c r="M125">
        <v>35.130000000000003</v>
      </c>
      <c r="N125">
        <v>122.16</v>
      </c>
      <c r="O125">
        <v>69.38</v>
      </c>
      <c r="P125">
        <v>34.56</v>
      </c>
      <c r="Q125">
        <v>30.17</v>
      </c>
      <c r="R125">
        <v>56.4</v>
      </c>
      <c r="S125" s="66">
        <v>62.64</v>
      </c>
      <c r="T125" s="46">
        <f t="shared" si="2"/>
        <v>12.67332175925926</v>
      </c>
      <c r="U125" s="46">
        <f t="shared" si="3"/>
        <v>8.1508120649651978</v>
      </c>
      <c r="V125" s="46">
        <f>N125/R125*7</f>
        <v>15.161702127659575</v>
      </c>
      <c r="W125" s="46">
        <f t="shared" si="5"/>
        <v>7.7531928480204328</v>
      </c>
      <c r="X125" s="33">
        <f t="shared" ref="X125:X130" si="8">W125-V125</f>
        <v>-7.4085092796391425</v>
      </c>
      <c r="Z125">
        <v>7</v>
      </c>
      <c r="AC125">
        <v>28.486999999999998</v>
      </c>
      <c r="AD125">
        <v>69.38</v>
      </c>
      <c r="AG125">
        <v>8.6753</v>
      </c>
      <c r="AH125" s="66">
        <v>62.64</v>
      </c>
      <c r="AI125" s="46" t="e">
        <f t="shared" si="6"/>
        <v>#DIV/0!</v>
      </c>
      <c r="AJ125" s="46" t="e">
        <f t="shared" si="1"/>
        <v>#DIV/0!</v>
      </c>
      <c r="AK125" s="46">
        <f t="shared" si="7"/>
        <v>22.985833342939149</v>
      </c>
      <c r="AL125" s="46">
        <f t="shared" ref="AL125:AL130" si="9">AD125/AH125*7</f>
        <v>7.7531928480204328</v>
      </c>
    </row>
    <row r="126" spans="1:38" x14ac:dyDescent="0.4">
      <c r="A126" s="48">
        <v>8</v>
      </c>
      <c r="B126">
        <v>59.99</v>
      </c>
      <c r="C126">
        <v>44.08</v>
      </c>
      <c r="D126">
        <v>150.1</v>
      </c>
      <c r="F126">
        <v>254.17</v>
      </c>
      <c r="K126">
        <v>8</v>
      </c>
      <c r="L126">
        <v>59.99</v>
      </c>
      <c r="M126">
        <v>44.08</v>
      </c>
      <c r="N126">
        <v>150.1</v>
      </c>
      <c r="O126">
        <v>53.715000000000003</v>
      </c>
      <c r="P126">
        <v>31.55</v>
      </c>
      <c r="Q126">
        <v>29.43</v>
      </c>
      <c r="R126">
        <v>72</v>
      </c>
      <c r="S126" s="66">
        <v>57.375</v>
      </c>
      <c r="T126" s="46">
        <f t="shared" si="2"/>
        <v>13.309984152139462</v>
      </c>
      <c r="U126" s="46">
        <f t="shared" si="3"/>
        <v>10.484539585457016</v>
      </c>
      <c r="V126" s="46">
        <f t="shared" si="4"/>
        <v>14.593055555555555</v>
      </c>
      <c r="W126" s="46">
        <f t="shared" si="5"/>
        <v>6.5534640522875822</v>
      </c>
      <c r="X126" s="33">
        <f t="shared" si="8"/>
        <v>-8.0395915032679728</v>
      </c>
      <c r="Z126">
        <v>8</v>
      </c>
      <c r="AC126">
        <v>29.561900000000001</v>
      </c>
      <c r="AD126">
        <v>53.715000000000003</v>
      </c>
      <c r="AG126">
        <v>8.2116000000000007</v>
      </c>
      <c r="AH126" s="66">
        <v>57.375</v>
      </c>
      <c r="AI126" s="46" t="e">
        <f t="shared" si="6"/>
        <v>#DIV/0!</v>
      </c>
      <c r="AJ126" s="46" t="e">
        <f t="shared" si="1"/>
        <v>#DIV/0!</v>
      </c>
      <c r="AK126" s="46">
        <f t="shared" si="7"/>
        <v>25.200119343367916</v>
      </c>
      <c r="AL126" s="46">
        <f t="shared" si="9"/>
        <v>6.5534640522875822</v>
      </c>
    </row>
    <row r="127" spans="1:38" x14ac:dyDescent="0.4">
      <c r="A127" s="48">
        <v>9</v>
      </c>
      <c r="B127">
        <v>48.45</v>
      </c>
      <c r="C127">
        <v>45.69</v>
      </c>
      <c r="D127">
        <v>151.02000000000001</v>
      </c>
      <c r="F127">
        <v>245.16</v>
      </c>
      <c r="K127">
        <v>9</v>
      </c>
      <c r="L127">
        <v>48.45</v>
      </c>
      <c r="M127">
        <v>45.69</v>
      </c>
      <c r="N127">
        <v>151.02000000000001</v>
      </c>
      <c r="O127">
        <v>29.55</v>
      </c>
      <c r="P127">
        <v>39.869999999999997</v>
      </c>
      <c r="Q127">
        <v>27.25</v>
      </c>
      <c r="R127">
        <v>60.58</v>
      </c>
      <c r="S127" s="66">
        <v>49.796999999999997</v>
      </c>
      <c r="T127" s="46">
        <f t="shared" si="2"/>
        <v>8.5063957863054931</v>
      </c>
      <c r="U127" s="46">
        <f t="shared" si="3"/>
        <v>11.736880733944954</v>
      </c>
      <c r="V127" s="46">
        <f t="shared" si="4"/>
        <v>17.450313634862994</v>
      </c>
      <c r="W127" s="46">
        <f t="shared" si="5"/>
        <v>4.1538646906440153</v>
      </c>
      <c r="X127" s="33">
        <f t="shared" si="8"/>
        <v>-13.296448944218978</v>
      </c>
      <c r="Z127">
        <v>9</v>
      </c>
      <c r="AC127">
        <v>32.679000000000002</v>
      </c>
      <c r="AD127">
        <v>29.55</v>
      </c>
      <c r="AG127">
        <v>8.6960999999999995</v>
      </c>
      <c r="AH127" s="66">
        <v>49.796999999999997</v>
      </c>
      <c r="AI127" s="46" t="e">
        <f t="shared" si="6"/>
        <v>#DIV/0!</v>
      </c>
      <c r="AJ127" s="46" t="e">
        <f t="shared" si="1"/>
        <v>#DIV/0!</v>
      </c>
      <c r="AK127" s="46">
        <f t="shared" si="7"/>
        <v>26.305240280125577</v>
      </c>
      <c r="AL127" s="46">
        <f t="shared" si="9"/>
        <v>4.1538646906440153</v>
      </c>
    </row>
    <row r="128" spans="1:38" x14ac:dyDescent="0.4">
      <c r="A128" s="48">
        <v>10</v>
      </c>
      <c r="B128">
        <v>55.37</v>
      </c>
      <c r="C128">
        <v>53.57</v>
      </c>
      <c r="D128">
        <v>199.23</v>
      </c>
      <c r="F128">
        <v>308.17</v>
      </c>
      <c r="K128">
        <v>10</v>
      </c>
      <c r="L128">
        <v>55.37</v>
      </c>
      <c r="M128">
        <v>53.57</v>
      </c>
      <c r="N128">
        <v>199.23</v>
      </c>
      <c r="O128">
        <v>48.951000000000001</v>
      </c>
      <c r="P128">
        <v>26.7</v>
      </c>
      <c r="Q128">
        <v>24.43</v>
      </c>
      <c r="R128">
        <v>56.58</v>
      </c>
      <c r="S128" s="66">
        <v>58.517000000000003</v>
      </c>
      <c r="T128" s="46">
        <f t="shared" si="2"/>
        <v>14.516479400749063</v>
      </c>
      <c r="U128" s="46">
        <f t="shared" si="3"/>
        <v>15.349570200573066</v>
      </c>
      <c r="V128" s="46">
        <f t="shared" si="4"/>
        <v>24.648462354188759</v>
      </c>
      <c r="W128" s="46">
        <f t="shared" si="5"/>
        <v>5.8556829639250134</v>
      </c>
      <c r="X128" s="33">
        <f t="shared" si="8"/>
        <v>-18.792779390263746</v>
      </c>
      <c r="Z128">
        <v>10</v>
      </c>
      <c r="AC128">
        <v>33.7102</v>
      </c>
      <c r="AD128">
        <v>48.951000000000001</v>
      </c>
      <c r="AG128">
        <v>9.5336999999999996</v>
      </c>
      <c r="AH128" s="66">
        <v>58.517000000000003</v>
      </c>
      <c r="AI128" s="46" t="e">
        <f t="shared" si="6"/>
        <v>#DIV/0!</v>
      </c>
      <c r="AJ128" s="46" t="e">
        <f t="shared" si="1"/>
        <v>#DIV/0!</v>
      </c>
      <c r="AK128" s="46">
        <f t="shared" si="7"/>
        <v>24.751292782445432</v>
      </c>
      <c r="AL128" s="46">
        <f t="shared" si="9"/>
        <v>5.8556829639250134</v>
      </c>
    </row>
    <row r="129" spans="1:38" x14ac:dyDescent="0.4">
      <c r="A129" s="48">
        <v>11</v>
      </c>
      <c r="B129">
        <v>77.260000000000005</v>
      </c>
      <c r="C129">
        <v>53.15</v>
      </c>
      <c r="D129">
        <v>228.46</v>
      </c>
      <c r="F129">
        <v>358.87</v>
      </c>
      <c r="K129">
        <v>11</v>
      </c>
      <c r="L129">
        <v>77.260000000000005</v>
      </c>
      <c r="M129">
        <v>53.15</v>
      </c>
      <c r="N129">
        <v>228.46</v>
      </c>
      <c r="O129">
        <v>61.094000000000001</v>
      </c>
      <c r="P129">
        <v>33.61</v>
      </c>
      <c r="Q129">
        <v>25.59</v>
      </c>
      <c r="R129">
        <v>68.67</v>
      </c>
      <c r="S129" s="66">
        <v>64.760999999999996</v>
      </c>
      <c r="T129" s="46">
        <f t="shared" si="2"/>
        <v>16.091044332044035</v>
      </c>
      <c r="U129" s="46">
        <f t="shared" si="3"/>
        <v>14.538882375928095</v>
      </c>
      <c r="V129" s="46">
        <f t="shared" si="4"/>
        <v>23.288481141692152</v>
      </c>
      <c r="W129" s="46">
        <f t="shared" si="5"/>
        <v>6.6036349037229201</v>
      </c>
      <c r="X129" s="33">
        <f t="shared" si="8"/>
        <v>-16.684846237969232</v>
      </c>
      <c r="Z129">
        <v>11</v>
      </c>
      <c r="AC129">
        <v>32.433399999999999</v>
      </c>
      <c r="AD129">
        <v>61.094000000000001</v>
      </c>
      <c r="AG129">
        <v>9.2235999999999994</v>
      </c>
      <c r="AH129" s="66">
        <v>64.760999999999996</v>
      </c>
      <c r="AI129" s="46" t="e">
        <f t="shared" si="6"/>
        <v>#DIV/0!</v>
      </c>
      <c r="AJ129" s="46" t="e">
        <f t="shared" si="1"/>
        <v>#DIV/0!</v>
      </c>
      <c r="AK129" s="46">
        <f t="shared" si="7"/>
        <v>24.61444555271261</v>
      </c>
      <c r="AL129" s="46">
        <f t="shared" si="9"/>
        <v>6.6036349037229201</v>
      </c>
    </row>
    <row r="130" spans="1:38" x14ac:dyDescent="0.4">
      <c r="A130" s="48">
        <v>12</v>
      </c>
      <c r="B130">
        <v>85.45</v>
      </c>
      <c r="C130">
        <v>39.17</v>
      </c>
      <c r="D130">
        <v>250.36</v>
      </c>
      <c r="F130">
        <v>374.98</v>
      </c>
      <c r="K130">
        <v>12</v>
      </c>
      <c r="L130">
        <v>85.45</v>
      </c>
      <c r="M130">
        <v>39.17</v>
      </c>
      <c r="N130">
        <v>250.36</v>
      </c>
      <c r="O130">
        <v>86.875</v>
      </c>
      <c r="P130">
        <v>34.590000000000003</v>
      </c>
      <c r="Q130">
        <v>24.59</v>
      </c>
      <c r="R130">
        <v>65.41</v>
      </c>
      <c r="S130" s="66">
        <v>56.281999999999996</v>
      </c>
      <c r="T130" s="46">
        <f t="shared" si="2"/>
        <v>17.292570106967332</v>
      </c>
      <c r="U130" s="46">
        <f t="shared" si="3"/>
        <v>11.150467669784467</v>
      </c>
      <c r="V130" s="46">
        <f t="shared" si="4"/>
        <v>26.79284513071396</v>
      </c>
      <c r="W130" s="46">
        <f t="shared" si="5"/>
        <v>10.804964286983406</v>
      </c>
      <c r="X130" s="33">
        <f t="shared" si="8"/>
        <v>-15.987880843730554</v>
      </c>
      <c r="Z130">
        <v>12</v>
      </c>
      <c r="AC130">
        <v>39.807000000000002</v>
      </c>
      <c r="AD130">
        <v>86.875</v>
      </c>
      <c r="AG130">
        <v>8.5637000000000008</v>
      </c>
      <c r="AH130" s="66">
        <v>56.281999999999996</v>
      </c>
      <c r="AI130" s="46" t="e">
        <f t="shared" si="6"/>
        <v>#DIV/0!</v>
      </c>
      <c r="AJ130" s="46" t="e">
        <f t="shared" si="1"/>
        <v>#DIV/0!</v>
      </c>
      <c r="AK130" s="46">
        <f t="shared" si="7"/>
        <v>32.538388780550463</v>
      </c>
      <c r="AL130" s="46">
        <f t="shared" si="9"/>
        <v>10.804964286983406</v>
      </c>
    </row>
    <row r="131" spans="1:38" x14ac:dyDescent="0.4">
      <c r="A131" s="48">
        <v>13</v>
      </c>
      <c r="B131">
        <v>84.96</v>
      </c>
      <c r="C131">
        <v>47.43</v>
      </c>
      <c r="D131">
        <v>262.3</v>
      </c>
      <c r="F131">
        <v>394.69</v>
      </c>
      <c r="K131">
        <v>13</v>
      </c>
      <c r="L131">
        <v>84.96</v>
      </c>
      <c r="M131">
        <v>47.43</v>
      </c>
      <c r="N131">
        <v>262.3</v>
      </c>
      <c r="O131">
        <v>86.23</v>
      </c>
      <c r="P131">
        <v>41.54</v>
      </c>
      <c r="Q131">
        <v>30.958855218855199</v>
      </c>
      <c r="R131">
        <v>63.33</v>
      </c>
      <c r="S131" s="66">
        <v>77.06</v>
      </c>
      <c r="T131" s="46">
        <f t="shared" si="2"/>
        <v>14.316803081367357</v>
      </c>
      <c r="U131" s="46">
        <f t="shared" si="3"/>
        <v>10.724233750019041</v>
      </c>
      <c r="V131" s="46">
        <f t="shared" si="4"/>
        <v>28.992578556766148</v>
      </c>
      <c r="W131" s="46">
        <f t="shared" si="5"/>
        <v>7.8329872826369069</v>
      </c>
      <c r="X131" s="33">
        <f t="shared" ref="X131:X149" si="10">W131-V131</f>
        <v>-21.159591274129241</v>
      </c>
      <c r="Z131">
        <v>13</v>
      </c>
      <c r="AC131">
        <v>41.869599999999998</v>
      </c>
      <c r="AD131">
        <v>86.23</v>
      </c>
      <c r="AG131">
        <v>8.6937999999999995</v>
      </c>
      <c r="AH131" s="66">
        <v>77.06</v>
      </c>
      <c r="AI131" s="46" t="e">
        <f t="shared" si="6"/>
        <v>#DIV/0!</v>
      </c>
      <c r="AJ131" s="46" t="e">
        <f t="shared" si="1"/>
        <v>#DIV/0!</v>
      </c>
      <c r="AK131" s="46">
        <f t="shared" si="7"/>
        <v>33.712208700453196</v>
      </c>
      <c r="AL131" s="46">
        <f>AD131/AH131*7</f>
        <v>7.8329872826369069</v>
      </c>
    </row>
    <row r="132" spans="1:38" x14ac:dyDescent="0.4">
      <c r="A132" s="48">
        <v>14</v>
      </c>
      <c r="B132">
        <v>67.83</v>
      </c>
      <c r="C132">
        <v>34.97</v>
      </c>
      <c r="D132">
        <v>275.37</v>
      </c>
      <c r="F132">
        <v>378.17</v>
      </c>
      <c r="K132">
        <v>14</v>
      </c>
      <c r="L132">
        <v>67.83</v>
      </c>
      <c r="M132">
        <v>34.97</v>
      </c>
      <c r="N132">
        <v>275.37</v>
      </c>
      <c r="O132">
        <v>102.93300000000001</v>
      </c>
      <c r="P132">
        <v>37.11</v>
      </c>
      <c r="Q132">
        <v>30.958855218855199</v>
      </c>
      <c r="R132">
        <v>67.69</v>
      </c>
      <c r="S132" s="66">
        <v>70.126999999999995</v>
      </c>
      <c r="T132" s="46">
        <f t="shared" si="2"/>
        <v>12.794664510913501</v>
      </c>
      <c r="U132" s="46">
        <f t="shared" si="3"/>
        <v>7.9069461150783429</v>
      </c>
      <c r="V132" s="46">
        <f t="shared" si="4"/>
        <v>28.476732161323682</v>
      </c>
      <c r="W132" s="46">
        <f t="shared" si="5"/>
        <v>10.274658833259657</v>
      </c>
      <c r="X132" s="33">
        <f t="shared" si="10"/>
        <v>-18.202073328064024</v>
      </c>
      <c r="Z132">
        <v>14</v>
      </c>
      <c r="AC132">
        <v>46.065100000000001</v>
      </c>
      <c r="AD132">
        <v>102.93300000000001</v>
      </c>
      <c r="AG132">
        <v>9.0210000000000008</v>
      </c>
      <c r="AH132" s="66">
        <v>70.126999999999995</v>
      </c>
      <c r="AI132" s="46" t="e">
        <f t="shared" si="6"/>
        <v>#DIV/0!</v>
      </c>
      <c r="AJ132" s="46" t="e">
        <f t="shared" si="1"/>
        <v>#DIV/0!</v>
      </c>
      <c r="AK132" s="46">
        <f t="shared" si="7"/>
        <v>35.745006096885042</v>
      </c>
      <c r="AL132" s="46">
        <f>AD132/AH132*7</f>
        <v>10.274658833259657</v>
      </c>
    </row>
    <row r="133" spans="1:38" x14ac:dyDescent="0.4">
      <c r="A133" s="48">
        <v>15</v>
      </c>
      <c r="B133">
        <v>50.01</v>
      </c>
      <c r="C133">
        <v>28.24</v>
      </c>
      <c r="D133">
        <v>253.93</v>
      </c>
      <c r="F133">
        <v>332.18</v>
      </c>
      <c r="K133">
        <v>15</v>
      </c>
      <c r="L133">
        <v>50.01</v>
      </c>
      <c r="M133">
        <v>28.24</v>
      </c>
      <c r="N133">
        <v>253.93</v>
      </c>
      <c r="O133">
        <v>107.43</v>
      </c>
      <c r="P133">
        <v>43.09</v>
      </c>
      <c r="Q133">
        <v>32.425521885521903</v>
      </c>
      <c r="R133">
        <v>71.78</v>
      </c>
      <c r="S133" s="66">
        <v>58.71</v>
      </c>
      <c r="T133" s="46">
        <f t="shared" si="2"/>
        <v>8.1241587375261073</v>
      </c>
      <c r="U133" s="46">
        <f t="shared" si="3"/>
        <v>6.0964323318498295</v>
      </c>
      <c r="V133" s="46">
        <f t="shared" si="4"/>
        <v>24.76330454165506</v>
      </c>
      <c r="W133" s="46">
        <f t="shared" si="5"/>
        <v>12.808891159938682</v>
      </c>
      <c r="X133" s="33">
        <f t="shared" si="10"/>
        <v>-11.954413381716378</v>
      </c>
      <c r="Z133">
        <v>15</v>
      </c>
      <c r="AC133">
        <v>46.1038</v>
      </c>
      <c r="AG133">
        <v>10.459199999999999</v>
      </c>
      <c r="AH133" s="66"/>
      <c r="AI133" s="46" t="e">
        <f t="shared" si="6"/>
        <v>#DIV/0!</v>
      </c>
      <c r="AJ133" s="46" t="e">
        <f t="shared" si="1"/>
        <v>#DIV/0!</v>
      </c>
      <c r="AK133" s="46">
        <f t="shared" si="7"/>
        <v>30.855763347101121</v>
      </c>
      <c r="AL133" s="46"/>
    </row>
    <row r="134" spans="1:38" x14ac:dyDescent="0.4">
      <c r="A134" s="48">
        <v>16</v>
      </c>
      <c r="B134">
        <v>57.92</v>
      </c>
      <c r="C134">
        <v>22.93</v>
      </c>
      <c r="D134">
        <v>220.96</v>
      </c>
      <c r="F134">
        <v>301.81</v>
      </c>
      <c r="K134">
        <v>16</v>
      </c>
      <c r="L134">
        <v>57.92</v>
      </c>
      <c r="M134">
        <v>22.93</v>
      </c>
      <c r="N134">
        <v>220.96</v>
      </c>
      <c r="O134">
        <v>86.034999999999997</v>
      </c>
      <c r="P134">
        <v>10</v>
      </c>
      <c r="Q134">
        <v>32.142255892255903</v>
      </c>
      <c r="R134">
        <v>77.23</v>
      </c>
      <c r="S134" s="66">
        <v>62.575000000000003</v>
      </c>
      <c r="T134" s="46">
        <f t="shared" si="2"/>
        <v>40.543999999999997</v>
      </c>
      <c r="U134" s="46">
        <f t="shared" si="3"/>
        <v>4.9937378551787335</v>
      </c>
      <c r="V134" s="46">
        <f t="shared" si="4"/>
        <v>20.027450472614269</v>
      </c>
      <c r="W134" s="46">
        <f t="shared" si="5"/>
        <v>9.6243707550938868</v>
      </c>
      <c r="X134" s="33">
        <f t="shared" si="10"/>
        <v>-10.403079717520383</v>
      </c>
      <c r="Z134">
        <v>16</v>
      </c>
      <c r="AC134">
        <v>42.565100000000001</v>
      </c>
      <c r="AG134">
        <v>10.273999999999999</v>
      </c>
      <c r="AH134" s="66"/>
      <c r="AI134" s="46" t="e">
        <f t="shared" si="6"/>
        <v>#DIV/0!</v>
      </c>
      <c r="AJ134" s="46" t="e">
        <f t="shared" si="1"/>
        <v>#DIV/0!</v>
      </c>
      <c r="AK134" s="46">
        <f t="shared" si="7"/>
        <v>29.000944130815654</v>
      </c>
      <c r="AL134" s="46"/>
    </row>
    <row r="135" spans="1:38" x14ac:dyDescent="0.4">
      <c r="A135" s="48">
        <v>17</v>
      </c>
      <c r="B135">
        <v>57.92</v>
      </c>
      <c r="C135">
        <v>35.71</v>
      </c>
      <c r="D135">
        <v>230.61</v>
      </c>
      <c r="F135">
        <v>324.24</v>
      </c>
      <c r="K135">
        <v>17</v>
      </c>
      <c r="L135">
        <v>57.92</v>
      </c>
      <c r="M135">
        <v>35.71</v>
      </c>
      <c r="N135">
        <v>230.61</v>
      </c>
      <c r="O135">
        <v>110.12</v>
      </c>
      <c r="P135">
        <v>55</v>
      </c>
      <c r="Q135">
        <v>29.583367003367002</v>
      </c>
      <c r="R135">
        <v>35.6</v>
      </c>
      <c r="S135" s="66">
        <v>66.805000000000007</v>
      </c>
      <c r="T135" s="46">
        <f t="shared" si="2"/>
        <v>7.3716363636363633</v>
      </c>
      <c r="U135" s="46">
        <f t="shared" si="3"/>
        <v>8.4496805239089223</v>
      </c>
      <c r="V135" s="46">
        <f t="shared" si="4"/>
        <v>45.344662921348316</v>
      </c>
      <c r="W135" s="46">
        <f t="shared" si="5"/>
        <v>11.538657286131276</v>
      </c>
      <c r="X135" s="33">
        <f t="shared" si="10"/>
        <v>-33.806005635217041</v>
      </c>
      <c r="Z135">
        <v>17</v>
      </c>
      <c r="AC135">
        <v>37.124499999999998</v>
      </c>
      <c r="AG135">
        <v>13.530716</v>
      </c>
      <c r="AH135" s="66"/>
      <c r="AI135" s="46" t="e">
        <f t="shared" si="6"/>
        <v>#DIV/0!</v>
      </c>
      <c r="AJ135" s="46" t="e">
        <f t="shared" si="1"/>
        <v>#DIV/0!</v>
      </c>
      <c r="AK135" s="46">
        <f t="shared" si="7"/>
        <v>19.206042015810546</v>
      </c>
      <c r="AL135" s="46"/>
    </row>
    <row r="136" spans="1:38" x14ac:dyDescent="0.4">
      <c r="A136" s="48">
        <v>18</v>
      </c>
      <c r="B136">
        <v>65.16</v>
      </c>
      <c r="C136">
        <v>41.87</v>
      </c>
      <c r="D136">
        <v>256.5</v>
      </c>
      <c r="F136">
        <v>363.53</v>
      </c>
      <c r="K136">
        <v>18</v>
      </c>
      <c r="L136">
        <v>65.16</v>
      </c>
      <c r="M136">
        <v>41.87</v>
      </c>
      <c r="N136">
        <v>256.5</v>
      </c>
      <c r="O136">
        <v>108.919</v>
      </c>
      <c r="P136">
        <v>31.23</v>
      </c>
      <c r="Q136">
        <v>32.379207048458198</v>
      </c>
      <c r="R136">
        <v>48.13</v>
      </c>
      <c r="S136" s="66">
        <v>76.391000000000005</v>
      </c>
      <c r="T136" s="46">
        <f t="shared" si="2"/>
        <v>14.605187319884724</v>
      </c>
      <c r="U136" s="46">
        <f t="shared" si="3"/>
        <v>9.0517967151377796</v>
      </c>
      <c r="V136" s="46">
        <f t="shared" si="4"/>
        <v>37.305215042592977</v>
      </c>
      <c r="W136" s="46">
        <f t="shared" si="5"/>
        <v>9.9806652616145879</v>
      </c>
      <c r="X136" s="33">
        <f t="shared" si="10"/>
        <v>-27.324549780978387</v>
      </c>
      <c r="Z136">
        <v>18</v>
      </c>
      <c r="AC136">
        <v>35.265000000000001</v>
      </c>
      <c r="AG136">
        <v>11.9405</v>
      </c>
      <c r="AH136" s="66"/>
      <c r="AI136" s="46" t="e">
        <f t="shared" si="6"/>
        <v>#DIV/0!</v>
      </c>
      <c r="AJ136" s="46" t="e">
        <f t="shared" si="1"/>
        <v>#DIV/0!</v>
      </c>
      <c r="AK136" s="46">
        <f t="shared" si="7"/>
        <v>20.673757380344206</v>
      </c>
      <c r="AL136" s="46"/>
    </row>
    <row r="137" spans="1:38" x14ac:dyDescent="0.4">
      <c r="A137" s="48">
        <v>19</v>
      </c>
      <c r="B137">
        <v>52.19</v>
      </c>
      <c r="C137">
        <v>50</v>
      </c>
      <c r="D137">
        <v>244.27</v>
      </c>
      <c r="F137">
        <v>346.46</v>
      </c>
      <c r="K137">
        <v>19</v>
      </c>
      <c r="L137">
        <v>52.19</v>
      </c>
      <c r="M137">
        <v>50</v>
      </c>
      <c r="N137">
        <v>244.27</v>
      </c>
      <c r="O137">
        <v>102.70699999999999</v>
      </c>
      <c r="P137">
        <v>30.12</v>
      </c>
      <c r="Q137">
        <v>32.379207048458198</v>
      </c>
      <c r="R137">
        <v>61.62</v>
      </c>
      <c r="S137" s="66">
        <v>71.538499999999999</v>
      </c>
      <c r="T137" s="46">
        <f t="shared" si="2"/>
        <v>12.129150066401062</v>
      </c>
      <c r="U137" s="46">
        <f t="shared" si="3"/>
        <v>10.809406156123455</v>
      </c>
      <c r="V137" s="46">
        <f t="shared" si="4"/>
        <v>27.748945147679329</v>
      </c>
      <c r="W137" s="46">
        <f t="shared" si="5"/>
        <v>10.049819328054124</v>
      </c>
      <c r="X137" s="33">
        <f t="shared" si="10"/>
        <v>-17.699125819625205</v>
      </c>
      <c r="Z137">
        <v>19</v>
      </c>
      <c r="AC137">
        <v>32.534999999999997</v>
      </c>
      <c r="AG137">
        <v>11.3514</v>
      </c>
      <c r="AH137" s="66"/>
      <c r="AI137" s="46" t="e">
        <f t="shared" si="6"/>
        <v>#DIV/0!</v>
      </c>
      <c r="AJ137" s="46" t="e">
        <f t="shared" si="1"/>
        <v>#DIV/0!</v>
      </c>
      <c r="AK137" s="46">
        <f t="shared" si="7"/>
        <v>20.06316401501136</v>
      </c>
      <c r="AL137" s="46"/>
    </row>
    <row r="138" spans="1:38" x14ac:dyDescent="0.4">
      <c r="A138" s="48">
        <v>20</v>
      </c>
      <c r="B138">
        <v>64.040000000000006</v>
      </c>
      <c r="C138">
        <v>47</v>
      </c>
      <c r="D138">
        <v>230.21</v>
      </c>
      <c r="F138">
        <v>341.25</v>
      </c>
      <c r="K138">
        <v>20</v>
      </c>
      <c r="L138">
        <v>64.040000000000006</v>
      </c>
      <c r="M138">
        <v>47</v>
      </c>
      <c r="N138">
        <v>230.21</v>
      </c>
      <c r="O138">
        <v>114.01909999999999</v>
      </c>
      <c r="P138">
        <v>27.43</v>
      </c>
      <c r="Q138">
        <v>28.161585903083701</v>
      </c>
      <c r="R138">
        <v>66.900000000000006</v>
      </c>
      <c r="S138" s="66">
        <v>14.658899999999999</v>
      </c>
      <c r="T138" s="46">
        <f t="shared" si="2"/>
        <v>16.34269048487058</v>
      </c>
      <c r="U138" s="46">
        <f t="shared" si="3"/>
        <v>11.682580701677544</v>
      </c>
      <c r="V138" s="46">
        <f t="shared" si="4"/>
        <v>24.087742899850522</v>
      </c>
      <c r="W138" s="46">
        <f t="shared" si="5"/>
        <v>54.447039000197833</v>
      </c>
      <c r="X138" s="33">
        <f t="shared" si="10"/>
        <v>30.359296100347311</v>
      </c>
      <c r="Z138">
        <v>20</v>
      </c>
      <c r="AC138">
        <v>30.265799999999999</v>
      </c>
      <c r="AG138">
        <v>13.799982</v>
      </c>
      <c r="AH138" s="66"/>
      <c r="AI138" s="46" t="e">
        <f t="shared" si="6"/>
        <v>#DIV/0!</v>
      </c>
      <c r="AJ138" s="46" t="e">
        <f t="shared" si="1"/>
        <v>#DIV/0!</v>
      </c>
      <c r="AK138" s="46">
        <f t="shared" si="7"/>
        <v>15.352237415961845</v>
      </c>
      <c r="AL138" s="46"/>
    </row>
    <row r="139" spans="1:38" x14ac:dyDescent="0.4">
      <c r="A139" s="48">
        <v>21</v>
      </c>
      <c r="B139">
        <v>60.45</v>
      </c>
      <c r="C139">
        <v>57.16</v>
      </c>
      <c r="D139">
        <v>225.66</v>
      </c>
      <c r="F139">
        <v>343.27</v>
      </c>
      <c r="K139">
        <v>21</v>
      </c>
      <c r="L139">
        <v>60.45</v>
      </c>
      <c r="M139">
        <v>57.16</v>
      </c>
      <c r="N139">
        <v>225.66</v>
      </c>
      <c r="O139">
        <v>140.41399999999999</v>
      </c>
      <c r="P139">
        <v>28.06</v>
      </c>
      <c r="Q139">
        <v>28.161585903083701</v>
      </c>
      <c r="R139">
        <v>57.62</v>
      </c>
      <c r="S139" s="66">
        <v>34.204099999999997</v>
      </c>
      <c r="T139" s="46">
        <f t="shared" si="2"/>
        <v>15.080185317177479</v>
      </c>
      <c r="U139" s="46">
        <f t="shared" si="3"/>
        <v>14.208006657614645</v>
      </c>
      <c r="V139" s="46">
        <f t="shared" si="4"/>
        <v>27.414439430753212</v>
      </c>
      <c r="W139" s="46">
        <f t="shared" si="5"/>
        <v>28.736262611792156</v>
      </c>
      <c r="X139" s="33">
        <f t="shared" si="10"/>
        <v>1.321823181038944</v>
      </c>
      <c r="Z139">
        <v>21</v>
      </c>
      <c r="AC139">
        <v>28.5261</v>
      </c>
      <c r="AG139">
        <v>12.6716</v>
      </c>
      <c r="AH139" s="66"/>
      <c r="AI139" s="46" t="e">
        <f t="shared" si="6"/>
        <v>#DIV/0!</v>
      </c>
      <c r="AJ139" s="46" t="e">
        <f t="shared" si="1"/>
        <v>#DIV/0!</v>
      </c>
      <c r="AK139" s="46">
        <f t="shared" si="7"/>
        <v>15.758286246409293</v>
      </c>
      <c r="AL139" s="46"/>
    </row>
    <row r="140" spans="1:38" x14ac:dyDescent="0.4">
      <c r="A140" s="48">
        <v>22</v>
      </c>
      <c r="B140">
        <v>75.239999999999995</v>
      </c>
      <c r="C140">
        <v>44.73</v>
      </c>
      <c r="D140">
        <v>262.82</v>
      </c>
      <c r="F140">
        <v>382.79</v>
      </c>
      <c r="K140">
        <v>22</v>
      </c>
      <c r="L140">
        <v>75.239999999999995</v>
      </c>
      <c r="M140">
        <v>44.73</v>
      </c>
      <c r="N140">
        <v>262.82</v>
      </c>
      <c r="O140">
        <v>92.63</v>
      </c>
      <c r="P140">
        <v>24.58</v>
      </c>
      <c r="Q140">
        <v>25.169725343320799</v>
      </c>
      <c r="R140">
        <v>59.06</v>
      </c>
      <c r="S140" s="66">
        <v>56.847000000000001</v>
      </c>
      <c r="T140" s="46">
        <f t="shared" si="2"/>
        <v>21.427176566314078</v>
      </c>
      <c r="U140" s="46">
        <f t="shared" si="3"/>
        <v>12.439945042272337</v>
      </c>
      <c r="V140" s="46">
        <f t="shared" si="4"/>
        <v>31.150355570606163</v>
      </c>
      <c r="W140" s="46">
        <f t="shared" si="5"/>
        <v>11.40623075975865</v>
      </c>
      <c r="X140" s="33">
        <f t="shared" si="10"/>
        <v>-19.744124810847513</v>
      </c>
      <c r="Z140">
        <v>22</v>
      </c>
      <c r="AC140">
        <v>23.839600000000001</v>
      </c>
      <c r="AG140">
        <v>16.277699999999999</v>
      </c>
      <c r="AH140" s="66"/>
      <c r="AI140" s="46" t="e">
        <f t="shared" si="6"/>
        <v>#DIV/0!</v>
      </c>
      <c r="AJ140" s="46" t="e">
        <f t="shared" si="1"/>
        <v>#DIV/0!</v>
      </c>
      <c r="AK140" s="46">
        <f t="shared" si="7"/>
        <v>10.251890623368165</v>
      </c>
      <c r="AL140" s="46"/>
    </row>
    <row r="141" spans="1:38" x14ac:dyDescent="0.4">
      <c r="A141" s="48">
        <v>23</v>
      </c>
      <c r="B141">
        <v>71.83</v>
      </c>
      <c r="C141">
        <v>57.37</v>
      </c>
      <c r="D141">
        <v>253.35</v>
      </c>
      <c r="F141">
        <v>382.55</v>
      </c>
      <c r="K141">
        <v>23</v>
      </c>
      <c r="L141">
        <v>71.83</v>
      </c>
      <c r="M141">
        <v>57.37</v>
      </c>
      <c r="N141">
        <v>253.35</v>
      </c>
      <c r="O141">
        <v>70.989999999999995</v>
      </c>
      <c r="P141">
        <v>8</v>
      </c>
      <c r="Q141">
        <v>31.524419475655399</v>
      </c>
      <c r="R141">
        <v>66.209999999999994</v>
      </c>
      <c r="S141" s="66">
        <v>56.32</v>
      </c>
      <c r="T141" s="46">
        <f t="shared" si="2"/>
        <v>62.85125</v>
      </c>
      <c r="U141" s="46">
        <f t="shared" si="3"/>
        <v>12.739013332509616</v>
      </c>
      <c r="V141" s="46">
        <f t="shared" si="4"/>
        <v>26.785228817399187</v>
      </c>
      <c r="W141" s="46">
        <f t="shared" si="5"/>
        <v>8.8233309659090899</v>
      </c>
      <c r="X141" s="33">
        <f t="shared" si="10"/>
        <v>-17.961897851490097</v>
      </c>
      <c r="Z141">
        <v>23</v>
      </c>
      <c r="AC141">
        <v>26.4815</v>
      </c>
      <c r="AG141">
        <v>12.1959</v>
      </c>
      <c r="AH141" s="66"/>
      <c r="AI141" s="46" t="e">
        <f t="shared" si="6"/>
        <v>#DIV/0!</v>
      </c>
      <c r="AJ141" s="46" t="e">
        <f t="shared" si="1"/>
        <v>#DIV/0!</v>
      </c>
      <c r="AK141" s="46">
        <f t="shared" si="7"/>
        <v>15.199411277560493</v>
      </c>
      <c r="AL141" s="46"/>
    </row>
    <row r="142" spans="1:38" x14ac:dyDescent="0.4">
      <c r="A142" s="48">
        <v>24</v>
      </c>
      <c r="B142">
        <v>78.81</v>
      </c>
      <c r="C142">
        <v>49.28</v>
      </c>
      <c r="D142">
        <v>258.27</v>
      </c>
      <c r="F142">
        <v>386.36</v>
      </c>
      <c r="K142">
        <v>24</v>
      </c>
      <c r="L142">
        <v>78.81</v>
      </c>
      <c r="M142">
        <v>49.28</v>
      </c>
      <c r="N142">
        <v>258.27</v>
      </c>
      <c r="O142">
        <v>75.650000000000006</v>
      </c>
      <c r="P142">
        <v>21.44</v>
      </c>
      <c r="Q142">
        <v>29.808227215980001</v>
      </c>
      <c r="R142">
        <v>66.03</v>
      </c>
      <c r="S142" s="66">
        <v>45.814999999999998</v>
      </c>
      <c r="T142" s="46">
        <f t="shared" si="2"/>
        <v>25.73087686567164</v>
      </c>
      <c r="U142" s="46">
        <f t="shared" si="3"/>
        <v>11.572643938216801</v>
      </c>
      <c r="V142" s="46">
        <f t="shared" si="4"/>
        <v>27.379827351203996</v>
      </c>
      <c r="W142" s="46">
        <f t="shared" si="5"/>
        <v>11.55844155844156</v>
      </c>
      <c r="X142" s="33">
        <f t="shared" si="10"/>
        <v>-15.821385792762436</v>
      </c>
      <c r="Z142">
        <v>24</v>
      </c>
      <c r="AC142">
        <v>33.303400000000003</v>
      </c>
      <c r="AG142">
        <v>10.208600000000001</v>
      </c>
      <c r="AH142" s="66"/>
      <c r="AI142" s="46" t="e">
        <f t="shared" si="6"/>
        <v>#DIV/0!</v>
      </c>
      <c r="AJ142" s="46" t="e">
        <f t="shared" si="1"/>
        <v>#DIV/0!</v>
      </c>
      <c r="AK142" s="46">
        <f t="shared" si="7"/>
        <v>22.836020610073859</v>
      </c>
      <c r="AL142" s="46"/>
    </row>
    <row r="143" spans="1:38" x14ac:dyDescent="0.4">
      <c r="A143" s="48">
        <v>25</v>
      </c>
      <c r="B143">
        <v>84.59</v>
      </c>
      <c r="C143">
        <v>76.62</v>
      </c>
      <c r="D143">
        <v>245.29</v>
      </c>
      <c r="F143">
        <v>406.5</v>
      </c>
      <c r="K143">
        <v>25</v>
      </c>
      <c r="L143">
        <v>84.59</v>
      </c>
      <c r="M143">
        <v>76.62</v>
      </c>
      <c r="N143">
        <v>245.29</v>
      </c>
      <c r="O143">
        <v>93.745000000000005</v>
      </c>
      <c r="P143">
        <v>25</v>
      </c>
      <c r="Q143">
        <v>29.677640449438201</v>
      </c>
      <c r="R143">
        <v>59.67</v>
      </c>
      <c r="S143" s="66">
        <v>54.604999999999997</v>
      </c>
      <c r="T143" s="46">
        <f t="shared" si="2"/>
        <v>23.685199999999998</v>
      </c>
      <c r="U143" s="46">
        <f t="shared" si="3"/>
        <v>18.072191450454511</v>
      </c>
      <c r="V143" s="46">
        <f t="shared" si="4"/>
        <v>28.775431540137419</v>
      </c>
      <c r="W143" s="46">
        <f t="shared" si="5"/>
        <v>12.017489240912004</v>
      </c>
      <c r="X143" s="33">
        <f t="shared" si="10"/>
        <v>-16.757942299225412</v>
      </c>
      <c r="Z143">
        <v>25</v>
      </c>
      <c r="AC143">
        <v>29.984000000000002</v>
      </c>
      <c r="AG143">
        <v>12.6471</v>
      </c>
      <c r="AH143" s="66"/>
      <c r="AI143" s="46" t="e">
        <f t="shared" si="6"/>
        <v>#DIV/0!</v>
      </c>
      <c r="AJ143" s="46" t="e">
        <f t="shared" si="1"/>
        <v>#DIV/0!</v>
      </c>
      <c r="AK143" s="46">
        <f t="shared" si="7"/>
        <v>16.595741316191063</v>
      </c>
      <c r="AL143" s="46"/>
    </row>
    <row r="144" spans="1:38" x14ac:dyDescent="0.4">
      <c r="A144" s="48">
        <v>26</v>
      </c>
      <c r="B144">
        <v>91.81</v>
      </c>
      <c r="C144">
        <v>88.52</v>
      </c>
      <c r="D144">
        <v>257.45999999999998</v>
      </c>
      <c r="F144">
        <v>437.79</v>
      </c>
      <c r="K144">
        <v>26</v>
      </c>
      <c r="L144">
        <v>91.81</v>
      </c>
      <c r="M144">
        <v>88.52</v>
      </c>
      <c r="N144">
        <v>257.45999999999998</v>
      </c>
      <c r="O144">
        <v>102.744</v>
      </c>
      <c r="P144">
        <v>18.600000000000001</v>
      </c>
      <c r="Q144">
        <v>24.889987515605501</v>
      </c>
      <c r="R144">
        <v>57.25</v>
      </c>
      <c r="S144" s="66">
        <v>48.018999999999998</v>
      </c>
      <c r="T144" s="46">
        <f t="shared" si="2"/>
        <v>34.552150537634404</v>
      </c>
      <c r="U144" s="46">
        <f t="shared" si="3"/>
        <v>24.895151096861685</v>
      </c>
      <c r="V144" s="46">
        <f t="shared" si="4"/>
        <v>31.479825327510916</v>
      </c>
      <c r="W144" s="46">
        <f t="shared" si="5"/>
        <v>14.977571377996211</v>
      </c>
      <c r="X144" s="33">
        <f t="shared" si="10"/>
        <v>-16.502253949514703</v>
      </c>
      <c r="Z144">
        <v>26</v>
      </c>
      <c r="AC144">
        <v>34.271900000000002</v>
      </c>
      <c r="AG144">
        <v>15.9735</v>
      </c>
      <c r="AH144" s="66"/>
      <c r="AI144" s="46" t="e">
        <f t="shared" si="6"/>
        <v>#DIV/0!</v>
      </c>
      <c r="AJ144" s="46" t="e">
        <f t="shared" si="1"/>
        <v>#DIV/0!</v>
      </c>
      <c r="AK144" s="46">
        <f t="shared" si="7"/>
        <v>15.018831189157041</v>
      </c>
      <c r="AL144" s="46"/>
    </row>
    <row r="145" spans="1:38" x14ac:dyDescent="0.4">
      <c r="A145" s="48">
        <v>27</v>
      </c>
      <c r="B145">
        <v>83.45</v>
      </c>
      <c r="C145">
        <v>93.22</v>
      </c>
      <c r="D145">
        <v>273.05</v>
      </c>
      <c r="F145">
        <v>449.72</v>
      </c>
      <c r="K145">
        <v>27</v>
      </c>
      <c r="L145">
        <v>83.45</v>
      </c>
      <c r="M145">
        <v>93.22</v>
      </c>
      <c r="N145">
        <v>273.05</v>
      </c>
      <c r="O145">
        <v>123.298</v>
      </c>
      <c r="P145">
        <v>20.91</v>
      </c>
      <c r="Q145">
        <v>27.644106463878298</v>
      </c>
      <c r="R145">
        <v>52.33</v>
      </c>
      <c r="S145" s="66">
        <v>41.91</v>
      </c>
      <c r="T145" s="46">
        <f t="shared" si="2"/>
        <v>27.936394069823052</v>
      </c>
      <c r="U145" s="46">
        <f t="shared" si="3"/>
        <v>23.605031360035237</v>
      </c>
      <c r="V145" s="46">
        <f t="shared" si="4"/>
        <v>36.524937894133387</v>
      </c>
      <c r="W145" s="46">
        <f t="shared" si="5"/>
        <v>20.593796230016704</v>
      </c>
      <c r="X145" s="33">
        <f t="shared" si="10"/>
        <v>-15.931141664116684</v>
      </c>
      <c r="Z145">
        <v>27</v>
      </c>
      <c r="AC145">
        <v>30.349499999999999</v>
      </c>
      <c r="AG145">
        <v>10.2888</v>
      </c>
      <c r="AH145" s="66"/>
      <c r="AI145" s="46" t="e">
        <f t="shared" si="6"/>
        <v>#DIV/0!</v>
      </c>
      <c r="AJ145" s="46" t="e">
        <f t="shared" si="1"/>
        <v>#DIV/0!</v>
      </c>
      <c r="AK145" s="46">
        <f t="shared" si="7"/>
        <v>20.648326335432703</v>
      </c>
      <c r="AL145" s="46"/>
    </row>
    <row r="146" spans="1:38" x14ac:dyDescent="0.4">
      <c r="A146" s="48">
        <v>28</v>
      </c>
      <c r="B146">
        <v>76</v>
      </c>
      <c r="C146">
        <v>105.84</v>
      </c>
      <c r="F146">
        <v>181.84</v>
      </c>
      <c r="K146">
        <v>28</v>
      </c>
      <c r="L146">
        <v>76</v>
      </c>
      <c r="M146">
        <v>105.84</v>
      </c>
      <c r="N146">
        <v>276.26</v>
      </c>
      <c r="O146">
        <v>116.628</v>
      </c>
      <c r="P146">
        <v>14</v>
      </c>
      <c r="Q146">
        <v>28.087794676806102</v>
      </c>
      <c r="R146">
        <v>58.19</v>
      </c>
      <c r="S146" s="66">
        <v>43.56</v>
      </c>
      <c r="T146" s="46">
        <f t="shared" si="2"/>
        <v>38</v>
      </c>
      <c r="U146" s="46">
        <f t="shared" si="3"/>
        <v>26.377293359089965</v>
      </c>
      <c r="V146" s="46">
        <f t="shared" si="4"/>
        <v>33.232857879360715</v>
      </c>
      <c r="W146" s="46">
        <f t="shared" si="5"/>
        <v>18.741873278236916</v>
      </c>
      <c r="X146" s="33">
        <f t="shared" si="10"/>
        <v>-14.490984601123799</v>
      </c>
      <c r="Z146">
        <v>28</v>
      </c>
      <c r="AC146">
        <v>36.664700000000003</v>
      </c>
      <c r="AG146">
        <v>9.4580000000000002</v>
      </c>
      <c r="AH146" s="66"/>
      <c r="AI146" s="46" t="e">
        <f t="shared" si="6"/>
        <v>#DIV/0!</v>
      </c>
      <c r="AJ146" s="46" t="e">
        <f t="shared" si="1"/>
        <v>#DIV/0!</v>
      </c>
      <c r="AK146" s="46">
        <f t="shared" si="7"/>
        <v>27.136064707126245</v>
      </c>
      <c r="AL146" s="46"/>
    </row>
    <row r="147" spans="1:38" x14ac:dyDescent="0.4">
      <c r="A147" s="48">
        <v>29</v>
      </c>
      <c r="B147">
        <v>84.93</v>
      </c>
      <c r="C147">
        <v>106.47</v>
      </c>
      <c r="F147">
        <v>191.4</v>
      </c>
      <c r="K147">
        <v>29</v>
      </c>
      <c r="L147">
        <v>84.93</v>
      </c>
      <c r="M147">
        <v>106.47</v>
      </c>
      <c r="N147">
        <v>257.49</v>
      </c>
      <c r="O147">
        <v>134.87799999999999</v>
      </c>
      <c r="P147">
        <v>23.72</v>
      </c>
      <c r="Q147">
        <v>27.3969961977186</v>
      </c>
      <c r="R147">
        <v>57.56</v>
      </c>
      <c r="S147" s="66">
        <v>33.409999999999997</v>
      </c>
      <c r="T147" s="46">
        <f t="shared" si="2"/>
        <v>25.063659359190559</v>
      </c>
      <c r="U147" s="46">
        <f t="shared" si="3"/>
        <v>27.20334720716798</v>
      </c>
      <c r="V147" s="46">
        <f t="shared" si="4"/>
        <v>31.313933287004865</v>
      </c>
      <c r="W147" s="46">
        <f t="shared" si="5"/>
        <v>28.259383418138281</v>
      </c>
      <c r="X147" s="33">
        <f t="shared" si="10"/>
        <v>-3.0545498688665838</v>
      </c>
      <c r="Z147">
        <v>29</v>
      </c>
      <c r="AC147">
        <v>29.912400000000002</v>
      </c>
      <c r="AG147">
        <v>9.7506000000000004</v>
      </c>
      <c r="AH147" s="66"/>
      <c r="AI147" s="46" t="e">
        <f t="shared" si="6"/>
        <v>#DIV/0!</v>
      </c>
      <c r="AJ147" s="46" t="e">
        <f t="shared" si="1"/>
        <v>#DIV/0!</v>
      </c>
      <c r="AK147" s="46">
        <f t="shared" si="7"/>
        <v>21.474247738600702</v>
      </c>
      <c r="AL147" s="46"/>
    </row>
    <row r="148" spans="1:38" x14ac:dyDescent="0.4">
      <c r="A148" s="48">
        <v>30</v>
      </c>
      <c r="B148">
        <v>80.655000000000001</v>
      </c>
      <c r="C148">
        <v>114.08</v>
      </c>
      <c r="F148">
        <v>194.73500000000001</v>
      </c>
      <c r="K148">
        <v>30</v>
      </c>
      <c r="L148">
        <v>80.655000000000001</v>
      </c>
      <c r="M148">
        <v>114.08</v>
      </c>
      <c r="N148">
        <v>224.48</v>
      </c>
      <c r="O148">
        <v>113.001</v>
      </c>
      <c r="P148">
        <v>10</v>
      </c>
      <c r="Q148">
        <v>21.661102661596999</v>
      </c>
      <c r="R148">
        <v>67.59</v>
      </c>
      <c r="S148" s="66">
        <v>32.534999999999997</v>
      </c>
      <c r="T148" s="46">
        <f t="shared" si="2"/>
        <v>56.458500000000001</v>
      </c>
      <c r="U148" s="46">
        <f t="shared" si="3"/>
        <v>36.866082603254</v>
      </c>
      <c r="V148" s="46">
        <f t="shared" si="4"/>
        <v>23.248409528036689</v>
      </c>
      <c r="W148" s="46">
        <f t="shared" si="5"/>
        <v>24.312494236975567</v>
      </c>
      <c r="X148" s="33">
        <f t="shared" si="10"/>
        <v>1.0640847089388785</v>
      </c>
      <c r="Z148">
        <v>30</v>
      </c>
      <c r="AC148">
        <v>26.593499999999999</v>
      </c>
      <c r="AG148">
        <v>13.280799999999999</v>
      </c>
      <c r="AH148" s="66"/>
      <c r="AI148" s="46" t="e">
        <f t="shared" si="6"/>
        <v>#DIV/0!</v>
      </c>
      <c r="AJ148" s="46" t="e">
        <f t="shared" si="1"/>
        <v>#DIV/0!</v>
      </c>
      <c r="AK148" s="46">
        <f t="shared" si="7"/>
        <v>14.016813746159869</v>
      </c>
      <c r="AL148" s="46"/>
    </row>
    <row r="149" spans="1:38" x14ac:dyDescent="0.4">
      <c r="A149" s="48">
        <v>31</v>
      </c>
      <c r="B149">
        <v>76.38</v>
      </c>
      <c r="C149">
        <v>113.2102</v>
      </c>
      <c r="F149">
        <v>189.59020000000001</v>
      </c>
      <c r="K149">
        <v>31</v>
      </c>
      <c r="L149">
        <v>76.38</v>
      </c>
      <c r="M149">
        <v>113.2102</v>
      </c>
      <c r="N149">
        <v>211.29</v>
      </c>
      <c r="O149">
        <v>105.85599999999999</v>
      </c>
      <c r="P149">
        <v>27.7</v>
      </c>
      <c r="Q149">
        <v>21.661102661596999</v>
      </c>
      <c r="R149">
        <v>47.36</v>
      </c>
      <c r="S149" s="66">
        <v>29.603000000000002</v>
      </c>
      <c r="T149" s="46">
        <f t="shared" si="2"/>
        <v>19.301805054151625</v>
      </c>
      <c r="U149" s="46">
        <f t="shared" si="3"/>
        <v>36.584998112998818</v>
      </c>
      <c r="V149" s="46">
        <f t="shared" si="4"/>
        <v>31.229518581081081</v>
      </c>
      <c r="W149" s="46">
        <f t="shared" si="5"/>
        <v>25.03097659021045</v>
      </c>
      <c r="X149" s="33">
        <f t="shared" si="10"/>
        <v>-6.1985419908706305</v>
      </c>
      <c r="Z149">
        <v>31</v>
      </c>
      <c r="AC149">
        <v>26.511099999999999</v>
      </c>
      <c r="AG149">
        <v>12.1708</v>
      </c>
      <c r="AH149" s="66"/>
      <c r="AI149" s="46" t="e">
        <f t="shared" si="6"/>
        <v>#DIV/0!</v>
      </c>
      <c r="AJ149" s="46" t="e">
        <f t="shared" si="1"/>
        <v>#DIV/0!</v>
      </c>
      <c r="AK149" s="46">
        <f t="shared" si="7"/>
        <v>15.247781575574326</v>
      </c>
      <c r="AL149" s="46"/>
    </row>
    <row r="150" spans="1:38" x14ac:dyDescent="0.4">
      <c r="A150" s="48">
        <v>32</v>
      </c>
      <c r="B150">
        <v>77.11</v>
      </c>
      <c r="C150">
        <v>114.6002</v>
      </c>
      <c r="F150">
        <v>191.71019999999999</v>
      </c>
      <c r="K150">
        <v>32</v>
      </c>
      <c r="L150">
        <v>77.11</v>
      </c>
      <c r="M150">
        <v>114.6002</v>
      </c>
      <c r="N150">
        <v>191.03</v>
      </c>
      <c r="O150">
        <v>95.031999999999996</v>
      </c>
      <c r="P150">
        <v>29.76</v>
      </c>
      <c r="Q150">
        <v>26.7893280994439</v>
      </c>
      <c r="R150">
        <v>38.380000000000003</v>
      </c>
      <c r="S150" s="66">
        <v>36.637</v>
      </c>
      <c r="T150" s="46">
        <f t="shared" si="2"/>
        <v>18.137432795698924</v>
      </c>
      <c r="U150" s="46">
        <f t="shared" si="3"/>
        <v>29.944812240985332</v>
      </c>
      <c r="V150" s="46">
        <f t="shared" si="4"/>
        <v>34.841323606044817</v>
      </c>
      <c r="W150" s="46">
        <f t="shared" ref="W150" si="11">O150/S150*7</f>
        <v>18.157163523214233</v>
      </c>
      <c r="X150" s="33">
        <f t="shared" ref="X150" si="12">W150-V150</f>
        <v>-16.684160082830584</v>
      </c>
      <c r="Z150">
        <v>32</v>
      </c>
      <c r="AC150">
        <v>17.995200000000001</v>
      </c>
      <c r="AG150">
        <v>12.6882</v>
      </c>
      <c r="AH150" s="66"/>
      <c r="AI150" s="46" t="e">
        <f t="shared" si="6"/>
        <v>#DIV/0!</v>
      </c>
      <c r="AJ150" s="46" t="e">
        <f t="shared" si="1"/>
        <v>#DIV/0!</v>
      </c>
      <c r="AK150" s="46">
        <f t="shared" si="7"/>
        <v>9.9278384640847399</v>
      </c>
      <c r="AL150" s="46"/>
    </row>
    <row r="151" spans="1:38" x14ac:dyDescent="0.4">
      <c r="A151" s="48">
        <v>33</v>
      </c>
      <c r="B151">
        <v>55.59</v>
      </c>
      <c r="C151">
        <v>106.93</v>
      </c>
      <c r="F151">
        <v>162.52000000000001</v>
      </c>
      <c r="K151">
        <v>33</v>
      </c>
      <c r="L151">
        <v>55.59</v>
      </c>
      <c r="M151">
        <v>106.93</v>
      </c>
      <c r="N151">
        <v>198.19</v>
      </c>
      <c r="O151">
        <v>82.4</v>
      </c>
      <c r="P151">
        <v>32.99</v>
      </c>
      <c r="Q151">
        <v>28.163794569839698</v>
      </c>
      <c r="R151">
        <v>45.36</v>
      </c>
      <c r="S151" s="66">
        <v>35.051000000000002</v>
      </c>
      <c r="T151" s="46">
        <f t="shared" si="2"/>
        <v>11.795392543194907</v>
      </c>
      <c r="U151" s="46">
        <f t="shared" si="3"/>
        <v>26.577029531438608</v>
      </c>
      <c r="V151" s="46">
        <f t="shared" si="4"/>
        <v>30.584876543209873</v>
      </c>
      <c r="W151" s="46">
        <f t="shared" ref="W151" si="13">O151/S151*7</f>
        <v>16.456021226213231</v>
      </c>
      <c r="X151" s="33">
        <f t="shared" ref="X151" si="14">W151-V151</f>
        <v>-14.128855316996642</v>
      </c>
      <c r="Z151">
        <v>33</v>
      </c>
      <c r="AC151">
        <v>17.360600000000002</v>
      </c>
      <c r="AG151">
        <v>11.157999999999999</v>
      </c>
      <c r="AH151" s="66"/>
      <c r="AI151" s="46" t="e">
        <f t="shared" si="6"/>
        <v>#DIV/0!</v>
      </c>
      <c r="AJ151" s="46" t="e">
        <f t="shared" si="1"/>
        <v>#DIV/0!</v>
      </c>
      <c r="AK151" s="46">
        <f t="shared" si="7"/>
        <v>10.891217063989965</v>
      </c>
      <c r="AL151" s="46"/>
    </row>
    <row r="152" spans="1:38" x14ac:dyDescent="0.4">
      <c r="A152" s="48">
        <v>34</v>
      </c>
      <c r="B152">
        <v>50.08</v>
      </c>
      <c r="C152">
        <v>102.54</v>
      </c>
      <c r="F152">
        <v>152.62</v>
      </c>
      <c r="K152">
        <v>34</v>
      </c>
      <c r="L152">
        <v>50.08</v>
      </c>
      <c r="M152">
        <v>102.54</v>
      </c>
      <c r="N152">
        <v>190.59</v>
      </c>
      <c r="O152">
        <v>66.972999999999999</v>
      </c>
      <c r="P152">
        <v>31.79</v>
      </c>
      <c r="Q152">
        <v>20.537311089303198</v>
      </c>
      <c r="R152">
        <v>50.75</v>
      </c>
      <c r="S152" s="66">
        <v>36.894500000000001</v>
      </c>
      <c r="T152" s="46">
        <f t="shared" si="2"/>
        <v>11.027367096571249</v>
      </c>
      <c r="U152" s="46">
        <f t="shared" si="3"/>
        <v>34.950047592834764</v>
      </c>
      <c r="V152" s="46">
        <f t="shared" si="4"/>
        <v>26.288275862068964</v>
      </c>
      <c r="W152" s="46">
        <f t="shared" ref="W152" si="15">O152/S152*7</f>
        <v>12.706799116399463</v>
      </c>
      <c r="X152" s="33">
        <f t="shared" ref="X152" si="16">W152-V152</f>
        <v>-13.581476745669502</v>
      </c>
      <c r="Z152">
        <v>34</v>
      </c>
      <c r="AC152">
        <v>19.404800000000002</v>
      </c>
      <c r="AG152">
        <v>13.706799999999999</v>
      </c>
      <c r="AH152" s="66"/>
      <c r="AI152" s="46" t="e">
        <f t="shared" si="6"/>
        <v>#DIV/0!</v>
      </c>
      <c r="AJ152" s="46" t="e">
        <f t="shared" si="1"/>
        <v>#DIV/0!</v>
      </c>
      <c r="AK152" s="46">
        <f t="shared" si="7"/>
        <v>9.9099425102868661</v>
      </c>
      <c r="AL152" s="46"/>
    </row>
    <row r="153" spans="1:38" x14ac:dyDescent="0.4">
      <c r="A153" s="48">
        <v>35</v>
      </c>
      <c r="B153">
        <v>46.82</v>
      </c>
      <c r="C153">
        <v>94.45</v>
      </c>
      <c r="F153">
        <v>141.27000000000001</v>
      </c>
      <c r="K153">
        <v>35</v>
      </c>
      <c r="L153">
        <v>46.82</v>
      </c>
      <c r="M153">
        <v>94.45</v>
      </c>
      <c r="N153">
        <v>176.36099999999999</v>
      </c>
      <c r="O153">
        <v>66.86</v>
      </c>
      <c r="P153">
        <v>36.69</v>
      </c>
      <c r="Q153">
        <v>27.806463853451099</v>
      </c>
      <c r="R153">
        <v>58.069000000000003</v>
      </c>
      <c r="S153" s="66">
        <v>25.59</v>
      </c>
      <c r="T153" s="46">
        <f t="shared" si="2"/>
        <v>8.9326792041428185</v>
      </c>
      <c r="U153" s="46">
        <f t="shared" si="3"/>
        <v>23.776845681797965</v>
      </c>
      <c r="V153" s="46">
        <f t="shared" si="4"/>
        <v>21.25965661540581</v>
      </c>
      <c r="W153" s="46">
        <f t="shared" ref="W153" si="17">O153/S153*7</f>
        <v>18.289175459163737</v>
      </c>
      <c r="X153" s="33">
        <f t="shared" ref="X153" si="18">W153-V153</f>
        <v>-2.970481156242073</v>
      </c>
      <c r="Z153">
        <v>35</v>
      </c>
      <c r="AC153">
        <v>19.5808</v>
      </c>
      <c r="AG153">
        <v>15.5695</v>
      </c>
      <c r="AH153" s="66"/>
      <c r="AI153" s="46" t="e">
        <f t="shared" si="6"/>
        <v>#DIV/0!</v>
      </c>
      <c r="AJ153" s="46" t="e">
        <f t="shared" si="1"/>
        <v>#DIV/0!</v>
      </c>
      <c r="AK153" s="46">
        <f t="shared" si="7"/>
        <v>8.8034683194707597</v>
      </c>
      <c r="AL153" s="46"/>
    </row>
    <row r="154" spans="1:38" x14ac:dyDescent="0.4">
      <c r="A154" s="48">
        <v>36</v>
      </c>
      <c r="B154">
        <v>43.33</v>
      </c>
      <c r="C154">
        <v>99.58</v>
      </c>
      <c r="F154">
        <v>142.91</v>
      </c>
      <c r="K154">
        <v>36</v>
      </c>
      <c r="L154">
        <v>43.33</v>
      </c>
      <c r="M154">
        <v>99.58</v>
      </c>
      <c r="N154">
        <v>185.172</v>
      </c>
      <c r="P154">
        <v>27.09</v>
      </c>
      <c r="Q154">
        <v>24.291215469613299</v>
      </c>
      <c r="R154">
        <v>51.23</v>
      </c>
      <c r="S154" s="66"/>
      <c r="T154" s="46">
        <f t="shared" si="2"/>
        <v>11.196382428940568</v>
      </c>
      <c r="U154" s="46">
        <f t="shared" si="3"/>
        <v>28.695970396046089</v>
      </c>
      <c r="V154" s="46">
        <f t="shared" si="4"/>
        <v>25.301659184071834</v>
      </c>
      <c r="W154" s="46"/>
      <c r="Z154">
        <v>36</v>
      </c>
      <c r="AC154">
        <v>20.362400000000001</v>
      </c>
      <c r="AG154">
        <v>18.0808</v>
      </c>
      <c r="AH154" s="66"/>
      <c r="AI154" s="46" t="e">
        <f t="shared" si="6"/>
        <v>#DIV/0!</v>
      </c>
      <c r="AJ154" s="46" t="e">
        <f t="shared" si="1"/>
        <v>#DIV/0!</v>
      </c>
      <c r="AK154" s="46">
        <f t="shared" si="7"/>
        <v>7.8833237467368704</v>
      </c>
      <c r="AL154" s="46"/>
    </row>
    <row r="155" spans="1:38" x14ac:dyDescent="0.4">
      <c r="A155" s="48">
        <v>37</v>
      </c>
      <c r="B155">
        <v>45.2</v>
      </c>
      <c r="C155">
        <v>107.18</v>
      </c>
      <c r="F155">
        <v>152.38</v>
      </c>
      <c r="K155">
        <v>37</v>
      </c>
      <c r="L155">
        <v>45.2</v>
      </c>
      <c r="M155">
        <v>107.18</v>
      </c>
      <c r="N155">
        <v>178.08500000000001</v>
      </c>
      <c r="P155">
        <v>26.58</v>
      </c>
      <c r="Q155">
        <v>23.989226519336999</v>
      </c>
      <c r="R155">
        <v>43.807000000000002</v>
      </c>
      <c r="S155" s="66"/>
      <c r="T155" s="46">
        <f t="shared" si="2"/>
        <v>11.903686982693756</v>
      </c>
      <c r="U155" s="46">
        <f t="shared" si="3"/>
        <v>31.274872468073866</v>
      </c>
      <c r="V155" s="46">
        <f t="shared" si="4"/>
        <v>28.456525212865525</v>
      </c>
      <c r="W155" s="46"/>
      <c r="Z155">
        <v>37</v>
      </c>
      <c r="AC155">
        <v>13.6432</v>
      </c>
      <c r="AG155">
        <v>18.267800000000001</v>
      </c>
      <c r="AH155" s="66"/>
      <c r="AI155" s="46" t="e">
        <f t="shared" si="6"/>
        <v>#DIV/0!</v>
      </c>
      <c r="AJ155" s="46" t="e">
        <f t="shared" si="1"/>
        <v>#DIV/0!</v>
      </c>
      <c r="AK155" s="46">
        <f t="shared" si="7"/>
        <v>5.2279092173113337</v>
      </c>
      <c r="AL155" s="46"/>
    </row>
    <row r="156" spans="1:38" x14ac:dyDescent="0.4">
      <c r="A156" s="48">
        <v>38</v>
      </c>
      <c r="B156">
        <v>52.04</v>
      </c>
      <c r="C156">
        <v>95.281999999999996</v>
      </c>
      <c r="F156">
        <v>147.322</v>
      </c>
      <c r="K156">
        <v>38</v>
      </c>
      <c r="L156">
        <v>52.04</v>
      </c>
      <c r="M156">
        <v>95.281999999999996</v>
      </c>
      <c r="N156">
        <v>169.405</v>
      </c>
      <c r="P156">
        <v>26.88</v>
      </c>
      <c r="Q156">
        <v>21.710920810313102</v>
      </c>
      <c r="R156">
        <v>53.43</v>
      </c>
      <c r="S156" s="66"/>
      <c r="T156" s="46">
        <f t="shared" si="2"/>
        <v>13.552083333333334</v>
      </c>
      <c r="U156" s="46">
        <f t="shared" si="3"/>
        <v>30.720668451942149</v>
      </c>
      <c r="V156" s="46">
        <f t="shared" si="4"/>
        <v>22.194179300018714</v>
      </c>
      <c r="W156" s="46"/>
      <c r="Z156">
        <v>38</v>
      </c>
      <c r="AC156">
        <v>9.3170999999999999</v>
      </c>
      <c r="AG156">
        <v>12.411899999999999</v>
      </c>
      <c r="AH156" s="66"/>
      <c r="AI156" s="46" t="e">
        <f t="shared" si="6"/>
        <v>#DIV/0!</v>
      </c>
      <c r="AJ156" s="46" t="e">
        <f t="shared" si="1"/>
        <v>#DIV/0!</v>
      </c>
      <c r="AK156" s="46">
        <f t="shared" si="7"/>
        <v>5.2546104947671193</v>
      </c>
      <c r="AL156" s="46"/>
    </row>
    <row r="157" spans="1:38" x14ac:dyDescent="0.4">
      <c r="A157" s="48">
        <v>39</v>
      </c>
      <c r="B157">
        <v>47.18</v>
      </c>
      <c r="C157">
        <v>91.01</v>
      </c>
      <c r="F157">
        <v>138.19</v>
      </c>
      <c r="K157">
        <v>39</v>
      </c>
      <c r="L157">
        <v>47.18</v>
      </c>
      <c r="M157">
        <v>91.01</v>
      </c>
      <c r="N157">
        <v>150.41</v>
      </c>
      <c r="P157">
        <v>29.18</v>
      </c>
      <c r="Q157">
        <v>23.518637200736599</v>
      </c>
      <c r="R157">
        <v>50.664999999999999</v>
      </c>
      <c r="S157" s="66"/>
      <c r="T157" s="46">
        <f t="shared" si="2"/>
        <v>11.318026045236463</v>
      </c>
      <c r="U157" s="46">
        <f t="shared" si="3"/>
        <v>27.087879053640368</v>
      </c>
      <c r="V157" s="46">
        <f t="shared" si="4"/>
        <v>20.781012533307017</v>
      </c>
      <c r="W157" s="46"/>
      <c r="Z157">
        <v>39</v>
      </c>
      <c r="AC157">
        <v>9.4146000000000001</v>
      </c>
      <c r="AG157">
        <v>25.1096</v>
      </c>
      <c r="AH157" s="66"/>
      <c r="AI157" s="46" t="e">
        <f t="shared" si="6"/>
        <v>#DIV/0!</v>
      </c>
      <c r="AJ157" s="46" t="e">
        <f t="shared" si="1"/>
        <v>#DIV/0!</v>
      </c>
      <c r="AK157" s="46">
        <f t="shared" si="7"/>
        <v>2.6245818332430626</v>
      </c>
      <c r="AL157" s="46"/>
    </row>
    <row r="158" spans="1:38" x14ac:dyDescent="0.4">
      <c r="A158" s="48">
        <v>40</v>
      </c>
      <c r="B158">
        <v>45.53</v>
      </c>
      <c r="C158">
        <v>94.28</v>
      </c>
      <c r="F158">
        <v>139.81</v>
      </c>
      <c r="K158">
        <v>40</v>
      </c>
      <c r="L158">
        <v>45.53</v>
      </c>
      <c r="M158">
        <v>94.28</v>
      </c>
      <c r="N158">
        <v>135.61500000000001</v>
      </c>
      <c r="P158">
        <v>26.43</v>
      </c>
      <c r="Q158">
        <v>21.845172413793101</v>
      </c>
      <c r="R158">
        <v>41.695</v>
      </c>
      <c r="S158" s="66"/>
      <c r="T158" s="46">
        <f t="shared" si="2"/>
        <v>12.058645478622777</v>
      </c>
      <c r="U158" s="46">
        <f t="shared" si="3"/>
        <v>30.210793831194458</v>
      </c>
      <c r="V158" s="46">
        <f t="shared" si="4"/>
        <v>22.767837870248233</v>
      </c>
      <c r="W158" s="46"/>
      <c r="Z158">
        <v>40</v>
      </c>
      <c r="AC158">
        <v>18.003</v>
      </c>
      <c r="AG158">
        <v>14.035299999999999</v>
      </c>
      <c r="AH158" s="66"/>
      <c r="AI158" s="46" t="e">
        <f t="shared" si="6"/>
        <v>#DIV/0!</v>
      </c>
      <c r="AJ158" s="46" t="e">
        <f t="shared" si="1"/>
        <v>#DIV/0!</v>
      </c>
      <c r="AK158" s="46">
        <f t="shared" si="7"/>
        <v>8.9788604447357727</v>
      </c>
      <c r="AL158" s="46"/>
    </row>
    <row r="159" spans="1:38" x14ac:dyDescent="0.4">
      <c r="A159" s="48">
        <v>41</v>
      </c>
      <c r="B159">
        <v>36.76</v>
      </c>
      <c r="C159">
        <v>89.29</v>
      </c>
      <c r="F159">
        <v>126.05</v>
      </c>
      <c r="K159">
        <v>41</v>
      </c>
      <c r="L159">
        <v>36.76</v>
      </c>
      <c r="M159">
        <v>89.29</v>
      </c>
      <c r="N159">
        <v>157.11600000000001</v>
      </c>
      <c r="P159">
        <v>22.49</v>
      </c>
      <c r="Q159">
        <v>26.667822141560801</v>
      </c>
      <c r="R159">
        <v>45.298999999999999</v>
      </c>
      <c r="S159" s="66"/>
      <c r="T159" s="46">
        <f t="shared" si="2"/>
        <v>11.441529568697199</v>
      </c>
      <c r="U159" s="46">
        <f t="shared" si="3"/>
        <v>23.437609441151707</v>
      </c>
      <c r="V159" s="46">
        <f t="shared" si="4"/>
        <v>24.278946555111595</v>
      </c>
      <c r="W159" s="46"/>
      <c r="Z159">
        <v>41</v>
      </c>
      <c r="AC159">
        <v>22.662400000000002</v>
      </c>
      <c r="AG159">
        <v>18.564411</v>
      </c>
      <c r="AH159" s="66"/>
      <c r="AI159" s="46" t="e">
        <f t="shared" si="6"/>
        <v>#DIV/0!</v>
      </c>
      <c r="AJ159" s="46" t="e">
        <f t="shared" si="1"/>
        <v>#DIV/0!</v>
      </c>
      <c r="AK159" s="46">
        <f t="shared" si="7"/>
        <v>8.5452105105839351</v>
      </c>
      <c r="AL159" s="46"/>
    </row>
    <row r="160" spans="1:38" x14ac:dyDescent="0.4">
      <c r="A160" s="48">
        <v>42</v>
      </c>
      <c r="B160">
        <v>52.31</v>
      </c>
      <c r="C160">
        <v>95.96</v>
      </c>
      <c r="F160">
        <v>148.27000000000001</v>
      </c>
      <c r="K160">
        <v>42</v>
      </c>
      <c r="L160">
        <v>52.31</v>
      </c>
      <c r="M160">
        <v>95.96</v>
      </c>
      <c r="N160">
        <v>149.9</v>
      </c>
      <c r="P160">
        <v>15.33</v>
      </c>
      <c r="Q160">
        <v>19.686624319419199</v>
      </c>
      <c r="R160">
        <v>39.54</v>
      </c>
      <c r="S160" s="66"/>
      <c r="T160" s="46">
        <f t="shared" si="2"/>
        <v>23.885844748858446</v>
      </c>
      <c r="U160" s="46">
        <f t="shared" si="3"/>
        <v>34.120628763022857</v>
      </c>
      <c r="V160" s="46">
        <f t="shared" si="4"/>
        <v>26.537683358624179</v>
      </c>
      <c r="W160" s="46"/>
      <c r="Z160">
        <v>42</v>
      </c>
      <c r="AC160">
        <v>38.389334900000001</v>
      </c>
      <c r="AG160">
        <v>14.500415200000001</v>
      </c>
      <c r="AH160" s="66"/>
      <c r="AI160" s="46" t="e">
        <f t="shared" si="6"/>
        <v>#DIV/0!</v>
      </c>
      <c r="AJ160" s="46" t="e">
        <f t="shared" si="1"/>
        <v>#DIV/0!</v>
      </c>
      <c r="AK160" s="46">
        <f t="shared" si="7"/>
        <v>18.532251704075343</v>
      </c>
      <c r="AL160" s="46"/>
    </row>
    <row r="161" spans="1:38" x14ac:dyDescent="0.4">
      <c r="A161" s="48">
        <v>43</v>
      </c>
      <c r="B161">
        <v>52.02</v>
      </c>
      <c r="C161">
        <v>93.71</v>
      </c>
      <c r="F161">
        <v>145.72999999999999</v>
      </c>
      <c r="K161">
        <v>43</v>
      </c>
      <c r="L161">
        <v>52.02</v>
      </c>
      <c r="M161">
        <v>93.71</v>
      </c>
      <c r="N161">
        <v>146.17099999999999</v>
      </c>
      <c r="P161">
        <v>19.59</v>
      </c>
      <c r="Q161">
        <v>17.020381125226901</v>
      </c>
      <c r="R161">
        <v>50.698999999999998</v>
      </c>
      <c r="S161" s="66"/>
      <c r="T161" s="46">
        <f t="shared" si="2"/>
        <v>18.588055130168456</v>
      </c>
      <c r="U161" s="46">
        <f t="shared" si="3"/>
        <v>38.540265060677669</v>
      </c>
      <c r="V161" s="46">
        <f t="shared" si="4"/>
        <v>20.181798457563268</v>
      </c>
      <c r="W161" s="46"/>
      <c r="Z161">
        <v>43</v>
      </c>
      <c r="AC161">
        <v>38.509603499999997</v>
      </c>
      <c r="AG161">
        <v>17.109237700000001</v>
      </c>
      <c r="AH161" s="66"/>
      <c r="AI161" s="46" t="e">
        <f t="shared" si="6"/>
        <v>#DIV/0!</v>
      </c>
      <c r="AJ161" s="46" t="e">
        <f t="shared" si="1"/>
        <v>#DIV/0!</v>
      </c>
      <c r="AK161" s="46">
        <f t="shared" si="7"/>
        <v>15.755653713315349</v>
      </c>
      <c r="AL161" s="46"/>
    </row>
    <row r="162" spans="1:38" x14ac:dyDescent="0.4">
      <c r="A162" s="48">
        <v>44</v>
      </c>
      <c r="B162">
        <v>55.06</v>
      </c>
      <c r="C162">
        <v>85.24</v>
      </c>
      <c r="F162">
        <v>140.30000000000001</v>
      </c>
      <c r="K162">
        <v>44</v>
      </c>
      <c r="L162">
        <v>55.06</v>
      </c>
      <c r="M162">
        <v>85.24</v>
      </c>
      <c r="N162">
        <v>126.905</v>
      </c>
      <c r="P162">
        <v>16.25</v>
      </c>
      <c r="Q162">
        <v>19.357084398977001</v>
      </c>
      <c r="R162">
        <v>36.371000000000002</v>
      </c>
      <c r="S162" s="66"/>
      <c r="T162" s="46">
        <f t="shared" si="2"/>
        <v>23.718153846153847</v>
      </c>
      <c r="U162" s="46">
        <f t="shared" si="3"/>
        <v>30.824890138492847</v>
      </c>
      <c r="V162" s="46">
        <f t="shared" si="4"/>
        <v>24.42426658601633</v>
      </c>
      <c r="W162" s="46"/>
      <c r="Z162">
        <v>44</v>
      </c>
      <c r="AC162">
        <v>38.208201299999999</v>
      </c>
      <c r="AG162">
        <v>16.0502602</v>
      </c>
      <c r="AH162" s="66"/>
      <c r="AI162" s="46" t="e">
        <f t="shared" si="6"/>
        <v>#DIV/0!</v>
      </c>
      <c r="AJ162" s="46" t="e">
        <f t="shared" si="1"/>
        <v>#DIV/0!</v>
      </c>
      <c r="AK162" s="46">
        <f t="shared" si="7"/>
        <v>16.663742878137267</v>
      </c>
      <c r="AL162" s="46"/>
    </row>
    <row r="163" spans="1:38" x14ac:dyDescent="0.4">
      <c r="A163" s="48">
        <v>45</v>
      </c>
      <c r="B163">
        <v>48.51</v>
      </c>
      <c r="C163">
        <v>70.959999999999994</v>
      </c>
      <c r="F163">
        <v>119.47</v>
      </c>
      <c r="K163">
        <v>45</v>
      </c>
      <c r="L163">
        <v>48.51</v>
      </c>
      <c r="M163">
        <v>70.959999999999994</v>
      </c>
      <c r="N163">
        <v>104.854</v>
      </c>
      <c r="P163">
        <v>19.52</v>
      </c>
      <c r="Q163">
        <v>21.739335038363201</v>
      </c>
      <c r="R163">
        <v>50.545999999999999</v>
      </c>
      <c r="S163" s="66"/>
      <c r="T163" s="46">
        <f t="shared" si="2"/>
        <v>17.396004098360656</v>
      </c>
      <c r="U163" s="46">
        <f t="shared" si="3"/>
        <v>22.848904951482776</v>
      </c>
      <c r="V163" s="46">
        <f t="shared" si="4"/>
        <v>14.520990780675028</v>
      </c>
      <c r="W163" s="46"/>
      <c r="Z163">
        <v>45</v>
      </c>
      <c r="AC163">
        <v>30.926812399999999</v>
      </c>
      <c r="AG163">
        <v>21.607846200000001</v>
      </c>
      <c r="AH163" s="66"/>
      <c r="AI163" s="46" t="e">
        <f t="shared" si="6"/>
        <v>#DIV/0!</v>
      </c>
      <c r="AJ163" s="46" t="e">
        <f t="shared" si="1"/>
        <v>#DIV/0!</v>
      </c>
      <c r="AK163" s="46">
        <f t="shared" si="7"/>
        <v>10.018938713105056</v>
      </c>
      <c r="AL163" s="46"/>
    </row>
    <row r="164" spans="1:38" x14ac:dyDescent="0.4">
      <c r="A164" s="48">
        <v>46</v>
      </c>
      <c r="B164">
        <v>40.020000000000003</v>
      </c>
      <c r="C164">
        <v>56.47</v>
      </c>
      <c r="F164">
        <v>96.49</v>
      </c>
      <c r="K164">
        <v>46</v>
      </c>
      <c r="L164">
        <v>40.020000000000003</v>
      </c>
      <c r="M164">
        <v>56.47</v>
      </c>
      <c r="N164">
        <v>106.88</v>
      </c>
      <c r="P164">
        <v>22.93</v>
      </c>
      <c r="Q164">
        <v>19.928005115089501</v>
      </c>
      <c r="R164">
        <v>45.4</v>
      </c>
      <c r="S164" s="66"/>
      <c r="T164" s="46">
        <f t="shared" si="2"/>
        <v>12.217182730047973</v>
      </c>
      <c r="U164" s="46">
        <f t="shared" si="3"/>
        <v>19.835904181933699</v>
      </c>
      <c r="V164" s="46">
        <f t="shared" si="4"/>
        <v>16.479295154185021</v>
      </c>
      <c r="W164" s="46"/>
      <c r="Z164">
        <v>46</v>
      </c>
      <c r="AC164">
        <v>20.3881306</v>
      </c>
      <c r="AG164">
        <v>23.6357766</v>
      </c>
      <c r="AH164" s="66"/>
      <c r="AI164" s="46" t="e">
        <f t="shared" si="6"/>
        <v>#DIV/0!</v>
      </c>
      <c r="AJ164" s="46" t="e">
        <f t="shared" si="1"/>
        <v>#DIV/0!</v>
      </c>
      <c r="AK164" s="46">
        <f t="shared" si="7"/>
        <v>6.0381732580769105</v>
      </c>
      <c r="AL164" s="46"/>
    </row>
    <row r="165" spans="1:38" x14ac:dyDescent="0.4">
      <c r="A165" s="48">
        <v>47</v>
      </c>
      <c r="B165">
        <v>38.54</v>
      </c>
      <c r="C165">
        <v>46.94</v>
      </c>
      <c r="F165">
        <v>85.48</v>
      </c>
      <c r="K165">
        <v>47</v>
      </c>
      <c r="L165">
        <v>38.54</v>
      </c>
      <c r="M165">
        <v>46.94</v>
      </c>
      <c r="N165">
        <v>101.256</v>
      </c>
      <c r="P165">
        <v>21.61</v>
      </c>
      <c r="Q165">
        <v>21.076879795396401</v>
      </c>
      <c r="R165">
        <v>53.335000000000001</v>
      </c>
      <c r="S165" s="66"/>
      <c r="T165" s="46">
        <f t="shared" si="2"/>
        <v>12.484035168903285</v>
      </c>
      <c r="U165" s="46">
        <f t="shared" si="3"/>
        <v>15.589594057075194</v>
      </c>
      <c r="V165" s="46">
        <f t="shared" si="4"/>
        <v>13.289434705165462</v>
      </c>
      <c r="W165" s="46"/>
      <c r="Z165">
        <v>47</v>
      </c>
      <c r="AC165">
        <v>4.9530006999999996</v>
      </c>
      <c r="AG165">
        <v>18.5323849</v>
      </c>
      <c r="AH165" s="66"/>
      <c r="AI165" s="46" t="e">
        <f t="shared" si="6"/>
        <v>#DIV/0!</v>
      </c>
      <c r="AJ165" s="46" t="e">
        <f t="shared" si="1"/>
        <v>#DIV/0!</v>
      </c>
      <c r="AK165" s="46">
        <f t="shared" si="7"/>
        <v>1.8708334133509172</v>
      </c>
      <c r="AL165" s="46"/>
    </row>
    <row r="166" spans="1:38" x14ac:dyDescent="0.4">
      <c r="A166" s="48">
        <v>48</v>
      </c>
      <c r="B166">
        <v>31.01</v>
      </c>
      <c r="C166">
        <v>39.08</v>
      </c>
      <c r="F166">
        <v>70.09</v>
      </c>
      <c r="K166">
        <v>48</v>
      </c>
      <c r="L166">
        <v>31.01</v>
      </c>
      <c r="M166">
        <v>39.08</v>
      </c>
      <c r="N166">
        <v>96.972999999999999</v>
      </c>
      <c r="P166">
        <v>18.22</v>
      </c>
      <c r="Q166">
        <v>26.958695652173901</v>
      </c>
      <c r="R166">
        <v>46.863</v>
      </c>
      <c r="S166" s="66"/>
      <c r="T166" s="46">
        <f t="shared" si="2"/>
        <v>11.913830954994513</v>
      </c>
      <c r="U166" s="46">
        <f t="shared" si="3"/>
        <v>10.147375211676481</v>
      </c>
      <c r="V166" s="46">
        <f t="shared" si="4"/>
        <v>14.485009495764249</v>
      </c>
      <c r="W166" s="46"/>
      <c r="Z166">
        <v>48</v>
      </c>
      <c r="AC166">
        <v>12.552589599999999</v>
      </c>
      <c r="AG166">
        <v>8.5260630000000006</v>
      </c>
      <c r="AH166" s="66"/>
      <c r="AI166" s="46" t="e">
        <f t="shared" si="6"/>
        <v>#DIV/0!</v>
      </c>
      <c r="AJ166" s="46" t="e">
        <f t="shared" si="1"/>
        <v>#DIV/0!</v>
      </c>
      <c r="AK166" s="46">
        <f t="shared" si="7"/>
        <v>10.305826640033036</v>
      </c>
      <c r="AL166" s="46"/>
    </row>
    <row r="167" spans="1:38" x14ac:dyDescent="0.4">
      <c r="A167" s="48">
        <v>49</v>
      </c>
      <c r="B167">
        <v>31.74</v>
      </c>
      <c r="C167">
        <v>44.7</v>
      </c>
      <c r="F167">
        <v>76.44</v>
      </c>
      <c r="K167">
        <v>49</v>
      </c>
      <c r="L167">
        <v>31.74</v>
      </c>
      <c r="M167">
        <v>44.7</v>
      </c>
      <c r="N167">
        <v>85.346000000000004</v>
      </c>
      <c r="P167">
        <v>15.47</v>
      </c>
      <c r="Q167">
        <v>22.998947368421099</v>
      </c>
      <c r="R167">
        <v>51.057000000000002</v>
      </c>
      <c r="S167" s="66"/>
      <c r="T167" s="46">
        <f t="shared" si="2"/>
        <v>14.361990950226243</v>
      </c>
      <c r="U167" s="46">
        <f t="shared" si="3"/>
        <v>13.604970479198107</v>
      </c>
      <c r="V167" s="46">
        <f t="shared" si="4"/>
        <v>11.701079186007796</v>
      </c>
      <c r="W167" s="46"/>
      <c r="Z167">
        <v>49</v>
      </c>
      <c r="AC167">
        <v>2.6092485999999999</v>
      </c>
      <c r="AG167">
        <v>13.137345699999999</v>
      </c>
      <c r="AH167" s="66"/>
      <c r="AI167" s="46" t="e">
        <f t="shared" si="6"/>
        <v>#DIV/0!</v>
      </c>
      <c r="AJ167" s="46" t="e">
        <f t="shared" si="1"/>
        <v>#DIV/0!</v>
      </c>
      <c r="AK167" s="46">
        <f t="shared" si="7"/>
        <v>1.3902915107120917</v>
      </c>
      <c r="AL167" s="46"/>
    </row>
    <row r="168" spans="1:38" x14ac:dyDescent="0.4">
      <c r="A168" s="48">
        <v>50</v>
      </c>
      <c r="B168">
        <v>34.5</v>
      </c>
      <c r="C168">
        <v>50.03</v>
      </c>
      <c r="F168">
        <v>84.53</v>
      </c>
      <c r="K168">
        <v>50</v>
      </c>
      <c r="L168">
        <v>34.5</v>
      </c>
      <c r="M168">
        <v>50.03</v>
      </c>
      <c r="N168">
        <v>60.482999999999997</v>
      </c>
      <c r="P168">
        <v>22.67</v>
      </c>
      <c r="Q168">
        <v>30.893421052631599</v>
      </c>
      <c r="R168">
        <v>50.133000000000003</v>
      </c>
      <c r="S168" s="66"/>
      <c r="T168" s="46">
        <f t="shared" si="2"/>
        <v>10.652845169827966</v>
      </c>
      <c r="U168" s="46">
        <f t="shared" si="3"/>
        <v>11.336070531112902</v>
      </c>
      <c r="V168" s="46">
        <f t="shared" si="4"/>
        <v>8.4451558853449811</v>
      </c>
      <c r="W168" s="46"/>
      <c r="Z168">
        <v>50</v>
      </c>
      <c r="AC168">
        <v>10.113944999999999</v>
      </c>
      <c r="AG168">
        <v>8.2280376000000004</v>
      </c>
      <c r="AH168" s="66"/>
      <c r="AI168" s="46" t="e">
        <f t="shared" si="6"/>
        <v>#DIV/0!</v>
      </c>
      <c r="AJ168" s="46" t="e">
        <f t="shared" si="1"/>
        <v>#DIV/0!</v>
      </c>
      <c r="AK168" s="46">
        <f t="shared" si="7"/>
        <v>8.6044350356396038</v>
      </c>
      <c r="AL168" s="46"/>
    </row>
    <row r="169" spans="1:38" x14ac:dyDescent="0.4">
      <c r="A169" s="48">
        <v>51</v>
      </c>
      <c r="B169">
        <v>25.34</v>
      </c>
      <c r="C169">
        <v>48.63</v>
      </c>
      <c r="F169">
        <v>73.97</v>
      </c>
      <c r="K169">
        <v>51</v>
      </c>
      <c r="L169">
        <v>25.34</v>
      </c>
      <c r="M169">
        <v>48.63</v>
      </c>
      <c r="N169">
        <v>49.107999999999997</v>
      </c>
      <c r="P169">
        <v>24.67</v>
      </c>
      <c r="Q169">
        <v>30.226315789473698</v>
      </c>
      <c r="R169">
        <v>29.155000000000001</v>
      </c>
      <c r="S169" s="66"/>
      <c r="T169" s="46">
        <f t="shared" si="2"/>
        <v>7.1901094446696385</v>
      </c>
      <c r="U169" s="46">
        <f t="shared" si="3"/>
        <v>11.262040745255089</v>
      </c>
      <c r="V169" s="46">
        <f t="shared" si="4"/>
        <v>11.7906362545018</v>
      </c>
      <c r="W169" s="46"/>
      <c r="Z169">
        <v>51</v>
      </c>
      <c r="AC169">
        <v>15.045189799999999</v>
      </c>
      <c r="AG169">
        <v>8.3156035999999993</v>
      </c>
      <c r="AH169" s="66"/>
      <c r="AI169" s="46" t="e">
        <f t="shared" si="6"/>
        <v>#DIV/0!</v>
      </c>
      <c r="AJ169" s="46" t="e">
        <f t="shared" si="1"/>
        <v>#DIV/0!</v>
      </c>
      <c r="AK169" s="46">
        <f t="shared" si="7"/>
        <v>12.664904878342206</v>
      </c>
      <c r="AL169" s="46"/>
    </row>
    <row r="170" spans="1:38" x14ac:dyDescent="0.4">
      <c r="A170" s="48">
        <v>52</v>
      </c>
      <c r="B170">
        <v>42.15</v>
      </c>
      <c r="C170">
        <v>48.23</v>
      </c>
      <c r="F170">
        <v>90.38</v>
      </c>
      <c r="K170">
        <v>52</v>
      </c>
      <c r="L170">
        <v>42.15</v>
      </c>
      <c r="M170">
        <v>48.23</v>
      </c>
      <c r="N170">
        <v>43.64</v>
      </c>
      <c r="P170">
        <v>24.67</v>
      </c>
      <c r="Q170">
        <v>39.601315789473702</v>
      </c>
      <c r="R170">
        <v>51.857999999999997</v>
      </c>
      <c r="S170" s="66"/>
      <c r="T170" s="46">
        <f t="shared" si="2"/>
        <v>11.959870287798946</v>
      </c>
      <c r="U170" s="46">
        <f t="shared" si="3"/>
        <v>8.5252217829019461</v>
      </c>
      <c r="V170" s="46">
        <f t="shared" si="4"/>
        <v>5.8907015311041695</v>
      </c>
      <c r="W170" s="46"/>
      <c r="AH170" s="66"/>
      <c r="AI170" s="46"/>
      <c r="AJ170" s="46"/>
      <c r="AK170" s="46"/>
      <c r="AL170" s="46"/>
    </row>
    <row r="171" spans="1:38" x14ac:dyDescent="0.4">
      <c r="A171" s="48" t="s">
        <v>45</v>
      </c>
      <c r="E171">
        <v>44.71</v>
      </c>
      <c r="F171">
        <v>44.71</v>
      </c>
      <c r="K171">
        <v>53</v>
      </c>
      <c r="L171">
        <v>36.25</v>
      </c>
      <c r="M171">
        <v>30.22</v>
      </c>
      <c r="N171">
        <v>43.64</v>
      </c>
      <c r="P171">
        <v>24.42</v>
      </c>
      <c r="Q171">
        <v>40</v>
      </c>
      <c r="R171">
        <v>49.055599999999998</v>
      </c>
      <c r="S171" s="66"/>
      <c r="T171" s="46">
        <f t="shared" si="2"/>
        <v>10.39107289107289</v>
      </c>
      <c r="U171" s="46">
        <f t="shared" si="3"/>
        <v>5.2885</v>
      </c>
      <c r="V171" s="46">
        <f t="shared" si="4"/>
        <v>6.2272197261882436</v>
      </c>
      <c r="W171" s="46"/>
      <c r="AH171" s="66"/>
      <c r="AI171" s="46"/>
      <c r="AJ171" s="46"/>
      <c r="AK171" s="46"/>
      <c r="AL171" s="46"/>
    </row>
    <row r="172" spans="1:38" x14ac:dyDescent="0.4">
      <c r="A172" s="48" t="s">
        <v>23</v>
      </c>
      <c r="B172">
        <v>3090.0050000000001</v>
      </c>
      <c r="C172">
        <v>3408.6024000000002</v>
      </c>
      <c r="D172">
        <v>5158.8</v>
      </c>
      <c r="E172">
        <v>44.71</v>
      </c>
      <c r="F172">
        <v>11702.117399999999</v>
      </c>
    </row>
  </sheetData>
  <phoneticPr fontId="11" type="noConversion"/>
  <pageMargins left="0.7" right="0.7" top="0.75" bottom="0.75" header="0.3" footer="0.3"/>
  <pageSetup paperSize="9" orientation="portrait" horizontalDpi="300" verticalDpi="300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5"/>
  <sheetViews>
    <sheetView zoomScale="85" zoomScaleNormal="85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G44" sqref="G44"/>
    </sheetView>
  </sheetViews>
  <sheetFormatPr defaultColWidth="9" defaultRowHeight="13.9" x14ac:dyDescent="0.4"/>
  <cols>
    <col min="1" max="1" width="15.33203125" style="28" customWidth="1"/>
    <col min="2" max="2" width="17.59765625" customWidth="1"/>
    <col min="3" max="3" width="17.86328125" customWidth="1"/>
    <col min="4" max="4" width="17.59765625" customWidth="1"/>
    <col min="5" max="5" width="17" customWidth="1"/>
    <col min="6" max="7" width="17.59765625" customWidth="1"/>
    <col min="8" max="8" width="12.796875"/>
    <col min="9" max="9" width="13.1328125" customWidth="1"/>
    <col min="10" max="15" width="16" customWidth="1"/>
    <col min="17" max="18" width="12.796875"/>
  </cols>
  <sheetData>
    <row r="1" spans="1:15" s="27" customFormat="1" ht="15.75" x14ac:dyDescent="0.4">
      <c r="A1" s="79" t="s">
        <v>53</v>
      </c>
      <c r="B1" s="79"/>
      <c r="C1" s="79"/>
      <c r="D1" s="79"/>
      <c r="E1" s="79"/>
      <c r="F1" s="79"/>
      <c r="G1" s="79"/>
      <c r="I1" s="79" t="s">
        <v>54</v>
      </c>
      <c r="J1" s="79"/>
      <c r="K1" s="79"/>
      <c r="L1" s="79"/>
      <c r="M1" s="79"/>
      <c r="N1" s="79"/>
      <c r="O1" s="79"/>
    </row>
    <row r="2" spans="1:15" s="27" customFormat="1" ht="15.75" x14ac:dyDescent="0.4">
      <c r="A2" s="29" t="s">
        <v>0</v>
      </c>
      <c r="B2" s="30" t="s">
        <v>55</v>
      </c>
      <c r="C2" s="30" t="s">
        <v>56</v>
      </c>
      <c r="D2" s="30" t="s">
        <v>57</v>
      </c>
      <c r="E2" s="30" t="s">
        <v>58</v>
      </c>
      <c r="F2" s="30" t="s">
        <v>59</v>
      </c>
      <c r="G2" s="30" t="s">
        <v>60</v>
      </c>
      <c r="I2" s="44" t="s">
        <v>0</v>
      </c>
      <c r="J2" s="45" t="s">
        <v>55</v>
      </c>
      <c r="K2" s="45" t="s">
        <v>56</v>
      </c>
      <c r="L2" s="45" t="s">
        <v>57</v>
      </c>
      <c r="M2" s="45" t="s">
        <v>58</v>
      </c>
      <c r="N2" s="45" t="s">
        <v>59</v>
      </c>
      <c r="O2" s="45" t="s">
        <v>60</v>
      </c>
    </row>
    <row r="3" spans="1:15" ht="15" x14ac:dyDescent="0.4">
      <c r="A3" s="18">
        <v>45401</v>
      </c>
      <c r="B3" s="19">
        <v>341.91</v>
      </c>
      <c r="C3" s="19">
        <v>106.47</v>
      </c>
      <c r="D3" s="19">
        <v>73.646996197718593</v>
      </c>
      <c r="E3" s="19">
        <v>27.3969961977186</v>
      </c>
      <c r="F3" s="19">
        <v>76.8</v>
      </c>
      <c r="G3" s="20">
        <v>29.3</v>
      </c>
      <c r="I3" s="18">
        <v>45401</v>
      </c>
      <c r="J3" s="19">
        <v>66.564700000000002</v>
      </c>
      <c r="K3" s="19">
        <v>21.618099999999998</v>
      </c>
      <c r="L3" s="19">
        <v>11.2814</v>
      </c>
      <c r="M3" s="19">
        <v>5.8022</v>
      </c>
      <c r="N3" s="19">
        <v>4.5705</v>
      </c>
      <c r="O3" s="20">
        <v>4.5705</v>
      </c>
    </row>
    <row r="4" spans="1:15" ht="15" x14ac:dyDescent="0.4">
      <c r="A4" s="18">
        <v>45408</v>
      </c>
      <c r="B4" s="19">
        <v>350.7</v>
      </c>
      <c r="C4" s="19">
        <v>114.08</v>
      </c>
      <c r="D4" s="19">
        <v>54.221102661597001</v>
      </c>
      <c r="E4" s="19">
        <v>21.661102661596999</v>
      </c>
      <c r="F4" s="19">
        <v>84.5</v>
      </c>
      <c r="G4" s="20">
        <v>30.9</v>
      </c>
      <c r="I4" s="18">
        <v>45407</v>
      </c>
      <c r="J4" s="19">
        <v>73.5578</v>
      </c>
      <c r="K4" s="19">
        <v>20.5108</v>
      </c>
      <c r="L4" s="19">
        <v>9.9059000000000008</v>
      </c>
      <c r="M4" s="19">
        <v>4.8781999999999996</v>
      </c>
      <c r="N4" s="19">
        <v>16.899000000000001</v>
      </c>
      <c r="O4" s="20">
        <v>3.7709000000000001</v>
      </c>
    </row>
    <row r="5" spans="1:15" ht="15" x14ac:dyDescent="0.4">
      <c r="A5" s="18">
        <v>45415</v>
      </c>
      <c r="B5" s="19">
        <v>344.27019999999999</v>
      </c>
      <c r="C5" s="19">
        <v>117.2702</v>
      </c>
      <c r="D5" s="19">
        <v>20.691102387962101</v>
      </c>
      <c r="E5" s="19">
        <v>10.011102387962101</v>
      </c>
      <c r="F5" s="19">
        <v>0</v>
      </c>
      <c r="G5" s="20">
        <v>0</v>
      </c>
      <c r="I5" s="18">
        <v>45412</v>
      </c>
      <c r="J5" s="19">
        <v>77.3523</v>
      </c>
      <c r="K5" s="19">
        <v>26.745200000000001</v>
      </c>
      <c r="L5" s="19">
        <v>4.4377000000000004</v>
      </c>
      <c r="M5" s="19">
        <v>4.4367000000000001</v>
      </c>
      <c r="N5" s="19">
        <v>11.343299999999999</v>
      </c>
      <c r="O5" s="20">
        <v>10.671099999999999</v>
      </c>
    </row>
    <row r="6" spans="1:15" ht="15" x14ac:dyDescent="0.4">
      <c r="A6" s="18">
        <v>45422</v>
      </c>
      <c r="B6" s="19">
        <v>363.08019999999999</v>
      </c>
      <c r="C6" s="19">
        <v>114.6002</v>
      </c>
      <c r="D6" s="19">
        <v>75.339328099443904</v>
      </c>
      <c r="E6" s="19">
        <v>26.7893280994439</v>
      </c>
      <c r="F6" s="19">
        <v>69.840400000000002</v>
      </c>
      <c r="G6" s="20">
        <v>35.340400000000002</v>
      </c>
      <c r="I6" s="18">
        <v>45422</v>
      </c>
      <c r="J6" s="19">
        <v>75.847200000000001</v>
      </c>
      <c r="K6" s="19">
        <v>28.994299999999999</v>
      </c>
      <c r="L6" s="19">
        <v>12.4009</v>
      </c>
      <c r="M6" s="19">
        <v>8.0837000000000003</v>
      </c>
      <c r="N6" s="19">
        <v>10.332800000000001</v>
      </c>
      <c r="O6" s="20">
        <v>10.332800000000001</v>
      </c>
    </row>
    <row r="7" spans="1:15" ht="15" x14ac:dyDescent="0.4">
      <c r="A7" s="18">
        <v>45429</v>
      </c>
      <c r="B7" s="19">
        <v>366</v>
      </c>
      <c r="C7" s="19">
        <v>106.93</v>
      </c>
      <c r="D7" s="19">
        <v>78.903794569839704</v>
      </c>
      <c r="E7" s="19">
        <v>28.163794569839698</v>
      </c>
      <c r="F7" s="19">
        <v>82.78</v>
      </c>
      <c r="G7" s="20">
        <v>21.79</v>
      </c>
      <c r="I7" s="18">
        <v>45429</v>
      </c>
      <c r="J7" s="19">
        <v>77.540317700000003</v>
      </c>
      <c r="K7" s="19">
        <v>35.696719999999999</v>
      </c>
      <c r="L7" s="19">
        <v>7.4694649000000002</v>
      </c>
      <c r="M7" s="19">
        <v>3.9038379000000001</v>
      </c>
      <c r="N7" s="19">
        <v>14.324868</v>
      </c>
      <c r="O7" s="20">
        <v>8.059768</v>
      </c>
    </row>
    <row r="8" spans="1:15" ht="15" x14ac:dyDescent="0.4">
      <c r="A8" s="18">
        <v>45435</v>
      </c>
      <c r="B8" s="19">
        <v>349.45</v>
      </c>
      <c r="C8" s="19">
        <v>102.54</v>
      </c>
      <c r="D8" s="19">
        <v>60.897311089303201</v>
      </c>
      <c r="E8" s="19">
        <v>20.537311089303198</v>
      </c>
      <c r="F8" s="19">
        <v>45.39</v>
      </c>
      <c r="G8" s="20">
        <v>17.190000000000001</v>
      </c>
      <c r="I8" s="18">
        <v>45435</v>
      </c>
      <c r="J8" s="19">
        <v>83.507763199999999</v>
      </c>
      <c r="K8" s="19">
        <v>34.7312558</v>
      </c>
      <c r="L8" s="19">
        <v>8.6347670999999995</v>
      </c>
      <c r="M8" s="19">
        <v>5.3978029999999997</v>
      </c>
      <c r="N8" s="19">
        <v>13.234534</v>
      </c>
      <c r="O8" s="20">
        <v>3.5837340000000002</v>
      </c>
    </row>
    <row r="9" spans="1:15" ht="15" x14ac:dyDescent="0.4">
      <c r="A9" s="18">
        <v>45442</v>
      </c>
      <c r="B9" s="19">
        <v>332.91</v>
      </c>
      <c r="C9" s="19">
        <v>94.45</v>
      </c>
      <c r="D9" s="19">
        <v>80.616463853451094</v>
      </c>
      <c r="E9" s="19">
        <v>27.806463853451099</v>
      </c>
      <c r="F9" s="19">
        <v>65.25</v>
      </c>
      <c r="G9" s="20">
        <v>20.89</v>
      </c>
      <c r="I9" s="18">
        <v>45442</v>
      </c>
      <c r="J9" s="19">
        <v>71.193899999999999</v>
      </c>
      <c r="K9" s="19">
        <v>29.872499999999999</v>
      </c>
      <c r="L9" s="19">
        <v>16.2454252</v>
      </c>
      <c r="M9" s="19">
        <v>7.6746178</v>
      </c>
      <c r="N9" s="19">
        <v>5.6758620000000004</v>
      </c>
      <c r="O9" s="20">
        <v>2.8158620000000001</v>
      </c>
    </row>
    <row r="10" spans="1:15" ht="15" x14ac:dyDescent="0.4">
      <c r="A10" s="18">
        <v>45450</v>
      </c>
      <c r="B10" s="19">
        <v>320.99</v>
      </c>
      <c r="C10" s="19">
        <v>99.58</v>
      </c>
      <c r="D10" s="19">
        <v>63.541215469613299</v>
      </c>
      <c r="E10" s="19">
        <v>24.291215469613299</v>
      </c>
      <c r="F10" s="19">
        <v>52.74</v>
      </c>
      <c r="G10" s="20">
        <v>30.54</v>
      </c>
      <c r="I10" s="18">
        <v>45450</v>
      </c>
      <c r="J10" s="19">
        <v>72.225499999999997</v>
      </c>
      <c r="K10" s="19">
        <v>35.637099999999997</v>
      </c>
      <c r="L10" s="19">
        <v>13.0501375</v>
      </c>
      <c r="M10" s="19">
        <v>5.8201375000000004</v>
      </c>
      <c r="N10" s="19">
        <v>14.081737499999999</v>
      </c>
      <c r="O10" s="20">
        <v>11.584737499999999</v>
      </c>
    </row>
    <row r="11" spans="1:15" ht="15.4" thickBot="1" x14ac:dyDescent="0.45">
      <c r="A11" s="21">
        <v>45457</v>
      </c>
      <c r="B11" s="22">
        <v>327.9</v>
      </c>
      <c r="C11" s="22">
        <v>107.18</v>
      </c>
      <c r="D11" s="22">
        <v>64.479226519337004</v>
      </c>
      <c r="E11" s="22">
        <v>23.989226519336999</v>
      </c>
      <c r="F11" s="22">
        <v>72.95</v>
      </c>
      <c r="G11" s="23">
        <v>33.15</v>
      </c>
      <c r="I11" s="21">
        <v>45457</v>
      </c>
      <c r="J11" s="22">
        <v>79.66</v>
      </c>
      <c r="K11" s="22">
        <v>43.685200000000002</v>
      </c>
      <c r="L11" s="22">
        <v>13.8529</v>
      </c>
      <c r="M11" s="22">
        <v>7.9970999999999997</v>
      </c>
      <c r="N11" s="22">
        <v>21.287400000000002</v>
      </c>
      <c r="O11" s="23">
        <v>16.045200000000001</v>
      </c>
    </row>
    <row r="12" spans="1:15" ht="15" x14ac:dyDescent="0.4">
      <c r="A12" s="24">
        <v>45765</v>
      </c>
      <c r="B12" s="25">
        <v>400.96</v>
      </c>
      <c r="C12" s="25">
        <v>276.26</v>
      </c>
      <c r="D12" s="25">
        <v>76.09</v>
      </c>
      <c r="E12" s="25">
        <v>58.19</v>
      </c>
      <c r="F12" s="25">
        <v>66.400000000000006</v>
      </c>
      <c r="G12" s="26">
        <v>61.4</v>
      </c>
      <c r="I12" s="24">
        <v>45765</v>
      </c>
      <c r="J12" s="25">
        <v>59.3399</v>
      </c>
      <c r="K12" s="25">
        <v>46.1038</v>
      </c>
      <c r="L12" s="25">
        <v>14.292299999999999</v>
      </c>
      <c r="M12" s="25">
        <v>10.459199999999999</v>
      </c>
      <c r="N12" s="25">
        <v>11.478999999999999</v>
      </c>
      <c r="O12" s="26">
        <v>9.8824000000000005</v>
      </c>
    </row>
    <row r="13" spans="1:15" ht="15" x14ac:dyDescent="0.4">
      <c r="A13" s="18">
        <v>45772</v>
      </c>
      <c r="B13" s="19">
        <v>373.34</v>
      </c>
      <c r="C13" s="19">
        <v>257.49</v>
      </c>
      <c r="D13" s="19">
        <v>80.61</v>
      </c>
      <c r="E13" s="19">
        <v>57.56</v>
      </c>
      <c r="F13" s="19">
        <v>52.99</v>
      </c>
      <c r="G13" s="20">
        <v>38.79</v>
      </c>
      <c r="I13" s="18">
        <v>45772</v>
      </c>
      <c r="J13" s="19">
        <v>51.522399999999998</v>
      </c>
      <c r="K13" s="19">
        <v>42.565100000000001</v>
      </c>
      <c r="L13" s="19">
        <v>13.728300000000001</v>
      </c>
      <c r="M13" s="19">
        <v>10.273999999999999</v>
      </c>
      <c r="N13" s="19">
        <v>4.1898999999999997</v>
      </c>
      <c r="O13" s="20">
        <v>4.1898999999999997</v>
      </c>
    </row>
    <row r="14" spans="1:15" ht="15" x14ac:dyDescent="0.4">
      <c r="A14" s="18">
        <v>45782</v>
      </c>
      <c r="B14" s="19">
        <v>331.91</v>
      </c>
      <c r="C14" s="19">
        <v>224.48</v>
      </c>
      <c r="D14" s="19">
        <v>81.38</v>
      </c>
      <c r="E14" s="19">
        <v>67.59</v>
      </c>
      <c r="F14" s="19">
        <v>40.58</v>
      </c>
      <c r="G14" s="20">
        <v>34.58</v>
      </c>
      <c r="I14" s="18">
        <v>45782</v>
      </c>
      <c r="J14" s="19">
        <v>46.628500000000003</v>
      </c>
      <c r="K14" s="19">
        <v>37.124499999999998</v>
      </c>
      <c r="L14" s="19">
        <v>15.592616</v>
      </c>
      <c r="M14" s="19">
        <v>13.530716</v>
      </c>
      <c r="N14" s="19">
        <v>8.0175999999999998</v>
      </c>
      <c r="O14" s="20">
        <v>4.2961999999999998</v>
      </c>
    </row>
    <row r="15" spans="1:15" ht="15" x14ac:dyDescent="0.4">
      <c r="A15" s="18">
        <v>45786</v>
      </c>
      <c r="B15" s="19">
        <v>314.67</v>
      </c>
      <c r="C15" s="19">
        <v>211.29</v>
      </c>
      <c r="D15" s="19">
        <v>59.51</v>
      </c>
      <c r="E15" s="19">
        <v>47.36</v>
      </c>
      <c r="F15" s="19">
        <v>42.27</v>
      </c>
      <c r="G15" s="20">
        <v>34.17</v>
      </c>
      <c r="I15" s="18">
        <v>45786</v>
      </c>
      <c r="J15" s="19">
        <v>45.439599999999999</v>
      </c>
      <c r="K15" s="19">
        <v>35.265000000000001</v>
      </c>
      <c r="L15" s="19">
        <v>13.960699999999999</v>
      </c>
      <c r="M15" s="19">
        <v>11.9405</v>
      </c>
      <c r="N15" s="19">
        <v>8.8122000000000007</v>
      </c>
      <c r="O15" s="20">
        <v>5.6430999999999996</v>
      </c>
    </row>
    <row r="16" spans="1:15" ht="15" x14ac:dyDescent="0.4">
      <c r="A16" s="18">
        <v>45793</v>
      </c>
      <c r="B16" s="19">
        <v>306.44</v>
      </c>
      <c r="C16" s="19">
        <v>191.03</v>
      </c>
      <c r="D16" s="19">
        <v>69.91</v>
      </c>
      <c r="E16" s="19">
        <v>58.64</v>
      </c>
      <c r="F16" s="19">
        <v>61.68</v>
      </c>
      <c r="G16" s="20">
        <v>38.380000000000003</v>
      </c>
      <c r="I16" s="18">
        <v>45793</v>
      </c>
      <c r="J16" s="19">
        <v>49.247300000000003</v>
      </c>
      <c r="K16" s="19">
        <v>32.534999999999997</v>
      </c>
      <c r="L16" s="19">
        <v>12.1751</v>
      </c>
      <c r="M16" s="19">
        <v>11.3514</v>
      </c>
      <c r="N16" s="19">
        <v>14.5947</v>
      </c>
      <c r="O16" s="20">
        <v>6.6809000000000003</v>
      </c>
    </row>
    <row r="17" spans="1:18" ht="15" x14ac:dyDescent="0.4">
      <c r="A17" s="18">
        <v>45800</v>
      </c>
      <c r="B17" s="19">
        <v>308.91000000000003</v>
      </c>
      <c r="C17" s="19">
        <v>196.03</v>
      </c>
      <c r="D17" s="19">
        <v>61.4</v>
      </c>
      <c r="E17" s="19">
        <v>46.9</v>
      </c>
      <c r="F17" s="19">
        <v>64.489999999999995</v>
      </c>
      <c r="G17" s="20">
        <v>52.52</v>
      </c>
      <c r="I17" s="18">
        <v>45800</v>
      </c>
      <c r="J17" s="19">
        <v>45.213099999999997</v>
      </c>
      <c r="K17" s="19">
        <v>30.265799999999999</v>
      </c>
      <c r="L17" s="19">
        <v>15.382882</v>
      </c>
      <c r="M17" s="19">
        <v>13.799982</v>
      </c>
      <c r="N17" s="19">
        <v>7.1485000000000003</v>
      </c>
      <c r="O17" s="20">
        <v>7.1485000000000003</v>
      </c>
    </row>
    <row r="18" spans="1:18" ht="15" x14ac:dyDescent="0.4">
      <c r="A18" s="18">
        <v>45807</v>
      </c>
      <c r="B18" s="19">
        <v>296.13</v>
      </c>
      <c r="C18" s="19">
        <v>185.59</v>
      </c>
      <c r="D18" s="19">
        <v>67.13</v>
      </c>
      <c r="E18" s="19">
        <v>50.49</v>
      </c>
      <c r="F18" s="19">
        <v>54.35</v>
      </c>
      <c r="G18" s="20">
        <v>40.049999999999997</v>
      </c>
      <c r="I18" s="18">
        <v>45807</v>
      </c>
      <c r="J18" s="19">
        <v>48.097900000000003</v>
      </c>
      <c r="K18" s="19">
        <v>28.5261</v>
      </c>
      <c r="L18" s="19">
        <v>14.2591</v>
      </c>
      <c r="M18" s="19">
        <v>12.6716</v>
      </c>
      <c r="N18" s="19">
        <v>14.234400000000001</v>
      </c>
      <c r="O18" s="20">
        <v>7.9585999999999997</v>
      </c>
    </row>
    <row r="19" spans="1:18" ht="15" x14ac:dyDescent="0.4">
      <c r="A19" s="18">
        <v>45814</v>
      </c>
      <c r="B19" s="19">
        <v>292.041</v>
      </c>
      <c r="C19" s="19">
        <v>172.511</v>
      </c>
      <c r="D19" s="19">
        <v>69.319000000000003</v>
      </c>
      <c r="E19" s="19">
        <v>56.918999999999997</v>
      </c>
      <c r="F19" s="19">
        <v>65.14</v>
      </c>
      <c r="G19" s="20">
        <v>43.84</v>
      </c>
      <c r="I19" s="18">
        <v>45814</v>
      </c>
      <c r="J19" s="19">
        <v>48.342799999999997</v>
      </c>
      <c r="K19" s="19">
        <v>23.839600000000001</v>
      </c>
      <c r="L19" s="19">
        <v>16.762799999999999</v>
      </c>
      <c r="M19" s="19">
        <v>16.277699999999999</v>
      </c>
      <c r="N19" s="19">
        <v>13.862</v>
      </c>
      <c r="O19" s="20">
        <v>8.3620999999999999</v>
      </c>
    </row>
    <row r="20" spans="1:18" ht="15.4" thickBot="1" x14ac:dyDescent="0.45">
      <c r="A20" s="18">
        <v>45821</v>
      </c>
      <c r="B20" s="19">
        <v>303.10199999999998</v>
      </c>
      <c r="C20" s="19">
        <v>183.03200000000001</v>
      </c>
      <c r="D20" s="19">
        <v>64.28</v>
      </c>
      <c r="E20" s="19">
        <v>49.52</v>
      </c>
      <c r="F20" s="19">
        <v>74.941999999999993</v>
      </c>
      <c r="G20" s="20">
        <v>60.042000000000002</v>
      </c>
      <c r="I20" s="18">
        <v>45821</v>
      </c>
      <c r="J20" s="19">
        <v>52.752499999999998</v>
      </c>
      <c r="K20" s="19">
        <v>26.4815</v>
      </c>
      <c r="L20" s="19">
        <v>13.195399999999999</v>
      </c>
      <c r="M20" s="19">
        <v>12.1959</v>
      </c>
      <c r="N20" s="19">
        <v>12.724299999999999</v>
      </c>
      <c r="O20" s="20">
        <v>9.9243000000000006</v>
      </c>
    </row>
    <row r="21" spans="1:18" ht="15" x14ac:dyDescent="0.4">
      <c r="A21" s="24">
        <v>46129</v>
      </c>
      <c r="B21" s="25">
        <v>330.86919999999998</v>
      </c>
      <c r="C21" s="25">
        <v>116.628</v>
      </c>
      <c r="D21" s="25">
        <v>74.135800000000003</v>
      </c>
      <c r="E21" s="25">
        <v>43.56</v>
      </c>
      <c r="F21" s="25">
        <v>72.628</v>
      </c>
      <c r="G21" s="26">
        <v>34.097999999999999</v>
      </c>
      <c r="I21" s="24">
        <v>46129</v>
      </c>
      <c r="J21" s="25">
        <v>53.994599999999998</v>
      </c>
      <c r="K21" s="25">
        <v>31.1556</v>
      </c>
      <c r="L21" s="25">
        <v>12.5152526</v>
      </c>
      <c r="M21" s="25">
        <v>7.4452069999999999</v>
      </c>
      <c r="N21" s="25">
        <v>17.797750000000001</v>
      </c>
      <c r="O21" s="26">
        <v>14.683628000000001</v>
      </c>
    </row>
    <row r="22" spans="1:18" ht="15" x14ac:dyDescent="0.4">
      <c r="A22" s="18">
        <v>46136</v>
      </c>
      <c r="B22" s="19">
        <v>350.95920000000001</v>
      </c>
      <c r="C22" s="19">
        <v>134.328</v>
      </c>
      <c r="D22" s="19">
        <v>67.5</v>
      </c>
      <c r="E22" s="19">
        <v>34.01</v>
      </c>
      <c r="F22" s="19">
        <v>87.59</v>
      </c>
      <c r="G22" s="20">
        <v>51.71</v>
      </c>
      <c r="I22" s="18">
        <v>46136</v>
      </c>
      <c r="J22" s="19">
        <v>69.828763699999996</v>
      </c>
      <c r="K22" s="19">
        <v>29.568990800000002</v>
      </c>
      <c r="L22" s="19">
        <v>12.938736499999999</v>
      </c>
      <c r="M22" s="19">
        <v>8.1863468000000008</v>
      </c>
      <c r="N22" s="19">
        <v>28.772864200000001</v>
      </c>
      <c r="O22" s="20">
        <v>6.5997376000000001</v>
      </c>
    </row>
    <row r="23" spans="1:18" ht="15" x14ac:dyDescent="0.4">
      <c r="A23" s="18">
        <v>46143</v>
      </c>
      <c r="B23" s="19">
        <v>361.63119999999998</v>
      </c>
      <c r="C23" s="19">
        <v>122.45</v>
      </c>
      <c r="D23" s="19">
        <v>67.977999999999994</v>
      </c>
      <c r="E23" s="19">
        <v>38.148000000000003</v>
      </c>
      <c r="F23" s="19">
        <v>78.650000000000006</v>
      </c>
      <c r="G23" s="20">
        <v>26.27</v>
      </c>
      <c r="I23" s="18">
        <v>46143</v>
      </c>
      <c r="J23" s="19">
        <v>75.307699999999997</v>
      </c>
      <c r="K23" s="19">
        <v>35.026400000000002</v>
      </c>
      <c r="L23" s="19">
        <v>12.792571300000001</v>
      </c>
      <c r="M23" s="19">
        <v>9.4800343999999992</v>
      </c>
      <c r="N23" s="19">
        <v>14.9374436</v>
      </c>
      <c r="O23" s="20">
        <v>14.9374436</v>
      </c>
    </row>
    <row r="24" spans="1:18" ht="15" x14ac:dyDescent="0.4">
      <c r="A24" s="18">
        <v>46150</v>
      </c>
      <c r="B24" s="19">
        <v>391.58019999999999</v>
      </c>
      <c r="C24" s="19">
        <v>112.759</v>
      </c>
      <c r="D24" s="19">
        <v>56.807000000000002</v>
      </c>
      <c r="E24" s="19">
        <v>34.177</v>
      </c>
      <c r="F24" s="19">
        <v>86.756</v>
      </c>
      <c r="G24" s="20">
        <v>24.486000000000001</v>
      </c>
      <c r="I24" s="18">
        <v>46150</v>
      </c>
      <c r="J24" s="19">
        <v>69.799400000000006</v>
      </c>
      <c r="K24" s="19">
        <v>33.451900000000002</v>
      </c>
      <c r="L24" s="19">
        <v>10.705398000000001</v>
      </c>
      <c r="M24" s="19">
        <v>7.2394980000000002</v>
      </c>
      <c r="N24" s="19">
        <v>5.6649979999999998</v>
      </c>
      <c r="O24" s="20">
        <v>5.6649979999999998</v>
      </c>
    </row>
    <row r="25" spans="1:18" ht="15" x14ac:dyDescent="0.4">
      <c r="A25" s="18">
        <v>46157</v>
      </c>
      <c r="B25" s="19">
        <v>397.89420000000001</v>
      </c>
      <c r="C25" s="19">
        <v>105.85599999999999</v>
      </c>
      <c r="D25" s="19">
        <v>67.506</v>
      </c>
      <c r="E25" s="19">
        <v>29.603000000000002</v>
      </c>
      <c r="F25" s="19">
        <v>73.819999999999993</v>
      </c>
      <c r="G25" s="20">
        <v>22.7</v>
      </c>
      <c r="I25" s="18">
        <v>46157</v>
      </c>
      <c r="J25" s="19">
        <v>67.285300000000007</v>
      </c>
      <c r="K25" s="19">
        <v>34.2575</v>
      </c>
      <c r="L25" s="19">
        <v>11.348848</v>
      </c>
      <c r="M25" s="19">
        <v>7.4325780000000004</v>
      </c>
      <c r="N25" s="19">
        <v>9.3450480000000002</v>
      </c>
      <c r="O25" s="20">
        <v>8.2381779999999996</v>
      </c>
    </row>
    <row r="26" spans="1:18" ht="15" x14ac:dyDescent="0.4">
      <c r="A26" s="18">
        <v>46164</v>
      </c>
      <c r="B26" s="19">
        <v>388.66919999999999</v>
      </c>
      <c r="C26" s="19">
        <v>94.820999999999998</v>
      </c>
      <c r="D26" s="19">
        <v>60.398000000000003</v>
      </c>
      <c r="E26" s="19">
        <v>36.847999999999999</v>
      </c>
      <c r="F26" s="19">
        <v>53.835999999999999</v>
      </c>
      <c r="G26" s="20">
        <v>26.116</v>
      </c>
      <c r="I26" s="18">
        <v>46164</v>
      </c>
      <c r="J26" s="19">
        <v>62.836799999999997</v>
      </c>
      <c r="K26" s="19">
        <v>33.131900000000002</v>
      </c>
      <c r="L26" s="19">
        <v>9.7437470000000008</v>
      </c>
      <c r="M26" s="19">
        <v>5.8228470000000003</v>
      </c>
      <c r="N26" s="19">
        <v>5.9371470000000004</v>
      </c>
      <c r="O26" s="20">
        <v>4.697247</v>
      </c>
    </row>
    <row r="27" spans="1:18" ht="15" x14ac:dyDescent="0.4">
      <c r="A27" s="18">
        <v>46171</v>
      </c>
      <c r="B27" s="19">
        <v>361.70749999999998</v>
      </c>
      <c r="C27" s="19">
        <v>82.1875</v>
      </c>
      <c r="D27" s="19">
        <v>77.151700000000005</v>
      </c>
      <c r="E27" s="19">
        <v>35.263500000000001</v>
      </c>
      <c r="F27" s="19">
        <v>50.19</v>
      </c>
      <c r="G27" s="20">
        <v>22.63</v>
      </c>
      <c r="I27" s="18">
        <v>46171</v>
      </c>
      <c r="J27" s="19">
        <v>61.349848299999998</v>
      </c>
      <c r="K27" s="19">
        <v>28.429917</v>
      </c>
      <c r="L27" s="19">
        <v>12.955710699999999</v>
      </c>
      <c r="M27" s="19">
        <v>6.8530759999999997</v>
      </c>
      <c r="N27" s="19">
        <v>12.212891000000001</v>
      </c>
      <c r="O27" s="20">
        <v>2.1510929999999999</v>
      </c>
      <c r="Q27">
        <f>表2_4[[#This Row],[沿海能量港存]]/表2_4[[#This Row],[沿海能量走货]]*7</f>
        <v>33.147462770992561</v>
      </c>
      <c r="R27">
        <f>表2_4[[#This Row],[沿海内贸玉米港存]]/表2_4[[#This Row],[沿海内贸玉米走货]]*7</f>
        <v>29.039429739287876</v>
      </c>
    </row>
    <row r="28" spans="1:18" ht="15" x14ac:dyDescent="0.4">
      <c r="A28" s="18">
        <v>46178</v>
      </c>
      <c r="B28" s="19">
        <v>348.61700000000002</v>
      </c>
      <c r="C28" s="19">
        <v>69.37</v>
      </c>
      <c r="D28" s="19">
        <v>75.167500000000004</v>
      </c>
      <c r="E28" s="19">
        <v>36.894500000000001</v>
      </c>
      <c r="F28" s="19">
        <v>48.18</v>
      </c>
      <c r="G28" s="20">
        <v>10.18</v>
      </c>
      <c r="I28" s="18">
        <v>46178</v>
      </c>
      <c r="J28" s="19">
        <v>71.243860600000005</v>
      </c>
      <c r="K28" s="19">
        <v>32.6316475</v>
      </c>
      <c r="L28" s="19">
        <v>11.1770061</v>
      </c>
      <c r="M28" s="19">
        <v>6.1778205000000002</v>
      </c>
      <c r="N28" s="19">
        <v>21.8285144</v>
      </c>
      <c r="O28" s="20">
        <v>10.379550999999999</v>
      </c>
    </row>
    <row r="29" spans="1:18" ht="15.4" thickBot="1" x14ac:dyDescent="0.45">
      <c r="A29" s="21">
        <v>46185</v>
      </c>
      <c r="B29" s="22">
        <v>350.58</v>
      </c>
      <c r="C29" s="22">
        <v>66.86</v>
      </c>
      <c r="D29" s="22">
        <v>63.366999999999997</v>
      </c>
      <c r="E29" s="22">
        <v>25.59</v>
      </c>
      <c r="F29" s="22">
        <v>53.83</v>
      </c>
      <c r="G29" s="23">
        <v>11.58</v>
      </c>
      <c r="I29" s="21">
        <v>46185</v>
      </c>
      <c r="J29" s="22">
        <v>77.888199999999998</v>
      </c>
      <c r="K29" s="22">
        <v>32.573599999999999</v>
      </c>
      <c r="L29" s="22">
        <v>9.8773026000000002</v>
      </c>
      <c r="M29" s="22">
        <v>6.3959194999999998</v>
      </c>
      <c r="N29" s="22">
        <v>14.050114000000001</v>
      </c>
      <c r="O29" s="23">
        <v>6.337872</v>
      </c>
    </row>
    <row r="30" spans="1:18" ht="15" x14ac:dyDescent="0.4">
      <c r="A30" s="31"/>
      <c r="B30" s="32"/>
      <c r="C30" s="32"/>
      <c r="D30" s="32"/>
      <c r="E30" s="19"/>
      <c r="F30" s="19" t="s">
        <v>61</v>
      </c>
      <c r="G30" s="20" t="s">
        <v>62</v>
      </c>
    </row>
    <row r="31" spans="1:18" ht="15.75" x14ac:dyDescent="0.4">
      <c r="A31" s="16" t="s">
        <v>63</v>
      </c>
      <c r="B31" s="17" t="s">
        <v>50</v>
      </c>
      <c r="C31" s="17" t="s">
        <v>64</v>
      </c>
      <c r="D31" s="17" t="s">
        <v>65</v>
      </c>
      <c r="E31" s="33"/>
      <c r="F31" s="33">
        <f>B29-B28</f>
        <v>1.9629999999999654</v>
      </c>
      <c r="G31" s="33">
        <f>B29-B27</f>
        <v>-11.127499999999998</v>
      </c>
    </row>
    <row r="32" spans="1:18" ht="15" x14ac:dyDescent="0.4">
      <c r="A32" s="34" t="s">
        <v>66</v>
      </c>
      <c r="B32" s="35">
        <v>287.89999999999998</v>
      </c>
      <c r="C32" s="35">
        <v>45.6</v>
      </c>
      <c r="D32" s="35">
        <f>B32/E32</f>
        <v>44.195175438596486</v>
      </c>
      <c r="E32" s="33">
        <f>C32/7</f>
        <v>6.5142857142857142</v>
      </c>
      <c r="F32" s="33">
        <f>C29-C28</f>
        <v>-2.5100000000000051</v>
      </c>
      <c r="G32" s="33">
        <f>C29-C27</f>
        <v>-15.327500000000001</v>
      </c>
    </row>
    <row r="33" spans="1:14" ht="15" x14ac:dyDescent="0.4">
      <c r="A33" s="34" t="s">
        <v>67</v>
      </c>
      <c r="B33" s="35">
        <v>29.15</v>
      </c>
      <c r="C33" s="35">
        <v>6.61</v>
      </c>
      <c r="D33" s="35">
        <f t="shared" ref="D33:D38" si="0">B33/E33</f>
        <v>30.869894099848711</v>
      </c>
      <c r="E33" s="33">
        <f t="shared" ref="E33:E38" si="1">C33/7</f>
        <v>0.94428571428571428</v>
      </c>
      <c r="F33" s="33">
        <f>E29-E28</f>
        <v>-11.304500000000001</v>
      </c>
      <c r="G33" s="33">
        <f>E29-E27</f>
        <v>-9.6735000000000007</v>
      </c>
    </row>
    <row r="34" spans="1:14" ht="15" x14ac:dyDescent="0.4">
      <c r="A34" s="34" t="s">
        <v>68</v>
      </c>
      <c r="B34" s="35">
        <v>15.24</v>
      </c>
      <c r="C34" s="35">
        <v>4.75</v>
      </c>
      <c r="D34" s="35">
        <f t="shared" si="0"/>
        <v>22.45894736842105</v>
      </c>
      <c r="E34" s="33">
        <f t="shared" si="1"/>
        <v>0.6785714285714286</v>
      </c>
      <c r="F34" s="33">
        <f>D29-D28</f>
        <v>-11.800500000000007</v>
      </c>
      <c r="G34" s="33">
        <f>D29-D27</f>
        <v>-13.784700000000008</v>
      </c>
    </row>
    <row r="35" spans="1:14" ht="15" x14ac:dyDescent="0.4">
      <c r="A35" s="34" t="s">
        <v>69</v>
      </c>
      <c r="B35" s="35">
        <v>2.61</v>
      </c>
      <c r="C35" s="35">
        <v>0.28999999999999998</v>
      </c>
      <c r="D35" s="35">
        <f t="shared" si="0"/>
        <v>63</v>
      </c>
      <c r="E35" s="33">
        <f t="shared" si="1"/>
        <v>4.1428571428571426E-2</v>
      </c>
    </row>
    <row r="36" spans="1:14" ht="15" x14ac:dyDescent="0.4">
      <c r="A36" s="34" t="s">
        <v>70</v>
      </c>
      <c r="B36" s="35">
        <v>11.01</v>
      </c>
      <c r="C36" s="35">
        <v>4.46</v>
      </c>
      <c r="D36" s="35">
        <f t="shared" si="0"/>
        <v>17.280269058295964</v>
      </c>
      <c r="E36" s="33">
        <f t="shared" si="1"/>
        <v>0.63714285714285712</v>
      </c>
      <c r="N36">
        <v>361.92</v>
      </c>
    </row>
    <row r="37" spans="1:14" ht="15" x14ac:dyDescent="0.4">
      <c r="A37" s="34" t="s">
        <v>71</v>
      </c>
      <c r="B37" s="35">
        <v>4.67</v>
      </c>
      <c r="C37" s="35">
        <v>1.657</v>
      </c>
      <c r="D37" s="35">
        <f t="shared" si="0"/>
        <v>19.728424864212432</v>
      </c>
      <c r="E37" s="33">
        <f t="shared" si="1"/>
        <v>0.23671428571428571</v>
      </c>
    </row>
    <row r="38" spans="1:14" ht="15.75" x14ac:dyDescent="0.4">
      <c r="A38" s="16" t="s">
        <v>72</v>
      </c>
      <c r="B38" s="36">
        <v>350.58</v>
      </c>
      <c r="C38" s="36">
        <v>63.366999999999997</v>
      </c>
      <c r="D38" s="36">
        <f t="shared" si="0"/>
        <v>38.727728944087616</v>
      </c>
      <c r="E38" s="33">
        <f t="shared" si="1"/>
        <v>9.052428571428571</v>
      </c>
    </row>
    <row r="40" spans="1:14" ht="15.75" x14ac:dyDescent="0.4">
      <c r="A40" s="80" t="s">
        <v>74</v>
      </c>
      <c r="B40" s="80"/>
      <c r="C40" s="80"/>
      <c r="D40" s="80"/>
      <c r="E40" s="80"/>
    </row>
    <row r="41" spans="1:14" ht="15" x14ac:dyDescent="0.4">
      <c r="A41" s="37" t="s">
        <v>0</v>
      </c>
      <c r="B41" s="38" t="s">
        <v>73</v>
      </c>
      <c r="C41" s="38" t="s">
        <v>75</v>
      </c>
      <c r="D41" s="38" t="s">
        <v>76</v>
      </c>
      <c r="E41" s="38" t="s">
        <v>77</v>
      </c>
    </row>
    <row r="42" spans="1:14" ht="15" x14ac:dyDescent="0.4">
      <c r="A42" s="39">
        <v>46129</v>
      </c>
      <c r="B42" s="40">
        <v>43.56</v>
      </c>
      <c r="C42" s="40">
        <v>34.097999999999999</v>
      </c>
      <c r="D42" s="62">
        <v>116.628</v>
      </c>
      <c r="E42" s="62">
        <f t="shared" ref="E42:E49" si="2">D42/B42*7</f>
        <v>18.741873278236916</v>
      </c>
    </row>
    <row r="43" spans="1:14" ht="15" x14ac:dyDescent="0.4">
      <c r="A43" s="39">
        <v>46136</v>
      </c>
      <c r="B43" s="40">
        <v>34.01</v>
      </c>
      <c r="C43" s="40">
        <v>51.71</v>
      </c>
      <c r="D43" s="62">
        <v>134.328</v>
      </c>
      <c r="E43" s="62">
        <f t="shared" si="2"/>
        <v>27.647633049103206</v>
      </c>
    </row>
    <row r="44" spans="1:14" ht="15" x14ac:dyDescent="0.4">
      <c r="A44" s="39">
        <v>46143</v>
      </c>
      <c r="B44" s="40">
        <v>38.148000000000003</v>
      </c>
      <c r="C44" s="40">
        <v>26.27</v>
      </c>
      <c r="D44" s="62">
        <v>122.45</v>
      </c>
      <c r="E44" s="62">
        <f t="shared" si="2"/>
        <v>22.469067841040157</v>
      </c>
    </row>
    <row r="45" spans="1:14" ht="15" x14ac:dyDescent="0.4">
      <c r="A45" s="39">
        <v>46150</v>
      </c>
      <c r="B45" s="40">
        <v>34.177</v>
      </c>
      <c r="C45" s="40">
        <v>24.486000000000001</v>
      </c>
      <c r="D45" s="62">
        <v>112.759</v>
      </c>
      <c r="E45" s="62">
        <f t="shared" si="2"/>
        <v>23.09485911577962</v>
      </c>
    </row>
    <row r="46" spans="1:14" ht="15" x14ac:dyDescent="0.4">
      <c r="A46" s="39">
        <v>46157</v>
      </c>
      <c r="B46" s="40">
        <v>29.603000000000002</v>
      </c>
      <c r="C46" s="40">
        <v>22.7</v>
      </c>
      <c r="D46" s="62">
        <v>105.85599999999999</v>
      </c>
      <c r="E46" s="62">
        <f t="shared" si="2"/>
        <v>25.03097659021045</v>
      </c>
    </row>
    <row r="47" spans="1:14" ht="15" x14ac:dyDescent="0.4">
      <c r="A47" s="39">
        <v>46164</v>
      </c>
      <c r="B47" s="40">
        <v>36.847999999999999</v>
      </c>
      <c r="C47" s="40">
        <v>26.116</v>
      </c>
      <c r="D47" s="62">
        <v>94.820999999999998</v>
      </c>
      <c r="E47" s="62">
        <f t="shared" si="2"/>
        <v>18.013107902735563</v>
      </c>
    </row>
    <row r="48" spans="1:14" ht="15" x14ac:dyDescent="0.4">
      <c r="A48" s="39">
        <v>46171</v>
      </c>
      <c r="B48" s="40">
        <v>35.263500000000001</v>
      </c>
      <c r="C48" s="40">
        <v>22.63</v>
      </c>
      <c r="D48" s="62">
        <v>82.1875</v>
      </c>
      <c r="E48" s="62">
        <f t="shared" si="2"/>
        <v>16.314673812865994</v>
      </c>
    </row>
    <row r="49" spans="1:8" ht="15" x14ac:dyDescent="0.4">
      <c r="A49" s="39">
        <v>46178</v>
      </c>
      <c r="B49" s="40">
        <v>36.894500000000001</v>
      </c>
      <c r="C49" s="40">
        <v>10.18</v>
      </c>
      <c r="D49" s="62">
        <v>69.37</v>
      </c>
      <c r="E49" s="62">
        <f t="shared" si="2"/>
        <v>13.161582349672715</v>
      </c>
    </row>
    <row r="50" spans="1:8" ht="15" x14ac:dyDescent="0.4">
      <c r="A50" s="39">
        <v>46185</v>
      </c>
      <c r="B50" s="40">
        <v>25.59</v>
      </c>
      <c r="C50" s="40">
        <v>11.58</v>
      </c>
      <c r="D50" s="62">
        <v>66.86</v>
      </c>
      <c r="E50" s="62">
        <f t="shared" ref="E50:E55" si="3">D50/B50*7</f>
        <v>18.289175459163737</v>
      </c>
    </row>
    <row r="51" spans="1:8" ht="15" x14ac:dyDescent="0.4">
      <c r="A51" s="61" t="s">
        <v>123</v>
      </c>
      <c r="B51" s="41">
        <v>34.9</v>
      </c>
      <c r="C51" s="41">
        <v>25.5</v>
      </c>
      <c r="D51" s="63">
        <f>D50+C51-B51</f>
        <v>57.46</v>
      </c>
      <c r="E51" s="63">
        <f t="shared" si="3"/>
        <v>11.524928366762179</v>
      </c>
      <c r="G51" t="s">
        <v>78</v>
      </c>
      <c r="H51">
        <f>B29/D29*7</f>
        <v>38.727728944087616</v>
      </c>
    </row>
    <row r="52" spans="1:8" ht="15" x14ac:dyDescent="0.4">
      <c r="A52" s="61" t="s">
        <v>124</v>
      </c>
      <c r="B52" s="41">
        <v>34.9</v>
      </c>
      <c r="C52" s="41">
        <v>25.5</v>
      </c>
      <c r="D52" s="63">
        <f>D51+C52-B52</f>
        <v>48.060000000000009</v>
      </c>
      <c r="E52" s="63">
        <f t="shared" si="3"/>
        <v>9.6395415472779398</v>
      </c>
      <c r="G52" t="s">
        <v>79</v>
      </c>
      <c r="H52">
        <f>J29/L29*7</f>
        <v>55.199017594135469</v>
      </c>
    </row>
    <row r="53" spans="1:8" ht="15" x14ac:dyDescent="0.4">
      <c r="A53" s="61" t="s">
        <v>125</v>
      </c>
      <c r="B53" s="41">
        <v>34.9</v>
      </c>
      <c r="C53" s="41">
        <v>25.5</v>
      </c>
      <c r="D53" s="63">
        <f>D52+C53-B53</f>
        <v>38.660000000000004</v>
      </c>
      <c r="E53" s="63">
        <f t="shared" si="3"/>
        <v>7.7541547277936971</v>
      </c>
      <c r="G53" t="s">
        <v>80</v>
      </c>
      <c r="H53">
        <f>C29/E29*7</f>
        <v>18.289175459163737</v>
      </c>
    </row>
    <row r="54" spans="1:8" ht="15" x14ac:dyDescent="0.4">
      <c r="A54" s="61" t="s">
        <v>126</v>
      </c>
      <c r="B54" s="41">
        <v>34.9</v>
      </c>
      <c r="C54" s="41">
        <v>25.5</v>
      </c>
      <c r="D54" s="63">
        <f>D53+C54-B54</f>
        <v>29.259999999999998</v>
      </c>
      <c r="E54" s="63">
        <f t="shared" si="3"/>
        <v>5.8687679083094553</v>
      </c>
      <c r="F54">
        <f>171-145</f>
        <v>26</v>
      </c>
      <c r="G54" t="s">
        <v>81</v>
      </c>
      <c r="H54">
        <f>K29/M29*7</f>
        <v>35.65010472692785</v>
      </c>
    </row>
    <row r="55" spans="1:8" ht="15.75" x14ac:dyDescent="0.55000000000000004">
      <c r="A55" s="42" t="s">
        <v>82</v>
      </c>
      <c r="B55" s="43">
        <f>AVERAGE(B42:B54)</f>
        <v>34.899538461538455</v>
      </c>
      <c r="C55" s="43">
        <f>AVERAGE(C42:C54)</f>
        <v>25.520769230769229</v>
      </c>
      <c r="D55" s="64">
        <f>AVERAGE(D42:D54)</f>
        <v>82.976884615384634</v>
      </c>
      <c r="E55" s="64">
        <f t="shared" si="3"/>
        <v>16.643148245293091</v>
      </c>
    </row>
  </sheetData>
  <mergeCells count="3">
    <mergeCell ref="A1:G1"/>
    <mergeCell ref="I1:O1"/>
    <mergeCell ref="A40:E40"/>
  </mergeCells>
  <phoneticPr fontId="11" type="noConversion"/>
  <conditionalFormatting sqref="B3:B2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{0A370ECF-EFED-4FD2-A6DF-845753BB04A6}</x14:id>
        </ext>
      </extLst>
    </cfRule>
  </conditionalFormatting>
  <conditionalFormatting sqref="C3:C2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{77A267B4-D6A3-422C-B7E6-570CC981E33F}</x14:id>
        </ext>
      </extLst>
    </cfRule>
  </conditionalFormatting>
  <conditionalFormatting sqref="D3:D2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{AC503F37-2C4C-4F9E-B000-89C46C517F51}</x14:id>
        </ext>
      </extLst>
    </cfRule>
  </conditionalFormatting>
  <conditionalFormatting sqref="E3:E2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{7E2C3A1C-ED73-47A4-AE6D-0E01629E073B}</x14:id>
        </ext>
      </extLst>
    </cfRule>
  </conditionalFormatting>
  <conditionalFormatting sqref="F3:F2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{B6DC9E4C-044D-47B6-9248-408984419A26}</x14:id>
        </ext>
      </extLst>
    </cfRule>
  </conditionalFormatting>
  <conditionalFormatting sqref="G3:G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{E4202D98-151F-4D1A-B5F1-AF3ADC637EBC}</x14:id>
        </ext>
      </extLst>
    </cfRule>
  </conditionalFormatting>
  <conditionalFormatting sqref="J3:J2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{171E441A-B759-4BD0-983E-46FF98B758C2}</x14:id>
        </ext>
      </extLst>
    </cfRule>
  </conditionalFormatting>
  <conditionalFormatting sqref="K3:K29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{282223C6-C72B-49A9-B175-3C76B7B1A77E}</x14:id>
        </ext>
      </extLst>
    </cfRule>
  </conditionalFormatting>
  <conditionalFormatting sqref="L3:L29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{CEFCB074-E79B-4726-B3D9-47DC1EDDCF58}</x14:id>
        </ext>
      </extLst>
    </cfRule>
  </conditionalFormatting>
  <conditionalFormatting sqref="M3:M29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{ED2FEB6A-3D8D-477F-A9B1-C5A995717E3B}</x14:id>
        </ext>
      </extLst>
    </cfRule>
  </conditionalFormatting>
  <conditionalFormatting sqref="N3:N29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{442605F8-E8B0-4653-BD05-015C6A4CA06B}</x14:id>
        </ext>
      </extLst>
    </cfRule>
  </conditionalFormatting>
  <conditionalFormatting sqref="O3:O29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{6F6D0AAF-0325-4683-B78D-7E8D3EBFB4C1}</x14:id>
        </ext>
      </extLst>
    </cfRule>
  </conditionalFormatting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370ECF-EFED-4FD2-A6DF-845753BB04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B3:B29</xm:sqref>
        </x14:conditionalFormatting>
        <x14:conditionalFormatting xmlns:xm="http://schemas.microsoft.com/office/excel/2006/main">
          <x14:cfRule type="dataBar" id="{77A267B4-D6A3-422C-B7E6-570CC981E3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C3:C29</xm:sqref>
        </x14:conditionalFormatting>
        <x14:conditionalFormatting xmlns:xm="http://schemas.microsoft.com/office/excel/2006/main">
          <x14:cfRule type="dataBar" id="{AC503F37-2C4C-4F9E-B000-89C46C517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D3:D29</xm:sqref>
        </x14:conditionalFormatting>
        <x14:conditionalFormatting xmlns:xm="http://schemas.microsoft.com/office/excel/2006/main">
          <x14:cfRule type="dataBar" id="{7E2C3A1C-ED73-47A4-AE6D-0E01629E0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E3:E29</xm:sqref>
        </x14:conditionalFormatting>
        <x14:conditionalFormatting xmlns:xm="http://schemas.microsoft.com/office/excel/2006/main">
          <x14:cfRule type="dataBar" id="{B6DC9E4C-044D-47B6-9248-408984419A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F3:F29</xm:sqref>
        </x14:conditionalFormatting>
        <x14:conditionalFormatting xmlns:xm="http://schemas.microsoft.com/office/excel/2006/main">
          <x14:cfRule type="dataBar" id="{E4202D98-151F-4D1A-B5F1-AF3ADC63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G3:G29</xm:sqref>
        </x14:conditionalFormatting>
        <x14:conditionalFormatting xmlns:xm="http://schemas.microsoft.com/office/excel/2006/main">
          <x14:cfRule type="dataBar" id="{171E441A-B759-4BD0-983E-46FF98B758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J3:J29</xm:sqref>
        </x14:conditionalFormatting>
        <x14:conditionalFormatting xmlns:xm="http://schemas.microsoft.com/office/excel/2006/main">
          <x14:cfRule type="dataBar" id="{282223C6-C72B-49A9-B175-3C76B7B1A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K3:K29</xm:sqref>
        </x14:conditionalFormatting>
        <x14:conditionalFormatting xmlns:xm="http://schemas.microsoft.com/office/excel/2006/main">
          <x14:cfRule type="dataBar" id="{CEFCB074-E79B-4726-B3D9-47DC1EDDC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L3:L29</xm:sqref>
        </x14:conditionalFormatting>
        <x14:conditionalFormatting xmlns:xm="http://schemas.microsoft.com/office/excel/2006/main">
          <x14:cfRule type="dataBar" id="{ED2FEB6A-3D8D-477F-A9B1-C5A995717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M3:M29</xm:sqref>
        </x14:conditionalFormatting>
        <x14:conditionalFormatting xmlns:xm="http://schemas.microsoft.com/office/excel/2006/main">
          <x14:cfRule type="dataBar" id="{442605F8-E8B0-4653-BD05-015C6A4CA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N3:N29</xm:sqref>
        </x14:conditionalFormatting>
        <x14:conditionalFormatting xmlns:xm="http://schemas.microsoft.com/office/excel/2006/main">
          <x14:cfRule type="dataBar" id="{6F6D0AAF-0325-4683-B78D-7E8D3EBFB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24"/>
  <sheetViews>
    <sheetView tabSelected="1" workbookViewId="0">
      <selection activeCell="F27" sqref="F27"/>
    </sheetView>
  </sheetViews>
  <sheetFormatPr defaultColWidth="8.6640625" defaultRowHeight="13.9" x14ac:dyDescent="0.4"/>
  <cols>
    <col min="1" max="7" width="16.3984375" customWidth="1"/>
  </cols>
  <sheetData>
    <row r="1" spans="1:7" ht="15.75" x14ac:dyDescent="0.4">
      <c r="A1" s="67" t="s">
        <v>122</v>
      </c>
      <c r="B1" s="68" t="s">
        <v>101</v>
      </c>
      <c r="C1" s="68" t="s">
        <v>102</v>
      </c>
      <c r="D1" s="68" t="s">
        <v>103</v>
      </c>
      <c r="E1" s="68" t="s">
        <v>104</v>
      </c>
      <c r="F1" s="68" t="s">
        <v>105</v>
      </c>
      <c r="G1" s="68" t="s">
        <v>106</v>
      </c>
    </row>
    <row r="2" spans="1:7" ht="15.4" thickBot="1" x14ac:dyDescent="0.45">
      <c r="A2" s="69" t="s">
        <v>108</v>
      </c>
      <c r="B2" s="70">
        <v>287.89999999999998</v>
      </c>
      <c r="C2" s="70">
        <v>38.139099999999999</v>
      </c>
      <c r="D2" s="70">
        <v>45.6</v>
      </c>
      <c r="E2" s="70">
        <v>4.4363826</v>
      </c>
      <c r="F2" s="70">
        <v>31.3</v>
      </c>
      <c r="G2" s="71">
        <v>0</v>
      </c>
    </row>
    <row r="3" spans="1:7" ht="15.4" thickBot="1" x14ac:dyDescent="0.45">
      <c r="A3" s="69" t="s">
        <v>109</v>
      </c>
      <c r="B3" s="70">
        <v>29.15</v>
      </c>
      <c r="C3" s="70">
        <v>23.8947</v>
      </c>
      <c r="D3" s="70">
        <v>6.61</v>
      </c>
      <c r="E3" s="70">
        <v>1.858479</v>
      </c>
      <c r="F3" s="70">
        <v>3.51</v>
      </c>
      <c r="G3" s="71">
        <v>3.5091839999999999</v>
      </c>
    </row>
    <row r="4" spans="1:7" ht="15.4" thickBot="1" x14ac:dyDescent="0.45">
      <c r="A4" s="69" t="s">
        <v>110</v>
      </c>
      <c r="B4" s="70">
        <v>15.24</v>
      </c>
      <c r="C4" s="70">
        <v>4.3795999999999999</v>
      </c>
      <c r="D4" s="70">
        <v>4.75</v>
      </c>
      <c r="E4" s="70">
        <v>0.65327999999999997</v>
      </c>
      <c r="F4" s="70">
        <v>12.85</v>
      </c>
      <c r="G4" s="71">
        <v>4.6294230000000001</v>
      </c>
    </row>
    <row r="5" spans="1:7" ht="15.4" thickBot="1" x14ac:dyDescent="0.45">
      <c r="A5" s="69" t="s">
        <v>111</v>
      </c>
      <c r="B5" s="70">
        <v>2.61</v>
      </c>
      <c r="C5" s="70">
        <v>0</v>
      </c>
      <c r="D5" s="70">
        <v>0.28999999999999998</v>
      </c>
      <c r="E5" s="70">
        <v>0</v>
      </c>
      <c r="F5" s="70">
        <v>0</v>
      </c>
      <c r="G5" s="71">
        <v>0</v>
      </c>
    </row>
    <row r="6" spans="1:7" ht="15.4" thickBot="1" x14ac:dyDescent="0.45">
      <c r="A6" s="69" t="s">
        <v>112</v>
      </c>
      <c r="B6" s="70">
        <v>11.01</v>
      </c>
      <c r="C6" s="70">
        <v>7.1497999999999999</v>
      </c>
      <c r="D6" s="70">
        <v>4.46</v>
      </c>
      <c r="E6" s="70">
        <v>1.637472</v>
      </c>
      <c r="F6" s="70">
        <v>3.42</v>
      </c>
      <c r="G6" s="71">
        <v>1.578552</v>
      </c>
    </row>
    <row r="7" spans="1:7" ht="15.4" thickBot="1" x14ac:dyDescent="0.45">
      <c r="A7" s="69" t="s">
        <v>113</v>
      </c>
      <c r="B7" s="70">
        <v>4.67</v>
      </c>
      <c r="C7" s="70">
        <v>4.3250000000000002</v>
      </c>
      <c r="D7" s="70">
        <v>1.657</v>
      </c>
      <c r="E7" s="70">
        <v>1.2916890000000001</v>
      </c>
      <c r="F7" s="70">
        <v>4.33</v>
      </c>
      <c r="G7" s="71">
        <v>4.3329550000000001</v>
      </c>
    </row>
    <row r="8" spans="1:7" s="27" customFormat="1" ht="16.149999999999999" thickBot="1" x14ac:dyDescent="0.45">
      <c r="A8" s="72" t="s">
        <v>114</v>
      </c>
      <c r="B8" s="73">
        <v>350.58</v>
      </c>
      <c r="C8" s="73">
        <v>77.888199999999998</v>
      </c>
      <c r="D8" s="73">
        <v>63.366999999999997</v>
      </c>
      <c r="E8" s="73">
        <v>9.8773026000000002</v>
      </c>
      <c r="F8" s="73">
        <v>53.83</v>
      </c>
      <c r="G8" s="74">
        <v>14.050114000000001</v>
      </c>
    </row>
    <row r="9" spans="1:7" ht="18" customHeight="1" x14ac:dyDescent="0.4">
      <c r="A9" s="81" t="s">
        <v>120</v>
      </c>
      <c r="B9" s="81"/>
      <c r="C9" s="81"/>
      <c r="D9" s="81"/>
      <c r="E9" s="81"/>
      <c r="F9" s="81"/>
      <c r="G9" s="81"/>
    </row>
    <row r="10" spans="1:7" ht="18" customHeight="1" x14ac:dyDescent="0.4">
      <c r="A10" s="87"/>
      <c r="B10" s="88" t="s">
        <v>122</v>
      </c>
      <c r="C10" s="88" t="s">
        <v>127</v>
      </c>
      <c r="D10" s="88"/>
      <c r="E10" s="88" t="s">
        <v>128</v>
      </c>
      <c r="F10" s="88"/>
      <c r="G10" s="88" t="s">
        <v>129</v>
      </c>
    </row>
    <row r="11" spans="1:7" x14ac:dyDescent="0.4">
      <c r="B11" s="14" t="s">
        <v>66</v>
      </c>
      <c r="C11" s="89">
        <f>C2/B2</f>
        <v>0.13247342827370615</v>
      </c>
      <c r="D11" s="14"/>
      <c r="E11" s="89">
        <f>E2/D2</f>
        <v>9.7289092105263153E-2</v>
      </c>
      <c r="F11" s="14"/>
      <c r="G11" s="89">
        <f>G2/F2</f>
        <v>0</v>
      </c>
    </row>
    <row r="12" spans="1:7" x14ac:dyDescent="0.4">
      <c r="B12" s="14" t="s">
        <v>67</v>
      </c>
      <c r="C12" s="89">
        <f>C3/B3</f>
        <v>0.81971526586620935</v>
      </c>
      <c r="D12" s="14"/>
      <c r="E12" s="89">
        <f>E3/D3</f>
        <v>0.28116172465960665</v>
      </c>
      <c r="F12" s="14"/>
      <c r="G12" s="89">
        <f>G3/F3</f>
        <v>0.99976752136752134</v>
      </c>
    </row>
    <row r="13" spans="1:7" x14ac:dyDescent="0.4">
      <c r="B13" s="14" t="s">
        <v>68</v>
      </c>
      <c r="C13" s="89">
        <f>C4/B4</f>
        <v>0.28737532808398947</v>
      </c>
      <c r="D13" s="14"/>
      <c r="E13" s="89">
        <f>E4/D4</f>
        <v>0.13753263157894735</v>
      </c>
      <c r="F13" s="14"/>
      <c r="G13" s="89">
        <f>G4/F4</f>
        <v>0.36026638132295724</v>
      </c>
    </row>
    <row r="14" spans="1:7" x14ac:dyDescent="0.4">
      <c r="B14" s="14" t="s">
        <v>69</v>
      </c>
      <c r="C14" s="89">
        <f>C5/B5</f>
        <v>0</v>
      </c>
      <c r="D14" s="14"/>
      <c r="E14" s="89">
        <f>E5/D5</f>
        <v>0</v>
      </c>
      <c r="F14" s="14"/>
      <c r="G14" s="89" t="e">
        <f>G5/F5</f>
        <v>#DIV/0!</v>
      </c>
    </row>
    <row r="15" spans="1:7" x14ac:dyDescent="0.4">
      <c r="B15" s="14" t="s">
        <v>70</v>
      </c>
      <c r="C15" s="89">
        <f>C6/B6</f>
        <v>0.64939146230699363</v>
      </c>
      <c r="D15" s="14"/>
      <c r="E15" s="89">
        <f>E6/D6</f>
        <v>0.3671461883408072</v>
      </c>
      <c r="F15" s="14"/>
      <c r="G15" s="89">
        <f>G6/F6</f>
        <v>0.46156491228070173</v>
      </c>
    </row>
    <row r="16" spans="1:7" x14ac:dyDescent="0.4">
      <c r="B16" s="14" t="s">
        <v>71</v>
      </c>
      <c r="C16" s="89">
        <f>C7/B7</f>
        <v>0.92612419700214133</v>
      </c>
      <c r="D16" s="14"/>
      <c r="E16" s="89">
        <f>E7/D7</f>
        <v>0.77953470126735069</v>
      </c>
      <c r="F16" s="14"/>
      <c r="G16" s="89">
        <f>G7/F7</f>
        <v>1.0006824480369516</v>
      </c>
    </row>
    <row r="17" spans="2:7" x14ac:dyDescent="0.4">
      <c r="B17" s="14" t="s">
        <v>121</v>
      </c>
      <c r="C17" s="89">
        <f>C8/B8</f>
        <v>0.22216954760682298</v>
      </c>
      <c r="D17" s="14"/>
      <c r="E17" s="89">
        <f>E8/D8</f>
        <v>0.15587454984455631</v>
      </c>
      <c r="F17" s="14"/>
      <c r="G17" s="89">
        <f>G8/F8</f>
        <v>0.26100899126880922</v>
      </c>
    </row>
    <row r="35" spans="1:12" ht="15.75" x14ac:dyDescent="0.4">
      <c r="A35" s="16" t="s">
        <v>63</v>
      </c>
      <c r="B35" s="17" t="s">
        <v>50</v>
      </c>
      <c r="C35" s="17" t="s">
        <v>64</v>
      </c>
      <c r="D35" s="17" t="s">
        <v>65</v>
      </c>
      <c r="F35" s="16" t="s">
        <v>63</v>
      </c>
      <c r="G35" s="17" t="s">
        <v>50</v>
      </c>
      <c r="H35" s="17" t="s">
        <v>64</v>
      </c>
      <c r="I35" s="17" t="s">
        <v>65</v>
      </c>
    </row>
    <row r="36" spans="1:12" ht="15" x14ac:dyDescent="0.4">
      <c r="A36" s="34" t="s">
        <v>66</v>
      </c>
      <c r="B36" s="35">
        <v>18.665500000000002</v>
      </c>
      <c r="C36" s="35">
        <v>4.7301408</v>
      </c>
      <c r="D36" s="35">
        <f>B36/C36*7</f>
        <v>27.62253926986698</v>
      </c>
      <c r="F36" s="34" t="s">
        <v>66</v>
      </c>
      <c r="G36" s="35">
        <v>5.2111000000000001</v>
      </c>
      <c r="H36" s="35">
        <v>2.2604614000000001</v>
      </c>
      <c r="I36" s="35">
        <f>G36/H36*7</f>
        <v>16.137280645446985</v>
      </c>
    </row>
    <row r="37" spans="1:12" ht="15" x14ac:dyDescent="0.4">
      <c r="A37" s="34" t="s">
        <v>67</v>
      </c>
      <c r="B37" s="35">
        <v>11.2707</v>
      </c>
      <c r="C37" s="35">
        <v>3.4056060000000001</v>
      </c>
      <c r="D37" s="35">
        <f t="shared" ref="D37:D42" si="0">B37/C37*7</f>
        <v>23.16618540136469</v>
      </c>
      <c r="F37" s="34" t="s">
        <v>67</v>
      </c>
      <c r="G37" s="35">
        <v>3.609</v>
      </c>
      <c r="H37" s="35">
        <v>2.2339099999999998</v>
      </c>
      <c r="I37" s="35">
        <f t="shared" ref="I37:I42" si="1">G37/H37*7</f>
        <v>11.308870993012253</v>
      </c>
    </row>
    <row r="38" spans="1:12" ht="15" x14ac:dyDescent="0.4">
      <c r="A38" s="34" t="s">
        <v>68</v>
      </c>
      <c r="B38" s="35">
        <v>1.4744079999999999</v>
      </c>
      <c r="C38" s="35">
        <v>1.0155080000000001</v>
      </c>
      <c r="D38" s="35">
        <f t="shared" si="0"/>
        <v>10.163244405755542</v>
      </c>
      <c r="F38" s="34" t="s">
        <v>68</v>
      </c>
      <c r="G38" s="35">
        <v>1.4744079999999999</v>
      </c>
      <c r="H38" s="35">
        <v>1.0155080000000001</v>
      </c>
      <c r="I38" s="35">
        <f t="shared" si="1"/>
        <v>10.163244405755542</v>
      </c>
    </row>
    <row r="39" spans="1:12" ht="15" x14ac:dyDescent="0.4">
      <c r="A39" s="34" t="s">
        <v>69</v>
      </c>
      <c r="B39" s="35">
        <v>0</v>
      </c>
      <c r="C39" s="35">
        <v>0</v>
      </c>
      <c r="D39" s="35" t="e">
        <f t="shared" si="0"/>
        <v>#DIV/0!</v>
      </c>
      <c r="F39" s="34" t="s">
        <v>69</v>
      </c>
      <c r="G39" s="35">
        <v>0</v>
      </c>
      <c r="H39" s="35">
        <v>0</v>
      </c>
      <c r="I39" s="35" t="e">
        <f t="shared" si="1"/>
        <v>#DIV/0!</v>
      </c>
    </row>
    <row r="40" spans="1:12" ht="15" x14ac:dyDescent="0.4">
      <c r="A40" s="34" t="s">
        <v>70</v>
      </c>
      <c r="B40" s="35">
        <v>5.7074999999999996</v>
      </c>
      <c r="C40" s="35">
        <v>1.1895</v>
      </c>
      <c r="D40" s="35">
        <f t="shared" si="0"/>
        <v>33.587641866330387</v>
      </c>
      <c r="F40" s="34" t="s">
        <v>70</v>
      </c>
      <c r="G40" s="35">
        <v>2.9781</v>
      </c>
      <c r="H40" s="35">
        <v>0.81564199999999998</v>
      </c>
      <c r="I40" s="35">
        <f t="shared" si="1"/>
        <v>25.558639697318188</v>
      </c>
    </row>
    <row r="41" spans="1:12" ht="15" x14ac:dyDescent="0.4">
      <c r="A41" s="34" t="s">
        <v>71</v>
      </c>
      <c r="B41" s="35">
        <v>3.8910999999999998</v>
      </c>
      <c r="C41" s="35">
        <v>0.57201219999999997</v>
      </c>
      <c r="D41" s="35">
        <f t="shared" si="0"/>
        <v>47.617341028740299</v>
      </c>
      <c r="F41" s="34" t="s">
        <v>71</v>
      </c>
      <c r="G41" s="35">
        <v>0.62139999999999995</v>
      </c>
      <c r="H41" s="35">
        <v>0.571967</v>
      </c>
      <c r="I41" s="35">
        <f t="shared" si="1"/>
        <v>7.6049842036341246</v>
      </c>
    </row>
    <row r="42" spans="1:12" ht="15.75" x14ac:dyDescent="0.4">
      <c r="A42" s="16" t="s">
        <v>72</v>
      </c>
      <c r="B42" s="36">
        <v>41.009208000000001</v>
      </c>
      <c r="C42" s="36">
        <v>10.912767000000001</v>
      </c>
      <c r="D42" s="36">
        <f t="shared" si="0"/>
        <v>26.305377545401637</v>
      </c>
      <c r="F42" s="16" t="s">
        <v>72</v>
      </c>
      <c r="G42" s="36">
        <v>13.894007999999999</v>
      </c>
      <c r="H42" s="36">
        <v>6.8974884000000003</v>
      </c>
      <c r="I42" s="36">
        <f t="shared" si="1"/>
        <v>14.100503017881117</v>
      </c>
    </row>
    <row r="44" spans="1:12" x14ac:dyDescent="0.4">
      <c r="B44">
        <v>4.7301408</v>
      </c>
      <c r="C44">
        <v>3.4056060000000001</v>
      </c>
      <c r="D44">
        <v>1.0155080000000001</v>
      </c>
      <c r="E44">
        <v>0</v>
      </c>
      <c r="F44">
        <v>2.2604614000000001</v>
      </c>
      <c r="G44">
        <v>2.2339099999999998</v>
      </c>
      <c r="H44">
        <v>1.0155080000000001</v>
      </c>
      <c r="I44">
        <v>0</v>
      </c>
      <c r="J44">
        <v>0.81564199999999998</v>
      </c>
      <c r="K44">
        <v>0.571967</v>
      </c>
      <c r="L44">
        <v>6.8974884000000003</v>
      </c>
    </row>
    <row r="45" spans="1:12" ht="15.75" x14ac:dyDescent="0.4">
      <c r="A45" s="82" t="s">
        <v>117</v>
      </c>
      <c r="B45" s="84" t="s">
        <v>115</v>
      </c>
      <c r="C45" s="85"/>
      <c r="D45" s="86"/>
      <c r="E45" s="84" t="s">
        <v>98</v>
      </c>
      <c r="F45" s="85"/>
      <c r="G45" s="86"/>
    </row>
    <row r="46" spans="1:12" ht="15.75" x14ac:dyDescent="0.4">
      <c r="A46" s="83"/>
      <c r="B46" s="76" t="s">
        <v>116</v>
      </c>
      <c r="C46" s="76" t="s">
        <v>119</v>
      </c>
      <c r="D46" s="76" t="s">
        <v>118</v>
      </c>
      <c r="E46" s="76" t="s">
        <v>116</v>
      </c>
      <c r="F46" s="76" t="s">
        <v>119</v>
      </c>
      <c r="G46" s="76" t="s">
        <v>118</v>
      </c>
    </row>
    <row r="47" spans="1:12" ht="15" x14ac:dyDescent="0.4">
      <c r="A47" s="77" t="s">
        <v>108</v>
      </c>
      <c r="B47" s="78">
        <v>18.665500000000002</v>
      </c>
      <c r="C47" s="78">
        <v>4.7301408</v>
      </c>
      <c r="D47" s="78">
        <v>27.62253926986698</v>
      </c>
      <c r="E47" s="78">
        <v>5.2111000000000001</v>
      </c>
      <c r="F47" s="78">
        <v>2.2604614000000001</v>
      </c>
      <c r="G47" s="78">
        <v>16.137280645446985</v>
      </c>
    </row>
    <row r="48" spans="1:12" ht="15" x14ac:dyDescent="0.4">
      <c r="A48" s="77" t="s">
        <v>109</v>
      </c>
      <c r="B48" s="78">
        <v>11.2707</v>
      </c>
      <c r="C48" s="78">
        <v>3.4056060000000001</v>
      </c>
      <c r="D48" s="78">
        <v>23.16618540136469</v>
      </c>
      <c r="E48" s="78">
        <v>3.609</v>
      </c>
      <c r="F48" s="78">
        <v>2.2339099999999998</v>
      </c>
      <c r="G48" s="78">
        <v>11.308870993012253</v>
      </c>
    </row>
    <row r="49" spans="1:7" ht="15" x14ac:dyDescent="0.4">
      <c r="A49" s="77" t="s">
        <v>110</v>
      </c>
      <c r="B49" s="78">
        <v>1.4744079999999999</v>
      </c>
      <c r="C49" s="78">
        <v>1.0155080000000001</v>
      </c>
      <c r="D49" s="78">
        <v>10.163244405755542</v>
      </c>
      <c r="E49" s="78">
        <v>1.4744079999999999</v>
      </c>
      <c r="F49" s="78">
        <v>1.0155080000000001</v>
      </c>
      <c r="G49" s="78">
        <v>10.163244405755542</v>
      </c>
    </row>
    <row r="50" spans="1:7" ht="15" x14ac:dyDescent="0.4">
      <c r="A50" s="77" t="s">
        <v>111</v>
      </c>
      <c r="B50" s="78">
        <v>0</v>
      </c>
      <c r="C50" s="78">
        <v>0</v>
      </c>
      <c r="D50" s="78">
        <v>0</v>
      </c>
      <c r="E50" s="78">
        <v>0</v>
      </c>
      <c r="F50" s="78">
        <v>0</v>
      </c>
      <c r="G50" s="78">
        <v>0</v>
      </c>
    </row>
    <row r="51" spans="1:7" ht="15" x14ac:dyDescent="0.4">
      <c r="A51" s="77" t="s">
        <v>112</v>
      </c>
      <c r="B51" s="78">
        <v>5.7074999999999996</v>
      </c>
      <c r="C51" s="78">
        <v>1.1895</v>
      </c>
      <c r="D51" s="78">
        <v>33.587641866330387</v>
      </c>
      <c r="E51" s="78">
        <v>2.9781</v>
      </c>
      <c r="F51" s="78">
        <v>0.81564199999999998</v>
      </c>
      <c r="G51" s="78">
        <v>25.558639697318188</v>
      </c>
    </row>
    <row r="52" spans="1:7" ht="15" x14ac:dyDescent="0.4">
      <c r="A52" s="77" t="s">
        <v>113</v>
      </c>
      <c r="B52" s="78">
        <v>3.8910999999999998</v>
      </c>
      <c r="C52" s="78">
        <v>0.57201219999999997</v>
      </c>
      <c r="D52" s="78">
        <v>47.617341028740299</v>
      </c>
      <c r="E52" s="78">
        <v>0.62139999999999995</v>
      </c>
      <c r="F52" s="78">
        <v>0.571967</v>
      </c>
      <c r="G52" s="78">
        <v>7.6049842036341246</v>
      </c>
    </row>
    <row r="53" spans="1:7" ht="14.65" x14ac:dyDescent="0.5">
      <c r="A53" s="75" t="s">
        <v>107</v>
      </c>
      <c r="B53" s="75">
        <v>41.009208000000001</v>
      </c>
      <c r="C53" s="75">
        <v>10.912767000000001</v>
      </c>
      <c r="D53" s="75">
        <v>26.305377545401637</v>
      </c>
      <c r="E53" s="75">
        <v>13.894007999999999</v>
      </c>
      <c r="F53" s="75">
        <v>6.8974884000000003</v>
      </c>
      <c r="G53" s="75">
        <v>14.100503017881117</v>
      </c>
    </row>
    <row r="98" spans="1:4" ht="15.75" x14ac:dyDescent="0.4">
      <c r="A98" s="79"/>
      <c r="B98" s="79"/>
      <c r="C98" s="79"/>
      <c r="D98" s="79"/>
    </row>
    <row r="99" spans="1:4" ht="15.75" x14ac:dyDescent="0.4">
      <c r="A99" s="17" t="s">
        <v>57</v>
      </c>
      <c r="B99" s="17" t="s">
        <v>58</v>
      </c>
      <c r="C99" s="17" t="s">
        <v>59</v>
      </c>
      <c r="D99" s="17" t="s">
        <v>60</v>
      </c>
    </row>
    <row r="100" spans="1:4" ht="15" x14ac:dyDescent="0.4">
      <c r="A100" s="19">
        <v>54.64</v>
      </c>
      <c r="B100" s="19">
        <v>31.23</v>
      </c>
      <c r="C100" s="19"/>
      <c r="D100" s="20"/>
    </row>
    <row r="101" spans="1:4" ht="15" x14ac:dyDescent="0.4">
      <c r="A101" s="19">
        <v>68.28</v>
      </c>
      <c r="B101" s="19">
        <v>30.12</v>
      </c>
      <c r="C101" s="19"/>
      <c r="D101" s="20"/>
    </row>
    <row r="102" spans="1:4" ht="15" x14ac:dyDescent="0.4">
      <c r="A102" s="19">
        <v>63.37</v>
      </c>
      <c r="B102" s="19">
        <v>27.43</v>
      </c>
      <c r="C102" s="19"/>
      <c r="D102" s="20"/>
    </row>
    <row r="103" spans="1:4" ht="15" x14ac:dyDescent="0.4">
      <c r="A103" s="19">
        <v>73.150000000000006</v>
      </c>
      <c r="B103" s="19">
        <v>28.06</v>
      </c>
      <c r="C103" s="19"/>
      <c r="D103" s="20"/>
    </row>
    <row r="104" spans="1:4" ht="15" x14ac:dyDescent="0.4">
      <c r="A104" s="19">
        <v>62.51</v>
      </c>
      <c r="B104" s="19">
        <v>24.58</v>
      </c>
      <c r="C104" s="19"/>
      <c r="D104" s="20"/>
    </row>
    <row r="105" spans="1:4" ht="15" x14ac:dyDescent="0.4">
      <c r="A105" s="19">
        <v>48.98</v>
      </c>
      <c r="B105" s="19">
        <v>8</v>
      </c>
      <c r="C105" s="19"/>
      <c r="D105" s="20"/>
    </row>
    <row r="106" spans="1:4" ht="15" x14ac:dyDescent="0.4">
      <c r="A106" s="19">
        <v>44.04</v>
      </c>
      <c r="B106" s="19">
        <v>21.44</v>
      </c>
      <c r="C106" s="19"/>
      <c r="D106" s="20"/>
    </row>
    <row r="107" spans="1:4" ht="15" x14ac:dyDescent="0.4">
      <c r="A107" s="19">
        <v>63.92</v>
      </c>
      <c r="B107" s="19">
        <v>25</v>
      </c>
      <c r="C107" s="19"/>
      <c r="D107" s="20"/>
    </row>
    <row r="108" spans="1:4" ht="15.4" thickBot="1" x14ac:dyDescent="0.45">
      <c r="A108" s="22">
        <v>49.69</v>
      </c>
      <c r="B108" s="22">
        <v>18.600000000000001</v>
      </c>
      <c r="C108" s="22"/>
      <c r="D108" s="23"/>
    </row>
    <row r="109" spans="1:4" ht="15" x14ac:dyDescent="0.4">
      <c r="A109" s="25">
        <v>87.319207048458097</v>
      </c>
      <c r="B109" s="25">
        <v>32.379207048458198</v>
      </c>
      <c r="C109" s="25"/>
      <c r="D109" s="26"/>
    </row>
    <row r="110" spans="1:4" ht="15" x14ac:dyDescent="0.4">
      <c r="A110" s="19">
        <v>87.319207048458097</v>
      </c>
      <c r="B110" s="19">
        <v>32.379207048458198</v>
      </c>
      <c r="C110" s="19"/>
      <c r="D110" s="20"/>
    </row>
    <row r="111" spans="1:4" ht="15" x14ac:dyDescent="0.4">
      <c r="A111" s="19">
        <v>14</v>
      </c>
      <c r="B111" s="19">
        <v>4</v>
      </c>
      <c r="C111" s="19"/>
      <c r="D111" s="20"/>
    </row>
    <row r="112" spans="1:4" ht="15" x14ac:dyDescent="0.4">
      <c r="A112" s="19">
        <v>81.571585903083701</v>
      </c>
      <c r="B112" s="19">
        <v>28.161585903083701</v>
      </c>
      <c r="C112" s="19"/>
      <c r="D112" s="20"/>
    </row>
    <row r="113" spans="1:4" ht="15" x14ac:dyDescent="0.4">
      <c r="A113" s="19">
        <v>83.962725343320798</v>
      </c>
      <c r="B113" s="19">
        <v>25.169725343320799</v>
      </c>
      <c r="C113" s="19"/>
      <c r="D113" s="20"/>
    </row>
    <row r="114" spans="1:4" ht="15" x14ac:dyDescent="0.4">
      <c r="A114" s="19">
        <v>78.497419475655406</v>
      </c>
      <c r="B114" s="19">
        <v>31.524419475655399</v>
      </c>
      <c r="C114" s="19"/>
      <c r="D114" s="20"/>
    </row>
    <row r="115" spans="1:4" ht="15" x14ac:dyDescent="0.4">
      <c r="A115" s="19">
        <v>84.628227215980004</v>
      </c>
      <c r="B115" s="19">
        <v>29.808227215980001</v>
      </c>
      <c r="C115" s="19"/>
      <c r="D115" s="20"/>
    </row>
    <row r="116" spans="1:4" ht="15" x14ac:dyDescent="0.4">
      <c r="A116" s="19">
        <v>74.0376404494382</v>
      </c>
      <c r="B116" s="19">
        <v>29.677640449438201</v>
      </c>
      <c r="C116" s="19"/>
      <c r="D116" s="20"/>
    </row>
    <row r="117" spans="1:4" ht="15.4" thickBot="1" x14ac:dyDescent="0.45">
      <c r="A117" s="22">
        <v>69.399987515605503</v>
      </c>
      <c r="B117" s="22">
        <v>24.889987515605501</v>
      </c>
      <c r="C117" s="22"/>
      <c r="D117" s="23"/>
    </row>
    <row r="118" spans="1:4" ht="15" x14ac:dyDescent="0.4">
      <c r="A118" s="25">
        <v>53.99</v>
      </c>
      <c r="B118" s="25">
        <v>48.13</v>
      </c>
      <c r="C118" s="25"/>
      <c r="D118" s="26"/>
    </row>
    <row r="119" spans="1:4" ht="15" x14ac:dyDescent="0.4">
      <c r="A119" s="19">
        <v>82.08</v>
      </c>
      <c r="B119" s="19">
        <v>61.62</v>
      </c>
      <c r="C119" s="19"/>
      <c r="D119" s="20"/>
    </row>
    <row r="120" spans="1:4" ht="15" x14ac:dyDescent="0.4">
      <c r="A120" s="19">
        <v>92.24</v>
      </c>
      <c r="B120" s="19">
        <v>66.900000000000006</v>
      </c>
      <c r="C120" s="19"/>
      <c r="D120" s="20"/>
    </row>
    <row r="121" spans="1:4" ht="15" x14ac:dyDescent="0.4">
      <c r="A121" s="19">
        <v>73.819999999999993</v>
      </c>
      <c r="B121" s="19">
        <v>57.62</v>
      </c>
      <c r="C121" s="19"/>
      <c r="D121" s="20"/>
    </row>
    <row r="122" spans="1:4" ht="15" x14ac:dyDescent="0.4">
      <c r="A122" s="19">
        <v>77.8</v>
      </c>
      <c r="B122" s="19">
        <v>59.06</v>
      </c>
      <c r="C122" s="19"/>
      <c r="D122" s="20"/>
    </row>
    <row r="123" spans="1:4" ht="15" x14ac:dyDescent="0.4">
      <c r="A123" s="19">
        <v>83.16</v>
      </c>
      <c r="B123" s="19">
        <v>66.209999999999994</v>
      </c>
      <c r="C123" s="19"/>
      <c r="D123" s="20"/>
    </row>
    <row r="124" spans="1:4" ht="15.4" thickBot="1" x14ac:dyDescent="0.45">
      <c r="A124" s="22">
        <v>76.91</v>
      </c>
      <c r="B124" s="22">
        <v>66.03</v>
      </c>
      <c r="C124" s="22"/>
      <c r="D124" s="23"/>
    </row>
  </sheetData>
  <mergeCells count="5">
    <mergeCell ref="A9:G9"/>
    <mergeCell ref="A98:D98"/>
    <mergeCell ref="A45:A46"/>
    <mergeCell ref="B45:D45"/>
    <mergeCell ref="E45:G45"/>
  </mergeCells>
  <phoneticPr fontId="11" type="noConversion"/>
  <conditionalFormatting sqref="B2:B8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{D9ED87E8-6A95-4CFA-A0F0-9716ED464D1B}</x14:id>
        </ext>
      </extLst>
    </cfRule>
  </conditionalFormatting>
  <conditionalFormatting sqref="B2:C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{0E0B6F31-62D6-42D7-8782-EE06C133A5FB}</x14:id>
        </ext>
      </extLst>
    </cfRule>
  </conditionalFormatting>
  <conditionalFormatting sqref="B3:C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{1DFD4CBB-DEF6-40B3-835A-2D0F7DA23453}</x14:id>
        </ext>
      </extLst>
    </cfRule>
  </conditionalFormatting>
  <conditionalFormatting sqref="B3:C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{16264C05-DA16-4C9C-8E18-B1C342345B8D}</x14:id>
        </ext>
      </extLst>
    </cfRule>
  </conditionalFormatting>
  <conditionalFormatting sqref="B4:C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{FCDD4494-290A-4DE0-9261-EEC267CC9E13}</x14:id>
        </ext>
      </extLst>
    </cfRule>
  </conditionalFormatting>
  <conditionalFormatting sqref="B5:C5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{9078410F-4EF8-4EC6-9DF8-6F728B8F53B0}</x14:id>
        </ext>
      </extLst>
    </cfRule>
  </conditionalFormatting>
  <conditionalFormatting sqref="B6:C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{4409DC13-7CB9-45BC-92F7-251A4581D451}</x14:id>
        </ext>
      </extLst>
    </cfRule>
  </conditionalFormatting>
  <conditionalFormatting sqref="B7: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{A26796AA-7989-4FC3-BD66-2A8D405F3941}</x14:id>
        </ext>
      </extLst>
    </cfRule>
  </conditionalFormatting>
  <conditionalFormatting sqref="B8:C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{D7A3B3DB-6C2C-4998-9F86-772BB7697342}</x14:id>
        </ext>
      </extLst>
    </cfRule>
  </conditionalFormatting>
  <conditionalFormatting sqref="C2:C8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{54AF5950-A527-4497-952A-A38BFDAD280E}</x14:id>
        </ext>
      </extLst>
    </cfRule>
  </conditionalFormatting>
  <conditionalFormatting sqref="D2:D8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{17AA1FF9-7752-4395-BE1B-EC091EDBD66A}</x14:id>
        </ext>
      </extLst>
    </cfRule>
  </conditionalFormatting>
  <conditionalFormatting sqref="D2:E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{D6C71B6C-C0EE-4E9A-B949-EBF646A07EE2}</x14:id>
        </ext>
      </extLst>
    </cfRule>
  </conditionalFormatting>
  <conditionalFormatting sqref="D3:E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{23CA5F97-F462-4693-9234-29DB10AC3030}</x14:id>
        </ext>
      </extLst>
    </cfRule>
  </conditionalFormatting>
  <conditionalFormatting sqref="D3:E8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{FE7B59DF-4B45-4C94-A613-4ED5FD97031B}</x14:id>
        </ext>
      </extLst>
    </cfRule>
  </conditionalFormatting>
  <conditionalFormatting sqref="D4:E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{BE68204D-55EE-442F-A4E6-1559D0F14390}</x14:id>
        </ext>
      </extLst>
    </cfRule>
  </conditionalFormatting>
  <conditionalFormatting sqref="D5:E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{F7ADE45E-A4B8-454C-8DE8-15F3E1D09B7B}</x14:id>
        </ext>
      </extLst>
    </cfRule>
  </conditionalFormatting>
  <conditionalFormatting sqref="D6:E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{1FC99FE7-F206-4C61-A15E-A98E1F98BCCB}</x14:id>
        </ext>
      </extLst>
    </cfRule>
  </conditionalFormatting>
  <conditionalFormatting sqref="D7:E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{462A76E0-D2E4-4FDF-91BD-C11B99B6F3F5}</x14:id>
        </ext>
      </extLst>
    </cfRule>
  </conditionalFormatting>
  <conditionalFormatting sqref="D8:E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{E32297AD-9E97-46AF-8C25-1DE9FC5C85A1}</x14:id>
        </ext>
      </extLst>
    </cfRule>
  </conditionalFormatting>
  <conditionalFormatting sqref="E2:E8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{F3F7B396-7D57-402B-9041-A383665EF854}</x14:id>
        </ext>
      </extLst>
    </cfRule>
  </conditionalFormatting>
  <conditionalFormatting sqref="F2:F8">
    <cfRule type="dataBar" priority="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{5FF222AB-D2AE-4A15-98F3-C3779827B24A}</x14:id>
        </ext>
      </extLst>
    </cfRule>
  </conditionalFormatting>
  <conditionalFormatting sqref="F2:G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{DF40EADE-FEA6-45FE-AACC-F68530CA1684}</x14:id>
        </ext>
      </extLst>
    </cfRule>
  </conditionalFormatting>
  <conditionalFormatting sqref="F3:G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{B9F208DC-EDDF-4BEB-B483-6D502C228063}</x14:id>
        </ext>
      </extLst>
    </cfRule>
  </conditionalFormatting>
  <conditionalFormatting sqref="F3:G8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{C7E287EB-24A9-49C9-8BFF-F622318C9643}</x14:id>
        </ext>
      </extLst>
    </cfRule>
  </conditionalFormatting>
  <conditionalFormatting sqref="F4:G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{367AD26B-E235-493B-A495-3DF698894E7F}</x14:id>
        </ext>
      </extLst>
    </cfRule>
  </conditionalFormatting>
  <conditionalFormatting sqref="F5:G5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{4F72E554-A0D7-4598-8683-CC3F46B14A49}</x14:id>
        </ext>
      </extLst>
    </cfRule>
  </conditionalFormatting>
  <conditionalFormatting sqref="F6:G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{837129EE-EA41-4973-AF70-F3FF6F13BD7A}</x14:id>
        </ext>
      </extLst>
    </cfRule>
  </conditionalFormatting>
  <conditionalFormatting sqref="F7:G7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{8F26049A-2750-4785-B875-8827242BB4C2}</x14:id>
        </ext>
      </extLst>
    </cfRule>
  </conditionalFormatting>
  <conditionalFormatting sqref="F8:G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{C3864C95-BEC6-4793-8C58-4FF59C83BAFC}</x14:id>
        </ext>
      </extLst>
    </cfRule>
  </conditionalFormatting>
  <conditionalFormatting sqref="G2:G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{D43A4344-D753-4D0D-B752-203FE720CAB9}</x14:id>
        </ext>
      </extLst>
    </cfRule>
  </conditionalFormatting>
  <pageMargins left="0.75" right="0.75" top="1" bottom="1" header="0.5" footer="0.5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D87E8-6A95-4CFA-A0F0-9716ED464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B2:B8</xm:sqref>
        </x14:conditionalFormatting>
        <x14:conditionalFormatting xmlns:xm="http://schemas.microsoft.com/office/excel/2006/main">
          <x14:cfRule type="dataBar" id="{0E0B6F31-62D6-42D7-8782-EE06C133A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B2:C2</xm:sqref>
        </x14:conditionalFormatting>
        <x14:conditionalFormatting xmlns:xm="http://schemas.microsoft.com/office/excel/2006/main">
          <x14:cfRule type="dataBar" id="{1DFD4CBB-DEF6-40B3-835A-2D0F7DA234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B3:C3</xm:sqref>
        </x14:conditionalFormatting>
        <x14:conditionalFormatting xmlns:xm="http://schemas.microsoft.com/office/excel/2006/main">
          <x14:cfRule type="dataBar" id="{16264C05-DA16-4C9C-8E18-B1C342345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B3:C8</xm:sqref>
        </x14:conditionalFormatting>
        <x14:conditionalFormatting xmlns:xm="http://schemas.microsoft.com/office/excel/2006/main">
          <x14:cfRule type="dataBar" id="{FCDD4494-290A-4DE0-9261-EEC267CC9E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B4:C4</xm:sqref>
        </x14:conditionalFormatting>
        <x14:conditionalFormatting xmlns:xm="http://schemas.microsoft.com/office/excel/2006/main">
          <x14:cfRule type="dataBar" id="{9078410F-4EF8-4EC6-9DF8-6F728B8F5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B5:C5</xm:sqref>
        </x14:conditionalFormatting>
        <x14:conditionalFormatting xmlns:xm="http://schemas.microsoft.com/office/excel/2006/main">
          <x14:cfRule type="dataBar" id="{4409DC13-7CB9-45BC-92F7-251A4581D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B6:C6</xm:sqref>
        </x14:conditionalFormatting>
        <x14:conditionalFormatting xmlns:xm="http://schemas.microsoft.com/office/excel/2006/main">
          <x14:cfRule type="dataBar" id="{A26796AA-7989-4FC3-BD66-2A8D405F39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B7:C7</xm:sqref>
        </x14:conditionalFormatting>
        <x14:conditionalFormatting xmlns:xm="http://schemas.microsoft.com/office/excel/2006/main">
          <x14:cfRule type="dataBar" id="{D7A3B3DB-6C2C-4998-9F86-772BB76973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B8:C8</xm:sqref>
        </x14:conditionalFormatting>
        <x14:conditionalFormatting xmlns:xm="http://schemas.microsoft.com/office/excel/2006/main">
          <x14:cfRule type="dataBar" id="{54AF5950-A527-4497-952A-A38BFDAD2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C2:C8</xm:sqref>
        </x14:conditionalFormatting>
        <x14:conditionalFormatting xmlns:xm="http://schemas.microsoft.com/office/excel/2006/main">
          <x14:cfRule type="dataBar" id="{17AA1FF9-7752-4395-BE1B-EC091EDBD6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D2:D8</xm:sqref>
        </x14:conditionalFormatting>
        <x14:conditionalFormatting xmlns:xm="http://schemas.microsoft.com/office/excel/2006/main">
          <x14:cfRule type="dataBar" id="{D6C71B6C-C0EE-4E9A-B949-EBF646A07E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D2:E2</xm:sqref>
        </x14:conditionalFormatting>
        <x14:conditionalFormatting xmlns:xm="http://schemas.microsoft.com/office/excel/2006/main">
          <x14:cfRule type="dataBar" id="{23CA5F97-F462-4693-9234-29DB10AC30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D3:E3</xm:sqref>
        </x14:conditionalFormatting>
        <x14:conditionalFormatting xmlns:xm="http://schemas.microsoft.com/office/excel/2006/main">
          <x14:cfRule type="dataBar" id="{FE7B59DF-4B45-4C94-A613-4ED5FD970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D3:E8</xm:sqref>
        </x14:conditionalFormatting>
        <x14:conditionalFormatting xmlns:xm="http://schemas.microsoft.com/office/excel/2006/main">
          <x14:cfRule type="dataBar" id="{BE68204D-55EE-442F-A4E6-1559D0F14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D4:E4</xm:sqref>
        </x14:conditionalFormatting>
        <x14:conditionalFormatting xmlns:xm="http://schemas.microsoft.com/office/excel/2006/main">
          <x14:cfRule type="dataBar" id="{F7ADE45E-A4B8-454C-8DE8-15F3E1D09B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D5:E5</xm:sqref>
        </x14:conditionalFormatting>
        <x14:conditionalFormatting xmlns:xm="http://schemas.microsoft.com/office/excel/2006/main">
          <x14:cfRule type="dataBar" id="{1FC99FE7-F206-4C61-A15E-A98E1F98BC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D6:E6</xm:sqref>
        </x14:conditionalFormatting>
        <x14:conditionalFormatting xmlns:xm="http://schemas.microsoft.com/office/excel/2006/main">
          <x14:cfRule type="dataBar" id="{462A76E0-D2E4-4FDF-91BD-C11B99B6F3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D7:E7</xm:sqref>
        </x14:conditionalFormatting>
        <x14:conditionalFormatting xmlns:xm="http://schemas.microsoft.com/office/excel/2006/main">
          <x14:cfRule type="dataBar" id="{E32297AD-9E97-46AF-8C25-1DE9FC5C85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D8:E8</xm:sqref>
        </x14:conditionalFormatting>
        <x14:conditionalFormatting xmlns:xm="http://schemas.microsoft.com/office/excel/2006/main">
          <x14:cfRule type="dataBar" id="{F3F7B396-7D57-402B-9041-A383665EF8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E2:E8</xm:sqref>
        </x14:conditionalFormatting>
        <x14:conditionalFormatting xmlns:xm="http://schemas.microsoft.com/office/excel/2006/main">
          <x14:cfRule type="dataBar" id="{5FF222AB-D2AE-4A15-98F3-C3779827B2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F2:F8</xm:sqref>
        </x14:conditionalFormatting>
        <x14:conditionalFormatting xmlns:xm="http://schemas.microsoft.com/office/excel/2006/main">
          <x14:cfRule type="dataBar" id="{DF40EADE-FEA6-45FE-AACC-F68530CA16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F2:G2</xm:sqref>
        </x14:conditionalFormatting>
        <x14:conditionalFormatting xmlns:xm="http://schemas.microsoft.com/office/excel/2006/main">
          <x14:cfRule type="dataBar" id="{B9F208DC-EDDF-4BEB-B483-6D502C2280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F3:G3</xm:sqref>
        </x14:conditionalFormatting>
        <x14:conditionalFormatting xmlns:xm="http://schemas.microsoft.com/office/excel/2006/main">
          <x14:cfRule type="dataBar" id="{C7E287EB-24A9-49C9-8BFF-F622318C96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F3:G8</xm:sqref>
        </x14:conditionalFormatting>
        <x14:conditionalFormatting xmlns:xm="http://schemas.microsoft.com/office/excel/2006/main">
          <x14:cfRule type="dataBar" id="{367AD26B-E235-493B-A495-3DF698894E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F4:G4</xm:sqref>
        </x14:conditionalFormatting>
        <x14:conditionalFormatting xmlns:xm="http://schemas.microsoft.com/office/excel/2006/main">
          <x14:cfRule type="dataBar" id="{4F72E554-A0D7-4598-8683-CC3F46B14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F5:G5</xm:sqref>
        </x14:conditionalFormatting>
        <x14:conditionalFormatting xmlns:xm="http://schemas.microsoft.com/office/excel/2006/main">
          <x14:cfRule type="dataBar" id="{837129EE-EA41-4973-AF70-F3FF6F13B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F6:G6</xm:sqref>
        </x14:conditionalFormatting>
        <x14:conditionalFormatting xmlns:xm="http://schemas.microsoft.com/office/excel/2006/main">
          <x14:cfRule type="dataBar" id="{8F26049A-2750-4785-B875-8827242BB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F7:G7</xm:sqref>
        </x14:conditionalFormatting>
        <x14:conditionalFormatting xmlns:xm="http://schemas.microsoft.com/office/excel/2006/main">
          <x14:cfRule type="dataBar" id="{C3864C95-BEC6-4793-8C58-4FF59C83B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F8:G8</xm:sqref>
        </x14:conditionalFormatting>
        <x14:conditionalFormatting xmlns:xm="http://schemas.microsoft.com/office/excel/2006/main">
          <x14:cfRule type="dataBar" id="{D43A4344-D753-4D0D-B752-203FE720CA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9" tint="0.59999389629810485"/>
  </sheetPr>
  <dimension ref="A1:I86"/>
  <sheetViews>
    <sheetView topLeftCell="A28" workbookViewId="0">
      <selection activeCell="B1" sqref="A1:XFD1"/>
    </sheetView>
  </sheetViews>
  <sheetFormatPr defaultColWidth="9" defaultRowHeight="13.9" x14ac:dyDescent="0.4"/>
  <cols>
    <col min="1" max="1" width="9.86328125"/>
    <col min="2" max="2" width="15" style="1" customWidth="1"/>
    <col min="3" max="3" width="12.1328125" style="1" customWidth="1"/>
    <col min="4" max="4" width="11.265625" style="1" customWidth="1"/>
    <col min="5" max="6" width="12.59765625" style="1"/>
    <col min="7" max="7" width="13.265625" customWidth="1"/>
    <col min="8" max="8" width="10.46484375" customWidth="1"/>
    <col min="9" max="9" width="9.3984375"/>
  </cols>
  <sheetData>
    <row r="1" spans="1:6" x14ac:dyDescent="0.4">
      <c r="A1" s="2" t="s">
        <v>83</v>
      </c>
    </row>
    <row r="3" spans="1:6" x14ac:dyDescent="0.4">
      <c r="A3" s="3" t="s">
        <v>84</v>
      </c>
      <c r="B3" s="4" t="s">
        <v>1</v>
      </c>
      <c r="C3" s="5" t="s">
        <v>85</v>
      </c>
      <c r="D3" s="5" t="s">
        <v>86</v>
      </c>
      <c r="F3" s="6"/>
    </row>
    <row r="4" spans="1:6" x14ac:dyDescent="0.4">
      <c r="A4" s="7">
        <v>45296</v>
      </c>
      <c r="B4" s="4">
        <v>2.63</v>
      </c>
      <c r="C4" s="8">
        <f>1-E48/B48</f>
        <v>0.336700336700337</v>
      </c>
      <c r="D4" s="8">
        <f>C4*B4</f>
        <v>0.88552188552188504</v>
      </c>
      <c r="F4"/>
    </row>
    <row r="5" spans="1:6" x14ac:dyDescent="0.4">
      <c r="A5" s="7">
        <v>45303</v>
      </c>
      <c r="B5" s="4">
        <v>2.11</v>
      </c>
      <c r="C5" s="8">
        <f t="shared" ref="C5:C42" si="0">1-E49/B49</f>
        <v>0.336700336700337</v>
      </c>
      <c r="D5" s="8">
        <f t="shared" ref="D5:D42" si="1">C5*B5</f>
        <v>0.71043771043770998</v>
      </c>
      <c r="F5"/>
    </row>
    <row r="6" spans="1:6" x14ac:dyDescent="0.4">
      <c r="A6" s="7">
        <v>45310</v>
      </c>
      <c r="B6" s="4">
        <v>0.67</v>
      </c>
      <c r="C6" s="8">
        <f t="shared" si="0"/>
        <v>0.336700336700337</v>
      </c>
      <c r="D6" s="8">
        <f t="shared" si="1"/>
        <v>0.22558922558922601</v>
      </c>
      <c r="F6"/>
    </row>
    <row r="7" spans="1:6" x14ac:dyDescent="0.4">
      <c r="A7" s="7">
        <v>45317</v>
      </c>
      <c r="B7" s="4">
        <v>2</v>
      </c>
      <c r="C7" s="8">
        <f t="shared" si="0"/>
        <v>0.336700336700337</v>
      </c>
      <c r="D7" s="8">
        <f t="shared" si="1"/>
        <v>0.673400673400673</v>
      </c>
      <c r="F7"/>
    </row>
    <row r="8" spans="1:6" x14ac:dyDescent="0.4">
      <c r="A8" s="7">
        <v>45324</v>
      </c>
      <c r="B8" s="4">
        <v>3.34</v>
      </c>
      <c r="C8" s="8">
        <f t="shared" si="0"/>
        <v>0.44052863436123402</v>
      </c>
      <c r="D8" s="8">
        <f t="shared" si="1"/>
        <v>1.4713656387665199</v>
      </c>
      <c r="F8"/>
    </row>
    <row r="9" spans="1:6" x14ac:dyDescent="0.4">
      <c r="A9" s="7">
        <v>45331</v>
      </c>
      <c r="B9" s="4">
        <v>4</v>
      </c>
      <c r="C9" s="8">
        <f t="shared" si="0"/>
        <v>0.44052863436123402</v>
      </c>
      <c r="D9" s="8">
        <f t="shared" si="1"/>
        <v>1.7621145374449301</v>
      </c>
      <c r="F9"/>
    </row>
    <row r="10" spans="1:6" x14ac:dyDescent="0.4">
      <c r="A10" s="7">
        <v>45338</v>
      </c>
      <c r="B10" s="4">
        <v>3</v>
      </c>
      <c r="C10" s="8">
        <f>(C8+C9+C11)/3</f>
        <v>0.44052863436123402</v>
      </c>
      <c r="D10" s="8">
        <f t="shared" si="1"/>
        <v>1.3215859030837001</v>
      </c>
      <c r="F10"/>
    </row>
    <row r="11" spans="1:6" x14ac:dyDescent="0.4">
      <c r="A11" s="7">
        <v>45345</v>
      </c>
      <c r="B11" s="4">
        <v>2.8</v>
      </c>
      <c r="C11" s="8">
        <f t="shared" si="0"/>
        <v>0.44052863436123302</v>
      </c>
      <c r="D11" s="8">
        <f t="shared" si="1"/>
        <v>1.23348017621145</v>
      </c>
      <c r="F11"/>
    </row>
    <row r="12" spans="1:6" x14ac:dyDescent="0.4">
      <c r="A12" s="9">
        <v>45352</v>
      </c>
      <c r="B12" s="4">
        <v>1.49</v>
      </c>
      <c r="C12" s="8">
        <f t="shared" si="0"/>
        <v>0.436953807740325</v>
      </c>
      <c r="D12" s="8">
        <f t="shared" si="1"/>
        <v>0.65106117353308401</v>
      </c>
      <c r="F12"/>
    </row>
    <row r="13" spans="1:6" x14ac:dyDescent="0.4">
      <c r="A13" s="9">
        <v>45359</v>
      </c>
      <c r="B13" s="4">
        <v>2.54</v>
      </c>
      <c r="C13" s="8">
        <f t="shared" si="0"/>
        <v>0.436953807740324</v>
      </c>
      <c r="D13" s="8">
        <f t="shared" si="1"/>
        <v>1.1098626716604201</v>
      </c>
      <c r="F13"/>
    </row>
    <row r="14" spans="1:6" x14ac:dyDescent="0.4">
      <c r="A14" s="9">
        <v>45366</v>
      </c>
      <c r="B14" s="4">
        <v>4.46</v>
      </c>
      <c r="C14" s="8">
        <f t="shared" si="0"/>
        <v>0.436953807740325</v>
      </c>
      <c r="D14" s="8">
        <f t="shared" si="1"/>
        <v>1.94881398252185</v>
      </c>
      <c r="F14"/>
    </row>
    <row r="15" spans="1:6" x14ac:dyDescent="0.4">
      <c r="A15" s="9">
        <v>45373</v>
      </c>
      <c r="B15" s="4">
        <v>5.09</v>
      </c>
      <c r="C15" s="8">
        <f t="shared" si="0"/>
        <v>0.436953807740324</v>
      </c>
      <c r="D15" s="8">
        <f t="shared" si="1"/>
        <v>2.22409488139825</v>
      </c>
      <c r="F15"/>
    </row>
    <row r="16" spans="1:6" x14ac:dyDescent="0.4">
      <c r="A16" s="9">
        <v>45380</v>
      </c>
      <c r="B16" s="4">
        <v>4.84</v>
      </c>
      <c r="C16" s="8">
        <f t="shared" si="0"/>
        <v>0.436953807740325</v>
      </c>
      <c r="D16" s="8">
        <f t="shared" si="1"/>
        <v>2.11485642946317</v>
      </c>
      <c r="F16"/>
    </row>
    <row r="17" spans="1:6" x14ac:dyDescent="0.4">
      <c r="A17" s="7">
        <v>45387</v>
      </c>
      <c r="B17" s="4">
        <v>4.84</v>
      </c>
      <c r="C17" s="8">
        <f t="shared" si="0"/>
        <v>0.45627376425855498</v>
      </c>
      <c r="D17" s="8">
        <f t="shared" si="1"/>
        <v>2.2083650190114099</v>
      </c>
      <c r="F17"/>
    </row>
    <row r="18" spans="1:6" x14ac:dyDescent="0.4">
      <c r="A18" s="7">
        <v>45394</v>
      </c>
      <c r="B18" s="4">
        <v>5.41</v>
      </c>
      <c r="C18" s="8">
        <f t="shared" si="0"/>
        <v>0.45627376425855498</v>
      </c>
      <c r="D18" s="8">
        <f t="shared" si="1"/>
        <v>2.46844106463878</v>
      </c>
      <c r="F18"/>
    </row>
    <row r="19" spans="1:6" x14ac:dyDescent="0.4">
      <c r="A19" s="7">
        <v>45401</v>
      </c>
      <c r="B19" s="4">
        <v>4.82</v>
      </c>
      <c r="C19" s="8">
        <f t="shared" si="0"/>
        <v>0.45627376425855498</v>
      </c>
      <c r="D19" s="8">
        <f t="shared" si="1"/>
        <v>2.19923954372624</v>
      </c>
      <c r="F19"/>
    </row>
    <row r="20" spans="1:6" x14ac:dyDescent="0.4">
      <c r="A20" s="7">
        <v>45408</v>
      </c>
      <c r="B20" s="4">
        <v>2.9</v>
      </c>
      <c r="C20" s="8">
        <f t="shared" si="0"/>
        <v>0.45627376425855498</v>
      </c>
      <c r="D20" s="8">
        <f t="shared" si="1"/>
        <v>1.3231939163498101</v>
      </c>
      <c r="F20"/>
    </row>
    <row r="21" spans="1:6" x14ac:dyDescent="0.4">
      <c r="A21" s="9">
        <v>45415</v>
      </c>
      <c r="B21" s="4">
        <v>2.8102</v>
      </c>
      <c r="C21" s="8">
        <f t="shared" si="0"/>
        <v>0.408897612037946</v>
      </c>
      <c r="D21" s="8">
        <f t="shared" si="1"/>
        <v>1.1490840693490301</v>
      </c>
      <c r="F21"/>
    </row>
    <row r="22" spans="1:6" x14ac:dyDescent="0.4">
      <c r="A22" s="9">
        <v>45422</v>
      </c>
      <c r="B22" s="4">
        <v>2.8102</v>
      </c>
      <c r="C22" s="8">
        <f t="shared" si="0"/>
        <v>0.408897612037946</v>
      </c>
      <c r="D22" s="8">
        <f t="shared" si="1"/>
        <v>1.1490840693490301</v>
      </c>
      <c r="F22"/>
    </row>
    <row r="23" spans="1:6" x14ac:dyDescent="0.4">
      <c r="A23" s="9">
        <v>45429</v>
      </c>
      <c r="B23" s="4">
        <v>3.83</v>
      </c>
      <c r="C23" s="8">
        <f t="shared" si="0"/>
        <v>0.408897612037946</v>
      </c>
      <c r="D23" s="8">
        <f t="shared" si="1"/>
        <v>1.56607785410533</v>
      </c>
      <c r="F23"/>
    </row>
    <row r="24" spans="1:6" x14ac:dyDescent="0.4">
      <c r="A24" s="9">
        <v>45435</v>
      </c>
      <c r="B24" s="4">
        <v>2.77</v>
      </c>
      <c r="C24" s="8">
        <f t="shared" si="0"/>
        <v>0.408897612037946</v>
      </c>
      <c r="D24" s="8">
        <f t="shared" si="1"/>
        <v>1.1326463853451101</v>
      </c>
      <c r="F24"/>
    </row>
    <row r="25" spans="1:6" x14ac:dyDescent="0.4">
      <c r="A25" s="9">
        <v>45442</v>
      </c>
      <c r="B25" s="4">
        <v>1.29</v>
      </c>
      <c r="C25" s="8">
        <f t="shared" si="0"/>
        <v>0.408897612037946</v>
      </c>
      <c r="D25" s="8">
        <f t="shared" si="1"/>
        <v>0.52747791952894996</v>
      </c>
      <c r="F25"/>
    </row>
    <row r="26" spans="1:6" x14ac:dyDescent="0.4">
      <c r="A26" s="7">
        <v>45450</v>
      </c>
      <c r="B26" s="4">
        <v>1.02</v>
      </c>
      <c r="C26" s="8">
        <f t="shared" si="0"/>
        <v>0.46040515653775299</v>
      </c>
      <c r="D26" s="8">
        <f t="shared" si="1"/>
        <v>0.46961325966850798</v>
      </c>
      <c r="F26"/>
    </row>
    <row r="27" spans="1:6" x14ac:dyDescent="0.4">
      <c r="A27" s="7">
        <v>45457</v>
      </c>
      <c r="B27" s="4">
        <v>2.5</v>
      </c>
      <c r="C27" s="8">
        <f t="shared" si="0"/>
        <v>0.46040515653775299</v>
      </c>
      <c r="D27" s="8">
        <f t="shared" si="1"/>
        <v>1.15101289134438</v>
      </c>
      <c r="F27"/>
    </row>
    <row r="28" spans="1:6" x14ac:dyDescent="0.4">
      <c r="A28" s="7">
        <v>45464</v>
      </c>
      <c r="B28" s="4">
        <v>1.8420000000000001</v>
      </c>
      <c r="C28" s="8">
        <f t="shared" si="0"/>
        <v>0.46040515653775299</v>
      </c>
      <c r="D28" s="8">
        <f t="shared" si="1"/>
        <v>0.84806629834254199</v>
      </c>
      <c r="F28"/>
    </row>
    <row r="29" spans="1:6" x14ac:dyDescent="0.4">
      <c r="A29" s="7">
        <v>45471</v>
      </c>
      <c r="B29" s="4">
        <v>2.2400000000000002</v>
      </c>
      <c r="C29" s="8">
        <f t="shared" si="0"/>
        <v>0.46040515653775299</v>
      </c>
      <c r="D29" s="8">
        <f t="shared" si="1"/>
        <v>1.0313075506445699</v>
      </c>
      <c r="F29"/>
    </row>
    <row r="30" spans="1:6" x14ac:dyDescent="0.4">
      <c r="A30" s="7">
        <v>45478</v>
      </c>
      <c r="B30" s="4">
        <v>2.67</v>
      </c>
      <c r="C30" s="8">
        <f t="shared" si="0"/>
        <v>0.54446460980036304</v>
      </c>
      <c r="D30" s="8">
        <f t="shared" si="1"/>
        <v>1.45372050816697</v>
      </c>
      <c r="F30"/>
    </row>
    <row r="31" spans="1:6" x14ac:dyDescent="0.4">
      <c r="A31" s="7">
        <v>45485</v>
      </c>
      <c r="B31" s="4">
        <v>2.84</v>
      </c>
      <c r="C31" s="8">
        <f t="shared" si="0"/>
        <v>0.54446460980036304</v>
      </c>
      <c r="D31" s="8">
        <f t="shared" si="1"/>
        <v>1.54627949183303</v>
      </c>
      <c r="F31"/>
    </row>
    <row r="32" spans="1:6" x14ac:dyDescent="0.4">
      <c r="A32" s="7">
        <v>45492</v>
      </c>
      <c r="B32" s="4">
        <v>3.04</v>
      </c>
      <c r="C32" s="8">
        <f t="shared" si="0"/>
        <v>0.54446460980036304</v>
      </c>
      <c r="D32" s="8">
        <f t="shared" si="1"/>
        <v>1.6551724137931001</v>
      </c>
      <c r="F32"/>
    </row>
    <row r="33" spans="1:9" x14ac:dyDescent="0.4">
      <c r="A33" s="7">
        <v>45499</v>
      </c>
      <c r="B33" s="4">
        <v>3.28</v>
      </c>
      <c r="C33" s="8">
        <f t="shared" si="0"/>
        <v>0.54446460980036304</v>
      </c>
      <c r="D33" s="8">
        <f t="shared" si="1"/>
        <v>1.7858439201451899</v>
      </c>
      <c r="F33"/>
    </row>
    <row r="34" spans="1:9" x14ac:dyDescent="0.4">
      <c r="A34" s="9">
        <v>45506</v>
      </c>
      <c r="B34" s="4">
        <v>3.36</v>
      </c>
      <c r="C34" s="8">
        <f t="shared" si="0"/>
        <v>0.51150895140664998</v>
      </c>
      <c r="D34" s="8">
        <f t="shared" si="1"/>
        <v>1.7186700767263401</v>
      </c>
      <c r="F34"/>
    </row>
    <row r="35" spans="1:9" x14ac:dyDescent="0.4">
      <c r="A35" s="9">
        <v>45513</v>
      </c>
      <c r="B35" s="4">
        <v>2.93</v>
      </c>
      <c r="C35" s="8">
        <f t="shared" si="0"/>
        <v>0.51150895140664998</v>
      </c>
      <c r="D35" s="8">
        <f t="shared" si="1"/>
        <v>1.4987212276214801</v>
      </c>
      <c r="F35"/>
    </row>
    <row r="36" spans="1:9" x14ac:dyDescent="0.4">
      <c r="A36" s="10">
        <v>45520</v>
      </c>
      <c r="B36" s="4">
        <v>2.81</v>
      </c>
      <c r="C36" s="8">
        <f t="shared" si="0"/>
        <v>0.51150895140664998</v>
      </c>
      <c r="D36" s="8">
        <f t="shared" si="1"/>
        <v>1.43734015345269</v>
      </c>
      <c r="F36"/>
    </row>
    <row r="37" spans="1:9" x14ac:dyDescent="0.4">
      <c r="A37" s="10">
        <v>45527</v>
      </c>
      <c r="B37" s="4">
        <v>2.75</v>
      </c>
      <c r="C37" s="8">
        <f t="shared" si="0"/>
        <v>0.51150895140664998</v>
      </c>
      <c r="D37" s="8">
        <f t="shared" si="1"/>
        <v>1.40664961636829</v>
      </c>
      <c r="F37"/>
    </row>
    <row r="38" spans="1:9" x14ac:dyDescent="0.4">
      <c r="A38" s="10">
        <v>45534</v>
      </c>
      <c r="B38" s="4">
        <v>2.74</v>
      </c>
      <c r="C38" s="8">
        <f t="shared" si="0"/>
        <v>0.51150895140664998</v>
      </c>
      <c r="D38" s="8">
        <f t="shared" si="1"/>
        <v>1.4015345268542201</v>
      </c>
      <c r="F38"/>
    </row>
    <row r="39" spans="1:9" x14ac:dyDescent="0.4">
      <c r="A39" s="11">
        <v>45541</v>
      </c>
      <c r="B39" s="4">
        <v>1.43</v>
      </c>
      <c r="C39" s="8">
        <f t="shared" si="0"/>
        <v>0.65789473684210498</v>
      </c>
      <c r="D39" s="8">
        <f t="shared" si="1"/>
        <v>0.94078947368421095</v>
      </c>
      <c r="F39"/>
    </row>
    <row r="40" spans="1:9" x14ac:dyDescent="0.4">
      <c r="A40" s="11">
        <v>45549</v>
      </c>
      <c r="B40" s="4">
        <v>3.15</v>
      </c>
      <c r="C40" s="8">
        <f t="shared" si="0"/>
        <v>0.65789473684210498</v>
      </c>
      <c r="D40" s="8">
        <f t="shared" si="1"/>
        <v>2.0723684210526301</v>
      </c>
      <c r="F40"/>
    </row>
    <row r="41" spans="1:9" x14ac:dyDescent="0.4">
      <c r="A41" s="11">
        <v>45555</v>
      </c>
      <c r="B41" s="4">
        <v>2.37</v>
      </c>
      <c r="C41" s="8">
        <f t="shared" si="0"/>
        <v>0.65789473684210498</v>
      </c>
      <c r="D41" s="8">
        <f t="shared" si="1"/>
        <v>1.55921052631579</v>
      </c>
      <c r="F41"/>
    </row>
    <row r="42" spans="1:9" x14ac:dyDescent="0.4">
      <c r="A42" s="11">
        <v>45562</v>
      </c>
      <c r="B42" s="4">
        <v>3.21</v>
      </c>
      <c r="C42" s="8">
        <f t="shared" si="0"/>
        <v>0.65789473684210498</v>
      </c>
      <c r="D42" s="8">
        <f t="shared" si="1"/>
        <v>2.1118421052631602</v>
      </c>
      <c r="F42"/>
    </row>
    <row r="43" spans="1:9" x14ac:dyDescent="0.4">
      <c r="A43" s="12" t="s">
        <v>87</v>
      </c>
      <c r="B43" s="13" t="s">
        <v>88</v>
      </c>
    </row>
    <row r="44" spans="1:9" x14ac:dyDescent="0.4">
      <c r="A44" t="s">
        <v>89</v>
      </c>
    </row>
    <row r="47" spans="1:9" x14ac:dyDescent="0.4">
      <c r="A47" s="3" t="s">
        <v>90</v>
      </c>
      <c r="B47" s="4" t="s">
        <v>1</v>
      </c>
      <c r="C47" s="8" t="s">
        <v>91</v>
      </c>
      <c r="D47" s="8" t="s">
        <v>92</v>
      </c>
      <c r="E47" s="5" t="s">
        <v>86</v>
      </c>
    </row>
    <row r="48" spans="1:9" x14ac:dyDescent="0.4">
      <c r="A48" s="7">
        <v>45296</v>
      </c>
      <c r="B48" s="4">
        <v>2.3199999999999998</v>
      </c>
      <c r="C48" s="8">
        <f>B48/$I$49</f>
        <v>0.19528619528619501</v>
      </c>
      <c r="D48" s="8">
        <f>C48*$H$49</f>
        <v>0.78114478114478103</v>
      </c>
      <c r="E48" s="8">
        <f>B48-D48</f>
        <v>1.53885521885522</v>
      </c>
      <c r="G48" s="14"/>
      <c r="H48" s="14" t="s">
        <v>93</v>
      </c>
      <c r="I48" s="14" t="s">
        <v>94</v>
      </c>
    </row>
    <row r="49" spans="1:9" x14ac:dyDescent="0.4">
      <c r="A49" s="7">
        <v>45303</v>
      </c>
      <c r="B49" s="4">
        <v>3.31</v>
      </c>
      <c r="C49" s="8">
        <f>B49/$I$49</f>
        <v>0.27861952861952899</v>
      </c>
      <c r="D49" s="8">
        <f>C49*$H$49</f>
        <v>1.11447811447811</v>
      </c>
      <c r="E49" s="8">
        <f t="shared" ref="E49:E86" si="2">B49-D49</f>
        <v>2.1955218855218899</v>
      </c>
      <c r="G49" s="14" t="s">
        <v>24</v>
      </c>
      <c r="H49" s="14">
        <v>4</v>
      </c>
      <c r="I49" s="14">
        <f>SUM(B48:B51)</f>
        <v>11.88</v>
      </c>
    </row>
    <row r="50" spans="1:9" x14ac:dyDescent="0.4">
      <c r="A50" s="7">
        <v>45310</v>
      </c>
      <c r="B50" s="4">
        <v>3.29</v>
      </c>
      <c r="C50" s="8">
        <f>B50/$I$49</f>
        <v>0.27693602693602698</v>
      </c>
      <c r="D50" s="8">
        <f>C50*$H$49</f>
        <v>1.1077441077441099</v>
      </c>
      <c r="E50" s="8">
        <f t="shared" si="2"/>
        <v>2.1822558922558901</v>
      </c>
      <c r="G50" s="14" t="s">
        <v>25</v>
      </c>
      <c r="H50" s="14">
        <v>5</v>
      </c>
      <c r="I50" s="14">
        <f>SUM(B52:B55)</f>
        <v>11.35</v>
      </c>
    </row>
    <row r="51" spans="1:9" x14ac:dyDescent="0.4">
      <c r="A51" s="7">
        <v>45317</v>
      </c>
      <c r="B51" s="4">
        <v>2.96</v>
      </c>
      <c r="C51" s="8">
        <f>B51/$I$49</f>
        <v>0.249158249158249</v>
      </c>
      <c r="D51" s="8">
        <f>C51*$H$49</f>
        <v>0.99663299663299698</v>
      </c>
      <c r="E51" s="8">
        <f t="shared" si="2"/>
        <v>1.9633670033670001</v>
      </c>
      <c r="G51" s="14" t="s">
        <v>26</v>
      </c>
      <c r="H51" s="14">
        <v>7</v>
      </c>
      <c r="I51" s="14">
        <f>SUM(B56:B60)</f>
        <v>16.02</v>
      </c>
    </row>
    <row r="52" spans="1:9" x14ac:dyDescent="0.4">
      <c r="A52" s="7">
        <v>45324</v>
      </c>
      <c r="B52" s="4">
        <v>3.77</v>
      </c>
      <c r="C52" s="8">
        <f>B52/$I$50</f>
        <v>0.33215859030837003</v>
      </c>
      <c r="D52" s="8">
        <f>C52*$H$50</f>
        <v>1.66079295154185</v>
      </c>
      <c r="E52" s="8">
        <f t="shared" si="2"/>
        <v>2.10920704845815</v>
      </c>
      <c r="G52" s="14" t="s">
        <v>27</v>
      </c>
      <c r="H52" s="14">
        <v>6</v>
      </c>
      <c r="I52" s="14">
        <f>SUM(B61:B64)</f>
        <v>13.15</v>
      </c>
    </row>
    <row r="53" spans="1:9" x14ac:dyDescent="0.4">
      <c r="A53" s="7">
        <v>45331</v>
      </c>
      <c r="B53" s="4">
        <v>3.77</v>
      </c>
      <c r="C53" s="8">
        <f>B53/$I$50</f>
        <v>0.33215859030837003</v>
      </c>
      <c r="D53" s="8">
        <f>C53*$H$50</f>
        <v>1.66079295154185</v>
      </c>
      <c r="E53" s="8">
        <f t="shared" si="2"/>
        <v>2.10920704845815</v>
      </c>
      <c r="G53" s="14" t="s">
        <v>28</v>
      </c>
      <c r="H53" s="14">
        <v>5</v>
      </c>
      <c r="I53" s="14">
        <f>SUM(B65:B69)</f>
        <v>12.228</v>
      </c>
    </row>
    <row r="54" spans="1:9" x14ac:dyDescent="0.4">
      <c r="A54" s="7">
        <v>45338</v>
      </c>
      <c r="B54" s="4">
        <v>0</v>
      </c>
      <c r="C54" s="8">
        <f>B54/$I$50</f>
        <v>0</v>
      </c>
      <c r="D54" s="8">
        <f>C54*$H$50</f>
        <v>0</v>
      </c>
      <c r="E54" s="8">
        <f t="shared" si="2"/>
        <v>0</v>
      </c>
      <c r="G54" s="14" t="s">
        <v>29</v>
      </c>
      <c r="H54" s="14">
        <v>5</v>
      </c>
      <c r="I54" s="14">
        <f>SUM(B70:B73)</f>
        <v>10.86</v>
      </c>
    </row>
    <row r="55" spans="1:9" x14ac:dyDescent="0.4">
      <c r="A55" s="7">
        <v>45345</v>
      </c>
      <c r="B55" s="4">
        <v>3.81</v>
      </c>
      <c r="C55" s="8">
        <f>B55/$I$50</f>
        <v>0.33568281938326</v>
      </c>
      <c r="D55" s="8">
        <f>C55*$H$50</f>
        <v>1.6784140969162999</v>
      </c>
      <c r="E55" s="8">
        <f t="shared" si="2"/>
        <v>2.1315859030837001</v>
      </c>
      <c r="G55" s="14" t="s">
        <v>30</v>
      </c>
      <c r="H55" s="14">
        <v>6</v>
      </c>
      <c r="I55" s="14">
        <f>SUM(B74:B77)</f>
        <v>11.02</v>
      </c>
    </row>
    <row r="56" spans="1:9" x14ac:dyDescent="0.4">
      <c r="A56" s="9">
        <v>45352</v>
      </c>
      <c r="B56" s="4">
        <v>2.93</v>
      </c>
      <c r="C56" s="8">
        <f>B56/$I$51</f>
        <v>0.18289637952559301</v>
      </c>
      <c r="D56" s="8">
        <f>C56*$H$51</f>
        <v>1.2802746566791501</v>
      </c>
      <c r="E56" s="8">
        <f t="shared" si="2"/>
        <v>1.6497253433208501</v>
      </c>
      <c r="G56" s="14" t="s">
        <v>31</v>
      </c>
      <c r="H56" s="14">
        <v>6</v>
      </c>
      <c r="I56" s="14">
        <f>SUM(B78:B82)</f>
        <v>11.73</v>
      </c>
    </row>
    <row r="57" spans="1:9" x14ac:dyDescent="0.4">
      <c r="A57" s="9">
        <v>45359</v>
      </c>
      <c r="B57" s="4">
        <v>2.37</v>
      </c>
      <c r="C57" s="8">
        <f>B57/$I$51</f>
        <v>0.14794007490636699</v>
      </c>
      <c r="D57" s="8">
        <f>C57*$H$51</f>
        <v>1.0355805243445699</v>
      </c>
      <c r="E57" s="8">
        <f t="shared" si="2"/>
        <v>1.33441947565543</v>
      </c>
      <c r="G57" s="14" t="s">
        <v>32</v>
      </c>
      <c r="H57" s="14">
        <v>6</v>
      </c>
      <c r="I57" s="14">
        <f>SUM(B83:B86)</f>
        <v>9.1199999999999992</v>
      </c>
    </row>
    <row r="58" spans="1:9" x14ac:dyDescent="0.4">
      <c r="A58" s="9">
        <v>45366</v>
      </c>
      <c r="B58" s="4">
        <v>3.62</v>
      </c>
      <c r="C58" s="8">
        <f>B58/$I$51</f>
        <v>0.22596754057428201</v>
      </c>
      <c r="D58" s="8">
        <f>C58*$H$51</f>
        <v>1.58177278401997</v>
      </c>
      <c r="E58" s="8">
        <f t="shared" si="2"/>
        <v>2.0382272159800201</v>
      </c>
      <c r="G58" s="14"/>
      <c r="H58" s="15">
        <f>SUM(H49:H57)</f>
        <v>50</v>
      </c>
      <c r="I58" s="14">
        <f>SUM(I49:I57)</f>
        <v>107.358</v>
      </c>
    </row>
    <row r="59" spans="1:9" x14ac:dyDescent="0.4">
      <c r="A59" s="9">
        <v>45373</v>
      </c>
      <c r="B59" s="4">
        <v>3.69</v>
      </c>
      <c r="C59" s="8">
        <f>B59/$I$51</f>
        <v>0.23033707865168501</v>
      </c>
      <c r="D59" s="8">
        <f>C59*$H$51</f>
        <v>1.6123595505618</v>
      </c>
      <c r="E59" s="8">
        <f t="shared" si="2"/>
        <v>2.0776404494382001</v>
      </c>
      <c r="G59" t="s">
        <v>95</v>
      </c>
    </row>
    <row r="60" spans="1:9" x14ac:dyDescent="0.4">
      <c r="A60" s="9">
        <v>45380</v>
      </c>
      <c r="B60" s="4">
        <v>3.41</v>
      </c>
      <c r="C60" s="8">
        <f>B60/$I$51</f>
        <v>0.21285892634207201</v>
      </c>
      <c r="D60" s="8">
        <f>C60*$H$51</f>
        <v>1.49001248439451</v>
      </c>
      <c r="E60" s="8">
        <f t="shared" si="2"/>
        <v>1.91998751560549</v>
      </c>
    </row>
    <row r="61" spans="1:9" x14ac:dyDescent="0.4">
      <c r="A61" s="7">
        <v>45387</v>
      </c>
      <c r="B61" s="4">
        <v>3.41</v>
      </c>
      <c r="C61" s="8">
        <f>B61/$I$52</f>
        <v>0.25931558935361199</v>
      </c>
      <c r="D61" s="8">
        <f>C61*$H$52</f>
        <v>1.5558935361216699</v>
      </c>
      <c r="E61" s="8">
        <f t="shared" si="2"/>
        <v>1.85410646387833</v>
      </c>
    </row>
    <row r="62" spans="1:9" x14ac:dyDescent="0.4">
      <c r="A62" s="7">
        <v>45394</v>
      </c>
      <c r="B62" s="4">
        <v>3.38</v>
      </c>
      <c r="C62" s="8">
        <f>B62/$I$52</f>
        <v>0.257034220532319</v>
      </c>
      <c r="D62" s="8">
        <f>C62*$H$52</f>
        <v>1.5422053231939199</v>
      </c>
      <c r="E62" s="8">
        <f t="shared" si="2"/>
        <v>1.83779467680608</v>
      </c>
    </row>
    <row r="63" spans="1:9" x14ac:dyDescent="0.4">
      <c r="A63" s="7">
        <v>45401</v>
      </c>
      <c r="B63" s="4">
        <v>2.79</v>
      </c>
      <c r="C63" s="8">
        <f>B63/$I$52</f>
        <v>0.21216730038022799</v>
      </c>
      <c r="D63" s="8">
        <f>C63*$H$52</f>
        <v>1.2730038022813699</v>
      </c>
      <c r="E63" s="8">
        <f t="shared" si="2"/>
        <v>1.5169961977186299</v>
      </c>
    </row>
    <row r="64" spans="1:9" x14ac:dyDescent="0.4">
      <c r="A64" s="7">
        <v>45408</v>
      </c>
      <c r="B64" s="4">
        <v>3.57</v>
      </c>
      <c r="C64" s="8">
        <f>B64/$I$52</f>
        <v>0.27148288973383999</v>
      </c>
      <c r="D64" s="8">
        <f>C64*$H$52</f>
        <v>1.6288973384030401</v>
      </c>
      <c r="E64" s="8">
        <f t="shared" si="2"/>
        <v>1.94110266159696</v>
      </c>
    </row>
    <row r="65" spans="1:5" x14ac:dyDescent="0.4">
      <c r="A65" s="9">
        <v>45415</v>
      </c>
      <c r="B65" s="4">
        <v>1</v>
      </c>
      <c r="C65" s="8">
        <f>B65/$I$53</f>
        <v>8.1779522407589095E-2</v>
      </c>
      <c r="D65" s="8">
        <f>C65*$H$53</f>
        <v>0.408897612037946</v>
      </c>
      <c r="E65" s="8">
        <f t="shared" si="2"/>
        <v>0.59110238796205405</v>
      </c>
    </row>
    <row r="66" spans="1:5" x14ac:dyDescent="0.4">
      <c r="A66" s="9">
        <v>45422</v>
      </c>
      <c r="B66" s="4">
        <v>2.6379999999999999</v>
      </c>
      <c r="C66" s="8">
        <f>B66/$I$53</f>
        <v>0.21573438011122001</v>
      </c>
      <c r="D66" s="8">
        <f>C66*$H$53</f>
        <v>1.0786719005561001</v>
      </c>
      <c r="E66" s="8">
        <f t="shared" si="2"/>
        <v>1.5593280994439001</v>
      </c>
    </row>
    <row r="67" spans="1:5" x14ac:dyDescent="0.4">
      <c r="A67" s="9">
        <v>45429</v>
      </c>
      <c r="B67" s="4">
        <v>3.17</v>
      </c>
      <c r="C67" s="8">
        <f>B67/$I$53</f>
        <v>0.25924108603205798</v>
      </c>
      <c r="D67" s="8">
        <f>C67*$H$53</f>
        <v>1.2962054301602901</v>
      </c>
      <c r="E67" s="8">
        <f t="shared" si="2"/>
        <v>1.87379456983971</v>
      </c>
    </row>
    <row r="68" spans="1:5" x14ac:dyDescent="0.4">
      <c r="A68" s="9">
        <v>45435</v>
      </c>
      <c r="B68" s="4">
        <v>2.5499999999999998</v>
      </c>
      <c r="C68" s="8">
        <f>B68/$I$53</f>
        <v>0.20853778213935201</v>
      </c>
      <c r="D68" s="8">
        <f>C68*$H$53</f>
        <v>1.0426889106967601</v>
      </c>
      <c r="E68" s="8">
        <f t="shared" si="2"/>
        <v>1.50731108930324</v>
      </c>
    </row>
    <row r="69" spans="1:5" x14ac:dyDescent="0.4">
      <c r="A69" s="9">
        <v>45442</v>
      </c>
      <c r="B69" s="4">
        <v>2.87</v>
      </c>
      <c r="C69" s="8">
        <f>B69/$I$53</f>
        <v>0.234707229309781</v>
      </c>
      <c r="D69" s="8">
        <f>C69*$H$53</f>
        <v>1.1735361465489</v>
      </c>
      <c r="E69" s="8">
        <f t="shared" si="2"/>
        <v>1.6964638534511001</v>
      </c>
    </row>
    <row r="70" spans="1:5" x14ac:dyDescent="0.4">
      <c r="A70" s="7">
        <v>45450</v>
      </c>
      <c r="B70" s="4">
        <v>2.4300000000000002</v>
      </c>
      <c r="C70" s="8">
        <f>B70/$I$54</f>
        <v>0.22375690607734799</v>
      </c>
      <c r="D70" s="8">
        <f>C70*$H$54</f>
        <v>1.1187845303867401</v>
      </c>
      <c r="E70" s="8">
        <f t="shared" si="2"/>
        <v>1.3112154696132601</v>
      </c>
    </row>
    <row r="71" spans="1:5" x14ac:dyDescent="0.4">
      <c r="A71" s="7">
        <v>45457</v>
      </c>
      <c r="B71" s="4">
        <v>3.39</v>
      </c>
      <c r="C71" s="8">
        <f>B71/$I$54</f>
        <v>0.312154696132597</v>
      </c>
      <c r="D71" s="8">
        <f>C71*$H$54</f>
        <v>1.5607734806629801</v>
      </c>
      <c r="E71" s="8">
        <f t="shared" si="2"/>
        <v>1.8292265193370201</v>
      </c>
    </row>
    <row r="72" spans="1:5" x14ac:dyDescent="0.4">
      <c r="A72" s="7">
        <v>45464</v>
      </c>
      <c r="B72" s="4">
        <v>2.17</v>
      </c>
      <c r="C72" s="8">
        <f>B72/$I$54</f>
        <v>0.199815837937385</v>
      </c>
      <c r="D72" s="8">
        <f>C72*$H$54</f>
        <v>0.999079189686925</v>
      </c>
      <c r="E72" s="8">
        <f t="shared" si="2"/>
        <v>1.1709208103130799</v>
      </c>
    </row>
    <row r="73" spans="1:5" x14ac:dyDescent="0.4">
      <c r="A73" s="7">
        <v>45471</v>
      </c>
      <c r="B73" s="4">
        <v>2.87</v>
      </c>
      <c r="C73" s="8">
        <f>B73/$I$54</f>
        <v>0.26427255985267001</v>
      </c>
      <c r="D73" s="8">
        <f>C73*$H$54</f>
        <v>1.3213627992633501</v>
      </c>
      <c r="E73" s="8">
        <f t="shared" si="2"/>
        <v>1.54863720073665</v>
      </c>
    </row>
    <row r="74" spans="1:5" x14ac:dyDescent="0.4">
      <c r="A74" s="7">
        <v>45478</v>
      </c>
      <c r="B74" s="4">
        <v>2.4700000000000002</v>
      </c>
      <c r="C74" s="8">
        <f>B74/$I$55</f>
        <v>0.22413793103448301</v>
      </c>
      <c r="D74" s="8">
        <f>C74*$H$55</f>
        <v>1.3448275862068999</v>
      </c>
      <c r="E74" s="8">
        <f t="shared" si="2"/>
        <v>1.1251724137931001</v>
      </c>
    </row>
    <row r="75" spans="1:5" x14ac:dyDescent="0.4">
      <c r="A75" s="7">
        <v>45485</v>
      </c>
      <c r="B75" s="4">
        <v>3.31</v>
      </c>
      <c r="C75" s="8">
        <f>B75/$I$55</f>
        <v>0.30036297640653398</v>
      </c>
      <c r="D75" s="8">
        <f>C75*$H$55</f>
        <v>1.8021778584392001</v>
      </c>
      <c r="E75" s="8">
        <f t="shared" si="2"/>
        <v>1.5078221415608</v>
      </c>
    </row>
    <row r="76" spans="1:5" x14ac:dyDescent="0.4">
      <c r="A76" s="7">
        <v>45492</v>
      </c>
      <c r="B76" s="4">
        <v>2.1</v>
      </c>
      <c r="C76" s="8">
        <f>B76/$I$55</f>
        <v>0.19056261343012701</v>
      </c>
      <c r="D76" s="8">
        <f>C76*$H$55</f>
        <v>1.14337568058076</v>
      </c>
      <c r="E76" s="8">
        <f t="shared" si="2"/>
        <v>0.95662431941923798</v>
      </c>
    </row>
    <row r="77" spans="1:5" x14ac:dyDescent="0.4">
      <c r="A77" s="7">
        <v>45499</v>
      </c>
      <c r="B77" s="4">
        <v>3.14</v>
      </c>
      <c r="C77" s="8">
        <f>B77/$I$55</f>
        <v>0.284936479128857</v>
      </c>
      <c r="D77" s="8">
        <f>C77*$H$55</f>
        <v>1.70961887477314</v>
      </c>
      <c r="E77" s="8">
        <f t="shared" si="2"/>
        <v>1.4303811252268599</v>
      </c>
    </row>
    <row r="78" spans="1:5" x14ac:dyDescent="0.4">
      <c r="A78" s="9">
        <v>45506</v>
      </c>
      <c r="B78" s="4">
        <v>2.86</v>
      </c>
      <c r="C78" s="8">
        <f>B78/$I$56</f>
        <v>0.24381926683717001</v>
      </c>
      <c r="D78" s="8">
        <f>C78*$H$56</f>
        <v>1.46291560102302</v>
      </c>
      <c r="E78" s="8">
        <f t="shared" si="2"/>
        <v>1.3970843989769799</v>
      </c>
    </row>
    <row r="79" spans="1:5" x14ac:dyDescent="0.4">
      <c r="A79" s="9">
        <v>45513</v>
      </c>
      <c r="B79" s="4">
        <v>2.23</v>
      </c>
      <c r="C79" s="8">
        <f>B79/$I$56</f>
        <v>0.19011082693947101</v>
      </c>
      <c r="D79" s="8">
        <f>C79*$H$56</f>
        <v>1.1406649616368301</v>
      </c>
      <c r="E79" s="8">
        <f t="shared" si="2"/>
        <v>1.0893350383631699</v>
      </c>
    </row>
    <row r="80" spans="1:5" x14ac:dyDescent="0.4">
      <c r="A80" s="10">
        <v>45520</v>
      </c>
      <c r="B80" s="4">
        <v>2.78</v>
      </c>
      <c r="C80" s="8">
        <f>B80/$I$56</f>
        <v>0.236999147485081</v>
      </c>
      <c r="D80" s="8">
        <f>C80*$H$56</f>
        <v>1.42199488491049</v>
      </c>
      <c r="E80" s="8">
        <f t="shared" si="2"/>
        <v>1.3580051150895101</v>
      </c>
    </row>
    <row r="81" spans="1:5" x14ac:dyDescent="0.4">
      <c r="A81" s="10">
        <v>45527</v>
      </c>
      <c r="B81" s="4">
        <v>1.1399999999999999</v>
      </c>
      <c r="C81" s="8">
        <f>B81/$I$56</f>
        <v>9.7186700767263406E-2</v>
      </c>
      <c r="D81" s="8">
        <f>C81*$H$56</f>
        <v>0.58312020460358005</v>
      </c>
      <c r="E81" s="8">
        <f t="shared" si="2"/>
        <v>0.55687979539641896</v>
      </c>
    </row>
    <row r="82" spans="1:5" x14ac:dyDescent="0.4">
      <c r="A82" s="10">
        <v>45534</v>
      </c>
      <c r="B82" s="4">
        <v>2.72</v>
      </c>
      <c r="C82" s="8">
        <f>B82/$I$56</f>
        <v>0.231884057971014</v>
      </c>
      <c r="D82" s="8">
        <f>C82*$H$56</f>
        <v>1.39130434782609</v>
      </c>
      <c r="E82" s="8">
        <f t="shared" si="2"/>
        <v>1.3286956521739099</v>
      </c>
    </row>
    <row r="83" spans="1:5" x14ac:dyDescent="0.4">
      <c r="A83" s="11">
        <v>45541</v>
      </c>
      <c r="B83" s="4">
        <v>2.54</v>
      </c>
      <c r="C83" s="8">
        <f>B83/$I$57</f>
        <v>0.27850877192982498</v>
      </c>
      <c r="D83" s="8">
        <f>C83*$H$57</f>
        <v>1.67105263157895</v>
      </c>
      <c r="E83" s="8">
        <f t="shared" si="2"/>
        <v>0.86894736842105302</v>
      </c>
    </row>
    <row r="84" spans="1:5" x14ac:dyDescent="0.4">
      <c r="A84" s="11">
        <v>45549</v>
      </c>
      <c r="B84" s="4">
        <v>1.53</v>
      </c>
      <c r="C84" s="8">
        <f>B84/$I$57</f>
        <v>0.167763157894737</v>
      </c>
      <c r="D84" s="8">
        <f>C84*$H$57</f>
        <v>1.0065789473684199</v>
      </c>
      <c r="E84" s="8">
        <f t="shared" si="2"/>
        <v>0.52342105263157901</v>
      </c>
    </row>
    <row r="85" spans="1:5" x14ac:dyDescent="0.4">
      <c r="A85" s="11">
        <v>45555</v>
      </c>
      <c r="B85" s="4">
        <v>2.2400000000000002</v>
      </c>
      <c r="C85" s="8">
        <f>B85/$I$57</f>
        <v>0.24561403508771901</v>
      </c>
      <c r="D85" s="8">
        <f>C85*$H$57</f>
        <v>1.4736842105263199</v>
      </c>
      <c r="E85" s="8">
        <f t="shared" si="2"/>
        <v>0.76631578947368495</v>
      </c>
    </row>
    <row r="86" spans="1:5" x14ac:dyDescent="0.4">
      <c r="A86" s="11">
        <v>45562</v>
      </c>
      <c r="B86" s="4">
        <v>2.81</v>
      </c>
      <c r="C86" s="8">
        <f>B86/$I$57</f>
        <v>0.30811403508771901</v>
      </c>
      <c r="D86" s="8">
        <f>C86*$H$57</f>
        <v>1.8486842105263199</v>
      </c>
      <c r="E86" s="8">
        <f t="shared" si="2"/>
        <v>0.96131578947368401</v>
      </c>
    </row>
  </sheetData>
  <phoneticPr fontId="11" type="noConversion"/>
  <pageMargins left="0.75" right="0.75" top="1" bottom="1" header="0.5" footer="0.5"/>
  <ignoredErrors>
    <ignoredError sqref="D5:E13 I49:I5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我司港存-旧</vt:lpstr>
      <vt:lpstr>透视</vt:lpstr>
      <vt:lpstr>分析</vt:lpstr>
      <vt:lpstr>周报数据</vt:lpstr>
      <vt:lpstr>海南社会量调整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梅梅 蔡</cp:lastModifiedBy>
  <dcterms:created xsi:type="dcterms:W3CDTF">2015-06-05T18:17:00Z</dcterms:created>
  <dcterms:modified xsi:type="dcterms:W3CDTF">2026-06-18T06:56:44Z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5C4CFA359938430E821B4FB1F4683A11_12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